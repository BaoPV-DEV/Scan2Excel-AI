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Salary2\Scan2Excel-AI\resources\templates\sx\"/>
    </mc:Choice>
  </mc:AlternateContent>
  <xr:revisionPtr revIDLastSave="0" documentId="13_ncr:1_{0675FAD9-AA5C-4FD9-8672-C8E7F2BD5EDB}" xr6:coauthVersionLast="47" xr6:coauthVersionMax="47" xr10:uidLastSave="{00000000-0000-0000-0000-000000000000}"/>
  <bookViews>
    <workbookView xWindow="-120" yWindow="-120" windowWidth="29040" windowHeight="15840" tabRatio="511" firstSheet="2" activeTab="3" xr2:uid="{00000000-000D-0000-FFFF-FFFF00000000}"/>
  </bookViews>
  <sheets>
    <sheet name="00000000" sheetId="26" state="veryHidden" r:id="rId1"/>
    <sheet name="10000000" sheetId="28" state="veryHidden" r:id="rId2"/>
    <sheet name="Tong hop cac ma" sheetId="2" r:id="rId3"/>
    <sheet name="Bang TH nop" sheetId="25" r:id="rId4"/>
    <sheet name="LƯƠNG Tx" sheetId="62" r:id="rId5"/>
    <sheet name="Phieu lương" sheetId="143" r:id="rId6"/>
    <sheet name="xxx" sheetId="260" r:id="rId7"/>
  </sheets>
  <definedNames>
    <definedName name="_xlnm._FilterDatabase" localSheetId="6" hidden="1">xxx!$A$107:$HC$107</definedName>
    <definedName name="_Order1" hidden="1">255</definedName>
    <definedName name="_Order2" hidden="1">255</definedName>
    <definedName name="HTML_CodePage" hidden="1">950</definedName>
    <definedName name="HTML_Control" localSheetId="5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localSheetId="5" hidden="1">{"'Sheet1'!$L$16"}</definedName>
    <definedName name="huy" hidden="1">{"'Sheet1'!$L$16"}</definedName>
    <definedName name="_xlnm.Print_Area" localSheetId="6">#REF!</definedName>
    <definedName name="_xlnm.Print_Area">#REF!</definedName>
    <definedName name="_xlnm.Print_Titles" localSheetId="3">'Bang TH nop'!$4:$4</definedName>
    <definedName name="_xlnm.Print_Titles" localSheetId="4">'LƯƠNG Tx'!$5:$7</definedName>
    <definedName name="_xlnm.Print_Titles" localSheetId="2">'Tong hop cac ma'!$4:$7</definedName>
    <definedName name="_xlnm.Print_Titles" localSheetId="6">#REF!</definedName>
    <definedName name="_xlnm.Print_Titles">#REF!</definedName>
    <definedName name="TaxTV">10%</definedName>
    <definedName name="TaxXL">5%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62" l="1"/>
  <c r="J10" i="62"/>
  <c r="K10" i="62"/>
  <c r="L10" i="62"/>
  <c r="M10" i="62"/>
  <c r="N10" i="62"/>
  <c r="O10" i="62"/>
  <c r="P10" i="62"/>
  <c r="P11" i="62" s="1"/>
  <c r="AA10" i="62"/>
  <c r="F11" i="62"/>
  <c r="G11" i="62"/>
  <c r="H11" i="62"/>
  <c r="K11" i="62"/>
  <c r="L11" i="62"/>
  <c r="N11" i="62"/>
  <c r="O11" i="62"/>
  <c r="Q11" i="62"/>
  <c r="R11" i="62"/>
  <c r="S11" i="62"/>
  <c r="T11" i="62"/>
  <c r="X11" i="62"/>
  <c r="Y11" i="62"/>
  <c r="Z11" i="62" s="1"/>
  <c r="AA11" i="62"/>
  <c r="AD11" i="62"/>
  <c r="AF11" i="62"/>
  <c r="AI11" i="62"/>
  <c r="I12" i="62"/>
  <c r="J12" i="62"/>
  <c r="H13" i="62" s="1"/>
  <c r="Y13" i="62" s="1"/>
  <c r="Z13" i="62" s="1"/>
  <c r="K12" i="62"/>
  <c r="L12" i="62"/>
  <c r="M12" i="62"/>
  <c r="N12" i="62"/>
  <c r="O12" i="62"/>
  <c r="P12" i="62"/>
  <c r="AA12" i="62"/>
  <c r="F13" i="62"/>
  <c r="G13" i="62"/>
  <c r="K13" i="62"/>
  <c r="L13" i="62"/>
  <c r="N13" i="62"/>
  <c r="O13" i="62"/>
  <c r="P13" i="62"/>
  <c r="Q13" i="62"/>
  <c r="R13" i="62"/>
  <c r="S13" i="62"/>
  <c r="T13" i="62"/>
  <c r="X13" i="62"/>
  <c r="AA13" i="62"/>
  <c r="AD13" i="62"/>
  <c r="AF13" i="62"/>
  <c r="AI13" i="62"/>
  <c r="I14" i="62"/>
  <c r="J14" i="62"/>
  <c r="H15" i="62" s="1"/>
  <c r="Y15" i="62" s="1"/>
  <c r="K14" i="62"/>
  <c r="L14" i="62"/>
  <c r="M14" i="62"/>
  <c r="N14" i="62"/>
  <c r="O14" i="62"/>
  <c r="O15" i="62" s="1"/>
  <c r="P14" i="62"/>
  <c r="AA14" i="62"/>
  <c r="F15" i="62"/>
  <c r="G15" i="62"/>
  <c r="K15" i="62"/>
  <c r="L15" i="62"/>
  <c r="M15" i="62"/>
  <c r="N15" i="62"/>
  <c r="P15" i="62"/>
  <c r="Q15" i="62"/>
  <c r="R15" i="62"/>
  <c r="S15" i="62"/>
  <c r="T15" i="62"/>
  <c r="X15" i="62"/>
  <c r="AA15" i="62"/>
  <c r="AC15" i="62"/>
  <c r="AD15" i="62"/>
  <c r="AF15" i="62"/>
  <c r="AI15" i="62"/>
  <c r="I16" i="62"/>
  <c r="J16" i="62"/>
  <c r="K16" i="62"/>
  <c r="L16" i="62"/>
  <c r="L17" i="62" s="1"/>
  <c r="M16" i="62"/>
  <c r="N16" i="62"/>
  <c r="O16" i="62"/>
  <c r="O17" i="62" s="1"/>
  <c r="P16" i="62"/>
  <c r="AA16" i="62"/>
  <c r="F17" i="62"/>
  <c r="G17" i="62"/>
  <c r="H17" i="62"/>
  <c r="Y17" i="62" s="1"/>
  <c r="K17" i="62"/>
  <c r="M17" i="62"/>
  <c r="N17" i="62"/>
  <c r="P17" i="62"/>
  <c r="Q17" i="62"/>
  <c r="R17" i="62"/>
  <c r="S17" i="62"/>
  <c r="T17" i="62"/>
  <c r="X17" i="62"/>
  <c r="AA17" i="62"/>
  <c r="AC17" i="62"/>
  <c r="AD17" i="62"/>
  <c r="AF17" i="62"/>
  <c r="AI17" i="62"/>
  <c r="I18" i="62"/>
  <c r="G19" i="62" s="1"/>
  <c r="X19" i="62" s="1"/>
  <c r="J18" i="62"/>
  <c r="K18" i="62"/>
  <c r="L18" i="62"/>
  <c r="L19" i="62" s="1"/>
  <c r="M18" i="62"/>
  <c r="N18" i="62"/>
  <c r="N19" i="62" s="1"/>
  <c r="O18" i="62"/>
  <c r="P18" i="62"/>
  <c r="AA18" i="62"/>
  <c r="F19" i="62"/>
  <c r="H19" i="62"/>
  <c r="Y19" i="62" s="1"/>
  <c r="K19" i="62"/>
  <c r="M19" i="62"/>
  <c r="O19" i="62"/>
  <c r="P19" i="62"/>
  <c r="Q19" i="62"/>
  <c r="R19" i="62"/>
  <c r="S19" i="62"/>
  <c r="T19" i="62"/>
  <c r="Z19" i="62"/>
  <c r="AA19" i="62"/>
  <c r="AD19" i="62"/>
  <c r="AF19" i="62"/>
  <c r="AI19" i="62"/>
  <c r="I20" i="62"/>
  <c r="J20" i="62"/>
  <c r="K20" i="62"/>
  <c r="K21" i="62" s="1"/>
  <c r="L20" i="62"/>
  <c r="M20" i="62"/>
  <c r="N20" i="62"/>
  <c r="N21" i="62" s="1"/>
  <c r="O20" i="62"/>
  <c r="P20" i="62"/>
  <c r="AA20" i="62"/>
  <c r="F21" i="62"/>
  <c r="H21" i="62"/>
  <c r="L21" i="62"/>
  <c r="M21" i="62"/>
  <c r="O21" i="62"/>
  <c r="P21" i="62"/>
  <c r="Q21" i="62"/>
  <c r="R21" i="62"/>
  <c r="S21" i="62"/>
  <c r="T21" i="62"/>
  <c r="Y21" i="62"/>
  <c r="AA21" i="62"/>
  <c r="AD21" i="62"/>
  <c r="AF21" i="62"/>
  <c r="AI21" i="62"/>
  <c r="I22" i="62"/>
  <c r="J22" i="62"/>
  <c r="K22" i="62"/>
  <c r="L22" i="62"/>
  <c r="M22" i="62"/>
  <c r="N22" i="62"/>
  <c r="N23" i="62" s="1"/>
  <c r="O22" i="62"/>
  <c r="P22" i="62"/>
  <c r="P23" i="62" s="1"/>
  <c r="AA22" i="62"/>
  <c r="F23" i="62"/>
  <c r="G23" i="62"/>
  <c r="X23" i="62" s="1"/>
  <c r="Z23" i="62" s="1"/>
  <c r="H23" i="62"/>
  <c r="L23" i="62"/>
  <c r="M23" i="62"/>
  <c r="O23" i="62"/>
  <c r="Q23" i="62"/>
  <c r="R23" i="62"/>
  <c r="S23" i="62"/>
  <c r="T23" i="62"/>
  <c r="Y23" i="62"/>
  <c r="AA23" i="62"/>
  <c r="AD23" i="62"/>
  <c r="AF23" i="62"/>
  <c r="AI23" i="62"/>
  <c r="I24" i="62"/>
  <c r="J24" i="62"/>
  <c r="K24" i="62"/>
  <c r="L24" i="62"/>
  <c r="M24" i="62"/>
  <c r="M25" i="62" s="1"/>
  <c r="N24" i="62"/>
  <c r="O24" i="62"/>
  <c r="P24" i="62"/>
  <c r="P25" i="62" s="1"/>
  <c r="AA24" i="62"/>
  <c r="F25" i="62"/>
  <c r="G25" i="62"/>
  <c r="X25" i="62" s="1"/>
  <c r="Z25" i="62" s="1"/>
  <c r="H25" i="62"/>
  <c r="L25" i="62"/>
  <c r="N25" i="62"/>
  <c r="O25" i="62"/>
  <c r="Q25" i="62"/>
  <c r="R25" i="62"/>
  <c r="S25" i="62"/>
  <c r="T25" i="62"/>
  <c r="Y25" i="62"/>
  <c r="AA25" i="62"/>
  <c r="AD25" i="62"/>
  <c r="AF25" i="62"/>
  <c r="AI25" i="62"/>
  <c r="I26" i="62"/>
  <c r="J26" i="62"/>
  <c r="H27" i="62" s="1"/>
  <c r="K26" i="62"/>
  <c r="L26" i="62"/>
  <c r="M26" i="62"/>
  <c r="M27" i="62" s="1"/>
  <c r="N26" i="62"/>
  <c r="O26" i="62"/>
  <c r="P26" i="62"/>
  <c r="P27" i="62" s="1"/>
  <c r="AA26" i="62"/>
  <c r="F27" i="62"/>
  <c r="G27" i="62"/>
  <c r="X27" i="62" s="1"/>
  <c r="Z27" i="62" s="1"/>
  <c r="K27" i="62"/>
  <c r="L27" i="62"/>
  <c r="N27" i="62"/>
  <c r="O27" i="62"/>
  <c r="Q27" i="62"/>
  <c r="R27" i="62"/>
  <c r="S27" i="62"/>
  <c r="T27" i="62"/>
  <c r="Y27" i="62"/>
  <c r="AA27" i="62"/>
  <c r="AD27" i="62"/>
  <c r="AF27" i="62"/>
  <c r="AI27" i="62"/>
  <c r="I28" i="62"/>
  <c r="J28" i="62"/>
  <c r="H29" i="62" s="1"/>
  <c r="Y29" i="62" s="1"/>
  <c r="K28" i="62"/>
  <c r="L28" i="62"/>
  <c r="M28" i="62"/>
  <c r="N28" i="62"/>
  <c r="O28" i="62"/>
  <c r="O29" i="62" s="1"/>
  <c r="P28" i="62"/>
  <c r="AA28" i="62"/>
  <c r="F29" i="62"/>
  <c r="G29" i="62"/>
  <c r="K29" i="62"/>
  <c r="L29" i="62"/>
  <c r="N29" i="62"/>
  <c r="P29" i="62"/>
  <c r="Q29" i="62"/>
  <c r="R29" i="62"/>
  <c r="S29" i="62"/>
  <c r="T29" i="62"/>
  <c r="X29" i="62"/>
  <c r="Z29" i="62" s="1"/>
  <c r="AA29" i="62"/>
  <c r="AD29" i="62"/>
  <c r="AF29" i="62"/>
  <c r="AI29" i="62"/>
  <c r="I30" i="62"/>
  <c r="J30" i="62"/>
  <c r="H31" i="62" s="1"/>
  <c r="Y31" i="62" s="1"/>
  <c r="K30" i="62"/>
  <c r="L30" i="62"/>
  <c r="L31" i="62" s="1"/>
  <c r="M30" i="62"/>
  <c r="N30" i="62"/>
  <c r="O30" i="62"/>
  <c r="O31" i="62" s="1"/>
  <c r="P30" i="62"/>
  <c r="AA30" i="62"/>
  <c r="F31" i="62"/>
  <c r="G31" i="62"/>
  <c r="K31" i="62"/>
  <c r="M31" i="62"/>
  <c r="N31" i="62"/>
  <c r="P31" i="62"/>
  <c r="Q31" i="62"/>
  <c r="R31" i="62"/>
  <c r="S31" i="62"/>
  <c r="T31" i="62"/>
  <c r="X31" i="62"/>
  <c r="Z31" i="62" s="1"/>
  <c r="AA31" i="62"/>
  <c r="AC31" i="62"/>
  <c r="AD31" i="62"/>
  <c r="AF31" i="62"/>
  <c r="AI31" i="62"/>
  <c r="I32" i="62"/>
  <c r="G33" i="62" s="1"/>
  <c r="J32" i="62"/>
  <c r="K32" i="62"/>
  <c r="L32" i="62"/>
  <c r="L33" i="62" s="1"/>
  <c r="M32" i="62"/>
  <c r="N32" i="62"/>
  <c r="O32" i="62"/>
  <c r="O33" i="62" s="1"/>
  <c r="P32" i="62"/>
  <c r="AA32" i="62"/>
  <c r="F33" i="62"/>
  <c r="H33" i="62"/>
  <c r="Y33" i="62" s="1"/>
  <c r="K33" i="62"/>
  <c r="M33" i="62"/>
  <c r="N33" i="62"/>
  <c r="P33" i="62"/>
  <c r="Q33" i="62"/>
  <c r="R33" i="62"/>
  <c r="S33" i="62"/>
  <c r="T33" i="62"/>
  <c r="X33" i="62"/>
  <c r="AA33" i="62"/>
  <c r="AC33" i="62"/>
  <c r="AD33" i="62"/>
  <c r="AF33" i="62"/>
  <c r="AI33" i="62"/>
  <c r="I34" i="62"/>
  <c r="G35" i="62" s="1"/>
  <c r="X35" i="62" s="1"/>
  <c r="Z35" i="62" s="1"/>
  <c r="J34" i="62"/>
  <c r="K34" i="62"/>
  <c r="K35" i="62" s="1"/>
  <c r="L34" i="62"/>
  <c r="L35" i="62" s="1"/>
  <c r="M34" i="62"/>
  <c r="N34" i="62"/>
  <c r="N35" i="62" s="1"/>
  <c r="O34" i="62"/>
  <c r="P34" i="62"/>
  <c r="AA34" i="62"/>
  <c r="F35" i="62"/>
  <c r="H35" i="62"/>
  <c r="Y35" i="62" s="1"/>
  <c r="M35" i="62"/>
  <c r="O35" i="62"/>
  <c r="P35" i="62"/>
  <c r="Q35" i="62"/>
  <c r="R35" i="62"/>
  <c r="S35" i="62"/>
  <c r="T35" i="62"/>
  <c r="AA35" i="62"/>
  <c r="AD35" i="62"/>
  <c r="AF35" i="62"/>
  <c r="AI35" i="62"/>
  <c r="I36" i="62"/>
  <c r="J36" i="62"/>
  <c r="K36" i="62"/>
  <c r="K37" i="62" s="1"/>
  <c r="L36" i="62"/>
  <c r="M36" i="62"/>
  <c r="N36" i="62"/>
  <c r="N37" i="62" s="1"/>
  <c r="O36" i="62"/>
  <c r="P36" i="62"/>
  <c r="P37" i="62" s="1"/>
  <c r="AA36" i="62"/>
  <c r="F37" i="62"/>
  <c r="H37" i="62"/>
  <c r="L37" i="62"/>
  <c r="M37" i="62"/>
  <c r="O37" i="62"/>
  <c r="Q37" i="62"/>
  <c r="R37" i="62"/>
  <c r="S37" i="62"/>
  <c r="T37" i="62"/>
  <c r="Y37" i="62"/>
  <c r="AA37" i="62"/>
  <c r="AD37" i="62"/>
  <c r="AF37" i="62"/>
  <c r="AI37" i="62"/>
  <c r="I38" i="62"/>
  <c r="J38" i="62"/>
  <c r="K38" i="62"/>
  <c r="L38" i="62"/>
  <c r="M38" i="62"/>
  <c r="N38" i="62"/>
  <c r="N39" i="62" s="1"/>
  <c r="O38" i="62"/>
  <c r="P38" i="62"/>
  <c r="P39" i="62" s="1"/>
  <c r="AA38" i="62"/>
  <c r="F39" i="62"/>
  <c r="G39" i="62"/>
  <c r="X39" i="62" s="1"/>
  <c r="Z39" i="62" s="1"/>
  <c r="H39" i="62"/>
  <c r="L39" i="62"/>
  <c r="M39" i="62"/>
  <c r="O39" i="62"/>
  <c r="Q39" i="62"/>
  <c r="R39" i="62"/>
  <c r="S39" i="62"/>
  <c r="T39" i="62"/>
  <c r="Y39" i="62"/>
  <c r="AA39" i="62"/>
  <c r="AD39" i="62"/>
  <c r="AF39" i="62"/>
  <c r="AI39" i="62"/>
  <c r="I40" i="62"/>
  <c r="J40" i="62"/>
  <c r="H41" i="62" s="1"/>
  <c r="K40" i="62"/>
  <c r="K41" i="62" s="1"/>
  <c r="L40" i="62"/>
  <c r="M40" i="62"/>
  <c r="M41" i="62" s="1"/>
  <c r="N40" i="62"/>
  <c r="O40" i="62"/>
  <c r="P40" i="62"/>
  <c r="P41" i="62" s="1"/>
  <c r="AA40" i="62"/>
  <c r="F41" i="62"/>
  <c r="G41" i="62"/>
  <c r="X41" i="62" s="1"/>
  <c r="L41" i="62"/>
  <c r="N41" i="62"/>
  <c r="O41" i="62"/>
  <c r="Q41" i="62"/>
  <c r="R41" i="62"/>
  <c r="S41" i="62"/>
  <c r="T41" i="62"/>
  <c r="Y41" i="62"/>
  <c r="AA41" i="62"/>
  <c r="AD41" i="62"/>
  <c r="AF41" i="62"/>
  <c r="AI41" i="62"/>
  <c r="I42" i="62"/>
  <c r="J42" i="62"/>
  <c r="H43" i="62" s="1"/>
  <c r="Y43" i="62" s="1"/>
  <c r="K42" i="62"/>
  <c r="L42" i="62"/>
  <c r="M42" i="62"/>
  <c r="M43" i="62" s="1"/>
  <c r="N42" i="62"/>
  <c r="O42" i="62"/>
  <c r="O43" i="62" s="1"/>
  <c r="P42" i="62"/>
  <c r="P43" i="62" s="1"/>
  <c r="AA42" i="62"/>
  <c r="F43" i="62"/>
  <c r="G43" i="62"/>
  <c r="K43" i="62"/>
  <c r="L43" i="62"/>
  <c r="N43" i="62"/>
  <c r="Q43" i="62"/>
  <c r="R43" i="62"/>
  <c r="S43" i="62"/>
  <c r="T43" i="62"/>
  <c r="X43" i="62"/>
  <c r="AA43" i="62"/>
  <c r="AD43" i="62"/>
  <c r="AF43" i="62"/>
  <c r="AI43" i="62"/>
  <c r="I44" i="62"/>
  <c r="J44" i="62"/>
  <c r="H45" i="62" s="1"/>
  <c r="Y45" i="62" s="1"/>
  <c r="K44" i="62"/>
  <c r="L44" i="62"/>
  <c r="L45" i="62" s="1"/>
  <c r="M44" i="62"/>
  <c r="M45" i="62" s="1"/>
  <c r="N44" i="62"/>
  <c r="O44" i="62"/>
  <c r="O45" i="62" s="1"/>
  <c r="P44" i="62"/>
  <c r="AA44" i="62"/>
  <c r="F45" i="62"/>
  <c r="G45" i="62"/>
  <c r="K45" i="62"/>
  <c r="N45" i="62"/>
  <c r="P45" i="62"/>
  <c r="Q45" i="62"/>
  <c r="R45" i="62"/>
  <c r="S45" i="62"/>
  <c r="T45" i="62"/>
  <c r="X45" i="62"/>
  <c r="AA45" i="62"/>
  <c r="AD45" i="62"/>
  <c r="AF45" i="62"/>
  <c r="AI45" i="62"/>
  <c r="I46" i="62"/>
  <c r="G47" i="62" s="1"/>
  <c r="J46" i="62"/>
  <c r="H47" i="62" s="1"/>
  <c r="Y47" i="62" s="1"/>
  <c r="K46" i="62"/>
  <c r="L46" i="62"/>
  <c r="L47" i="62" s="1"/>
  <c r="M46" i="62"/>
  <c r="N46" i="62"/>
  <c r="O46" i="62"/>
  <c r="O47" i="62" s="1"/>
  <c r="P46" i="62"/>
  <c r="AA46" i="62"/>
  <c r="F47" i="62"/>
  <c r="K47" i="62"/>
  <c r="M47" i="62"/>
  <c r="N47" i="62"/>
  <c r="P47" i="62"/>
  <c r="Q47" i="62"/>
  <c r="R47" i="62"/>
  <c r="S47" i="62"/>
  <c r="T47" i="62"/>
  <c r="X47" i="62"/>
  <c r="AA47" i="62"/>
  <c r="AC47" i="62"/>
  <c r="AD47" i="62"/>
  <c r="AF47" i="62"/>
  <c r="AI47" i="62"/>
  <c r="I48" i="62"/>
  <c r="G49" i="62" s="1"/>
  <c r="X49" i="62" s="1"/>
  <c r="Z49" i="62" s="1"/>
  <c r="J48" i="62"/>
  <c r="K48" i="62"/>
  <c r="L48" i="62"/>
  <c r="L49" i="62" s="1"/>
  <c r="M48" i="62"/>
  <c r="N48" i="62"/>
  <c r="N49" i="62" s="1"/>
  <c r="O48" i="62"/>
  <c r="O49" i="62" s="1"/>
  <c r="P48" i="62"/>
  <c r="AA48" i="62"/>
  <c r="F49" i="62"/>
  <c r="H49" i="62"/>
  <c r="Y49" i="62" s="1"/>
  <c r="K49" i="62"/>
  <c r="M49" i="62"/>
  <c r="P49" i="62"/>
  <c r="Q49" i="62"/>
  <c r="R49" i="62"/>
  <c r="S49" i="62"/>
  <c r="T49" i="62"/>
  <c r="AA49" i="62"/>
  <c r="AD49" i="62"/>
  <c r="AF49" i="62"/>
  <c r="AI49" i="62"/>
  <c r="I50" i="62"/>
  <c r="G51" i="62" s="1"/>
  <c r="X51" i="62" s="1"/>
  <c r="Z51" i="62" s="1"/>
  <c r="J50" i="62"/>
  <c r="K50" i="62"/>
  <c r="K51" i="62" s="1"/>
  <c r="L50" i="62"/>
  <c r="L51" i="62" s="1"/>
  <c r="M50" i="62"/>
  <c r="N50" i="62"/>
  <c r="N51" i="62" s="1"/>
  <c r="O50" i="62"/>
  <c r="P50" i="62"/>
  <c r="AA50" i="62"/>
  <c r="F51" i="62"/>
  <c r="H51" i="62"/>
  <c r="Y51" i="62" s="1"/>
  <c r="M51" i="62"/>
  <c r="O51" i="62"/>
  <c r="P51" i="62"/>
  <c r="Q51" i="62"/>
  <c r="R51" i="62"/>
  <c r="S51" i="62"/>
  <c r="T51" i="62"/>
  <c r="AA51" i="62"/>
  <c r="AD51" i="62"/>
  <c r="AF51" i="62"/>
  <c r="AI51" i="62"/>
  <c r="I52" i="62"/>
  <c r="J52" i="62"/>
  <c r="K52" i="62"/>
  <c r="K53" i="62" s="1"/>
  <c r="L52" i="62"/>
  <c r="M52" i="62"/>
  <c r="N52" i="62"/>
  <c r="N53" i="62" s="1"/>
  <c r="O52" i="62"/>
  <c r="P52" i="62"/>
  <c r="P53" i="62" s="1"/>
  <c r="AA52" i="62"/>
  <c r="F53" i="62"/>
  <c r="H53" i="62"/>
  <c r="L53" i="62"/>
  <c r="M53" i="62"/>
  <c r="O53" i="62"/>
  <c r="Q53" i="62"/>
  <c r="R53" i="62"/>
  <c r="S53" i="62"/>
  <c r="T53" i="62"/>
  <c r="Y53" i="62"/>
  <c r="AA53" i="62"/>
  <c r="AD53" i="62"/>
  <c r="AF53" i="62"/>
  <c r="AI53" i="62"/>
  <c r="I54" i="62"/>
  <c r="J54" i="62"/>
  <c r="K54" i="62"/>
  <c r="L54" i="62"/>
  <c r="M54" i="62"/>
  <c r="M55" i="62" s="1"/>
  <c r="N54" i="62"/>
  <c r="N55" i="62" s="1"/>
  <c r="O54" i="62"/>
  <c r="P54" i="62"/>
  <c r="P55" i="62" s="1"/>
  <c r="AA54" i="62"/>
  <c r="F55" i="62"/>
  <c r="G55" i="62"/>
  <c r="X55" i="62" s="1"/>
  <c r="Z55" i="62" s="1"/>
  <c r="H55" i="62"/>
  <c r="L55" i="62"/>
  <c r="O55" i="62"/>
  <c r="Q55" i="62"/>
  <c r="R55" i="62"/>
  <c r="S55" i="62"/>
  <c r="T55" i="62"/>
  <c r="Y55" i="62"/>
  <c r="AA55" i="62"/>
  <c r="AD55" i="62"/>
  <c r="AF55" i="62"/>
  <c r="AI55" i="62"/>
  <c r="I56" i="62"/>
  <c r="AC57" i="62" s="1"/>
  <c r="J56" i="62"/>
  <c r="H57" i="62" s="1"/>
  <c r="Y57" i="62" s="1"/>
  <c r="K56" i="62"/>
  <c r="K57" i="62" s="1"/>
  <c r="L56" i="62"/>
  <c r="M56" i="62"/>
  <c r="M57" i="62" s="1"/>
  <c r="N56" i="62"/>
  <c r="O56" i="62"/>
  <c r="P56" i="62"/>
  <c r="P57" i="62" s="1"/>
  <c r="AA56" i="62"/>
  <c r="F57" i="62"/>
  <c r="G57" i="62"/>
  <c r="X57" i="62" s="1"/>
  <c r="L57" i="62"/>
  <c r="N57" i="62"/>
  <c r="O57" i="62"/>
  <c r="Q57" i="62"/>
  <c r="R57" i="62"/>
  <c r="S57" i="62"/>
  <c r="T57" i="62"/>
  <c r="AA57" i="62"/>
  <c r="AD57" i="62"/>
  <c r="AF57" i="62"/>
  <c r="AI57" i="62"/>
  <c r="I58" i="62"/>
  <c r="J58" i="62"/>
  <c r="H59" i="62" s="1"/>
  <c r="K58" i="62"/>
  <c r="AC59" i="62" s="1"/>
  <c r="L58" i="62"/>
  <c r="M58" i="62"/>
  <c r="M59" i="62" s="1"/>
  <c r="N58" i="62"/>
  <c r="O58" i="62"/>
  <c r="O59" i="62" s="1"/>
  <c r="P58" i="62"/>
  <c r="AA58" i="62"/>
  <c r="F59" i="62"/>
  <c r="G59" i="62"/>
  <c r="K59" i="62"/>
  <c r="L59" i="62"/>
  <c r="N59" i="62"/>
  <c r="P59" i="62"/>
  <c r="Q59" i="62"/>
  <c r="R59" i="62"/>
  <c r="S59" i="62"/>
  <c r="T59" i="62"/>
  <c r="X59" i="62"/>
  <c r="Y59" i="62"/>
  <c r="AA59" i="62"/>
  <c r="AD59" i="62"/>
  <c r="AF59" i="62"/>
  <c r="AI59" i="62"/>
  <c r="I60" i="62"/>
  <c r="J60" i="62"/>
  <c r="H61" i="62" s="1"/>
  <c r="Y61" i="62" s="1"/>
  <c r="K60" i="62"/>
  <c r="AC61" i="62" s="1"/>
  <c r="L60" i="62"/>
  <c r="L61" i="62" s="1"/>
  <c r="M60" i="62"/>
  <c r="N60" i="62"/>
  <c r="O60" i="62"/>
  <c r="O61" i="62" s="1"/>
  <c r="P60" i="62"/>
  <c r="AA60" i="62"/>
  <c r="F61" i="62"/>
  <c r="G61" i="62"/>
  <c r="K61" i="62"/>
  <c r="M61" i="62"/>
  <c r="N61" i="62"/>
  <c r="P61" i="62"/>
  <c r="Q61" i="62"/>
  <c r="R61" i="62"/>
  <c r="S61" i="62"/>
  <c r="T61" i="62"/>
  <c r="X61" i="62"/>
  <c r="Z61" i="62" s="1"/>
  <c r="AA61" i="62"/>
  <c r="AD61" i="62"/>
  <c r="AF61" i="62"/>
  <c r="AI61" i="62"/>
  <c r="I62" i="62"/>
  <c r="G63" i="62" s="1"/>
  <c r="J62" i="62"/>
  <c r="H63" i="62" s="1"/>
  <c r="Y63" i="62" s="1"/>
  <c r="K62" i="62"/>
  <c r="L62" i="62"/>
  <c r="L63" i="62" s="1"/>
  <c r="M62" i="62"/>
  <c r="N62" i="62"/>
  <c r="O62" i="62"/>
  <c r="O63" i="62" s="1"/>
  <c r="P62" i="62"/>
  <c r="AA62" i="62"/>
  <c r="F63" i="62"/>
  <c r="K63" i="62"/>
  <c r="M63" i="62"/>
  <c r="N63" i="62"/>
  <c r="P63" i="62"/>
  <c r="Q63" i="62"/>
  <c r="R63" i="62"/>
  <c r="S63" i="62"/>
  <c r="T63" i="62"/>
  <c r="X63" i="62"/>
  <c r="AA63" i="62"/>
  <c r="AD63" i="62"/>
  <c r="AF63" i="62"/>
  <c r="AI63" i="62"/>
  <c r="I64" i="62"/>
  <c r="G65" i="62" s="1"/>
  <c r="X65" i="62" s="1"/>
  <c r="Z65" i="62" s="1"/>
  <c r="J64" i="62"/>
  <c r="K64" i="62"/>
  <c r="L64" i="62"/>
  <c r="L65" i="62" s="1"/>
  <c r="M64" i="62"/>
  <c r="N64" i="62"/>
  <c r="N65" i="62" s="1"/>
  <c r="O64" i="62"/>
  <c r="P64" i="62"/>
  <c r="AA64" i="62"/>
  <c r="F65" i="62"/>
  <c r="H65" i="62"/>
  <c r="Y65" i="62" s="1"/>
  <c r="K65" i="62"/>
  <c r="M65" i="62"/>
  <c r="O65" i="62"/>
  <c r="P65" i="62"/>
  <c r="Q65" i="62"/>
  <c r="R65" i="62"/>
  <c r="S65" i="62"/>
  <c r="T65" i="62"/>
  <c r="AA65" i="62"/>
  <c r="AD65" i="62"/>
  <c r="AF65" i="62"/>
  <c r="AI65" i="62"/>
  <c r="I66" i="62"/>
  <c r="G67" i="62" s="1"/>
  <c r="X67" i="62" s="1"/>
  <c r="Z67" i="62" s="1"/>
  <c r="J66" i="62"/>
  <c r="K66" i="62"/>
  <c r="K67" i="62" s="1"/>
  <c r="L66" i="62"/>
  <c r="M66" i="62"/>
  <c r="N66" i="62"/>
  <c r="N67" i="62" s="1"/>
  <c r="O66" i="62"/>
  <c r="P66" i="62"/>
  <c r="AA66" i="62"/>
  <c r="F67" i="62"/>
  <c r="H67" i="62"/>
  <c r="Y67" i="62" s="1"/>
  <c r="L67" i="62"/>
  <c r="M67" i="62"/>
  <c r="O67" i="62"/>
  <c r="P67" i="62"/>
  <c r="Q67" i="62"/>
  <c r="R67" i="62"/>
  <c r="S67" i="62"/>
  <c r="T67" i="62"/>
  <c r="AA67" i="62"/>
  <c r="AC67" i="62"/>
  <c r="AD67" i="62"/>
  <c r="AF67" i="62"/>
  <c r="AI67" i="62"/>
  <c r="I68" i="62"/>
  <c r="J68" i="62"/>
  <c r="K68" i="62"/>
  <c r="K69" i="62" s="1"/>
  <c r="L68" i="62"/>
  <c r="M68" i="62"/>
  <c r="N68" i="62"/>
  <c r="N69" i="62" s="1"/>
  <c r="O68" i="62"/>
  <c r="P68" i="62"/>
  <c r="P69" i="62" s="1"/>
  <c r="AA68" i="62"/>
  <c r="F69" i="62"/>
  <c r="G69" i="62"/>
  <c r="X69" i="62" s="1"/>
  <c r="Z69" i="62" s="1"/>
  <c r="H69" i="62"/>
  <c r="L69" i="62"/>
  <c r="M69" i="62"/>
  <c r="O69" i="62"/>
  <c r="Q69" i="62"/>
  <c r="R69" i="62"/>
  <c r="S69" i="62"/>
  <c r="T69" i="62"/>
  <c r="Y69" i="62"/>
  <c r="AA69" i="62"/>
  <c r="AD69" i="62"/>
  <c r="AF69" i="62"/>
  <c r="AI69" i="62"/>
  <c r="I70" i="62"/>
  <c r="J70" i="62"/>
  <c r="K70" i="62"/>
  <c r="L70" i="62"/>
  <c r="M70" i="62"/>
  <c r="M71" i="62" s="1"/>
  <c r="N70" i="62"/>
  <c r="O70" i="62"/>
  <c r="P70" i="62"/>
  <c r="P71" i="62" s="1"/>
  <c r="AA70" i="62"/>
  <c r="F71" i="62"/>
  <c r="G71" i="62"/>
  <c r="X71" i="62" s="1"/>
  <c r="Z71" i="62" s="1"/>
  <c r="H71" i="62"/>
  <c r="L71" i="62"/>
  <c r="N71" i="62"/>
  <c r="O71" i="62"/>
  <c r="Q71" i="62"/>
  <c r="R71" i="62"/>
  <c r="S71" i="62"/>
  <c r="T71" i="62"/>
  <c r="Y71" i="62"/>
  <c r="AA71" i="62"/>
  <c r="AD71" i="62"/>
  <c r="AF71" i="62"/>
  <c r="AI71" i="62"/>
  <c r="I72" i="62"/>
  <c r="J72" i="62"/>
  <c r="H73" i="62" s="1"/>
  <c r="Y73" i="62" s="1"/>
  <c r="K72" i="62"/>
  <c r="K73" i="62" s="1"/>
  <c r="L72" i="62"/>
  <c r="M72" i="62"/>
  <c r="M73" i="62" s="1"/>
  <c r="N72" i="62"/>
  <c r="O72" i="62"/>
  <c r="P72" i="62"/>
  <c r="P73" i="62" s="1"/>
  <c r="AA72" i="62"/>
  <c r="F73" i="62"/>
  <c r="G73" i="62"/>
  <c r="X73" i="62" s="1"/>
  <c r="L73" i="62"/>
  <c r="N73" i="62"/>
  <c r="O73" i="62"/>
  <c r="Q73" i="62"/>
  <c r="R73" i="62"/>
  <c r="S73" i="62"/>
  <c r="T73" i="62"/>
  <c r="AA73" i="62"/>
  <c r="AD73" i="62"/>
  <c r="AF73" i="62"/>
  <c r="AI73" i="62"/>
  <c r="I74" i="62"/>
  <c r="J74" i="62"/>
  <c r="H75" i="62" s="1"/>
  <c r="K74" i="62"/>
  <c r="AC75" i="62" s="1"/>
  <c r="L74" i="62"/>
  <c r="M74" i="62"/>
  <c r="M75" i="62" s="1"/>
  <c r="N74" i="62"/>
  <c r="O74" i="62"/>
  <c r="O75" i="62" s="1"/>
  <c r="P74" i="62"/>
  <c r="P75" i="62" s="1"/>
  <c r="AA74" i="62"/>
  <c r="F75" i="62"/>
  <c r="G75" i="62"/>
  <c r="K75" i="62"/>
  <c r="L75" i="62"/>
  <c r="N75" i="62"/>
  <c r="Q75" i="62"/>
  <c r="R75" i="62"/>
  <c r="S75" i="62"/>
  <c r="T75" i="62"/>
  <c r="X75" i="62"/>
  <c r="Z75" i="62" s="1"/>
  <c r="Y75" i="62"/>
  <c r="AA75" i="62"/>
  <c r="AD75" i="62"/>
  <c r="AF75" i="62"/>
  <c r="AI75" i="62"/>
  <c r="I76" i="62"/>
  <c r="J76" i="62"/>
  <c r="H77" i="62" s="1"/>
  <c r="Y77" i="62" s="1"/>
  <c r="K76" i="62"/>
  <c r="L76" i="62"/>
  <c r="L77" i="62" s="1"/>
  <c r="M76" i="62"/>
  <c r="N76" i="62"/>
  <c r="O76" i="62"/>
  <c r="O77" i="62" s="1"/>
  <c r="P76" i="62"/>
  <c r="AA76" i="62"/>
  <c r="F77" i="62"/>
  <c r="G77" i="62"/>
  <c r="K77" i="62"/>
  <c r="AB77" i="62" s="1"/>
  <c r="M77" i="62"/>
  <c r="N77" i="62"/>
  <c r="P77" i="62"/>
  <c r="Q77" i="62"/>
  <c r="R77" i="62"/>
  <c r="S77" i="62"/>
  <c r="T77" i="62"/>
  <c r="X77" i="62"/>
  <c r="Z77" i="62" s="1"/>
  <c r="AA77" i="62"/>
  <c r="AD77" i="62"/>
  <c r="AF77" i="62"/>
  <c r="AI77" i="62"/>
  <c r="I78" i="62"/>
  <c r="G79" i="62" s="1"/>
  <c r="X79" i="62" s="1"/>
  <c r="Z79" i="62" s="1"/>
  <c r="J78" i="62"/>
  <c r="K78" i="62"/>
  <c r="L78" i="62"/>
  <c r="L79" i="62" s="1"/>
  <c r="M78" i="62"/>
  <c r="N78" i="62"/>
  <c r="O78" i="62"/>
  <c r="O79" i="62" s="1"/>
  <c r="P78" i="62"/>
  <c r="AA78" i="62"/>
  <c r="F79" i="62"/>
  <c r="H79" i="62"/>
  <c r="Y79" i="62" s="1"/>
  <c r="K79" i="62"/>
  <c r="M79" i="62"/>
  <c r="N79" i="62"/>
  <c r="P79" i="62"/>
  <c r="Q79" i="62"/>
  <c r="R79" i="62"/>
  <c r="S79" i="62"/>
  <c r="T79" i="62"/>
  <c r="AA79" i="62"/>
  <c r="AC79" i="62"/>
  <c r="AD79" i="62"/>
  <c r="AF79" i="62"/>
  <c r="AI79" i="62"/>
  <c r="I80" i="62"/>
  <c r="G81" i="62" s="1"/>
  <c r="X81" i="62" s="1"/>
  <c r="Z81" i="62" s="1"/>
  <c r="J80" i="62"/>
  <c r="K80" i="62"/>
  <c r="L80" i="62"/>
  <c r="L81" i="62" s="1"/>
  <c r="M80" i="62"/>
  <c r="N80" i="62"/>
  <c r="N81" i="62" s="1"/>
  <c r="O80" i="62"/>
  <c r="O81" i="62" s="1"/>
  <c r="P80" i="62"/>
  <c r="AA80" i="62"/>
  <c r="F81" i="62"/>
  <c r="H81" i="62"/>
  <c r="Y81" i="62" s="1"/>
  <c r="K81" i="62"/>
  <c r="M81" i="62"/>
  <c r="P81" i="62"/>
  <c r="Q81" i="62"/>
  <c r="R81" i="62"/>
  <c r="S81" i="62"/>
  <c r="T81" i="62"/>
  <c r="AA81" i="62"/>
  <c r="AD81" i="62"/>
  <c r="AF81" i="62"/>
  <c r="AI81" i="62"/>
  <c r="I82" i="62"/>
  <c r="G83" i="62" s="1"/>
  <c r="X83" i="62" s="1"/>
  <c r="Z83" i="62" s="1"/>
  <c r="J82" i="62"/>
  <c r="K82" i="62"/>
  <c r="K83" i="62" s="1"/>
  <c r="L82" i="62"/>
  <c r="M82" i="62"/>
  <c r="N82" i="62"/>
  <c r="N83" i="62" s="1"/>
  <c r="O82" i="62"/>
  <c r="P82" i="62"/>
  <c r="AA82" i="62"/>
  <c r="F83" i="62"/>
  <c r="H83" i="62"/>
  <c r="Y83" i="62" s="1"/>
  <c r="L83" i="62"/>
  <c r="M83" i="62"/>
  <c r="O83" i="62"/>
  <c r="P83" i="62"/>
  <c r="Q83" i="62"/>
  <c r="R83" i="62"/>
  <c r="S83" i="62"/>
  <c r="T83" i="62"/>
  <c r="AA83" i="62"/>
  <c r="AC83" i="62"/>
  <c r="AD83" i="62"/>
  <c r="AF83" i="62"/>
  <c r="AI83" i="62"/>
  <c r="I84" i="62"/>
  <c r="J84" i="62"/>
  <c r="K84" i="62"/>
  <c r="K85" i="62" s="1"/>
  <c r="L84" i="62"/>
  <c r="M84" i="62"/>
  <c r="N84" i="62"/>
  <c r="N85" i="62" s="1"/>
  <c r="O84" i="62"/>
  <c r="P84" i="62"/>
  <c r="P85" i="62" s="1"/>
  <c r="AA84" i="62"/>
  <c r="F85" i="62"/>
  <c r="G85" i="62"/>
  <c r="X85" i="62" s="1"/>
  <c r="Z85" i="62" s="1"/>
  <c r="H85" i="62"/>
  <c r="L85" i="62"/>
  <c r="M85" i="62"/>
  <c r="O85" i="62"/>
  <c r="Q85" i="62"/>
  <c r="R85" i="62"/>
  <c r="S85" i="62"/>
  <c r="T85" i="62"/>
  <c r="Y85" i="62"/>
  <c r="AA85" i="62"/>
  <c r="AD85" i="62"/>
  <c r="AF85" i="62"/>
  <c r="AI85" i="62"/>
  <c r="I86" i="62"/>
  <c r="J86" i="62"/>
  <c r="K86" i="62"/>
  <c r="L86" i="62"/>
  <c r="M86" i="62"/>
  <c r="M87" i="62" s="1"/>
  <c r="N86" i="62"/>
  <c r="O86" i="62"/>
  <c r="P86" i="62"/>
  <c r="P87" i="62" s="1"/>
  <c r="AA86" i="62"/>
  <c r="F87" i="62"/>
  <c r="G87" i="62"/>
  <c r="X87" i="62" s="1"/>
  <c r="H87" i="62"/>
  <c r="L87" i="62"/>
  <c r="N87" i="62"/>
  <c r="O87" i="62"/>
  <c r="Q87" i="62"/>
  <c r="R87" i="62"/>
  <c r="S87" i="62"/>
  <c r="T87" i="62"/>
  <c r="Y87" i="62"/>
  <c r="AA87" i="62"/>
  <c r="AD87" i="62"/>
  <c r="AF87" i="62"/>
  <c r="AI87" i="62"/>
  <c r="I88" i="62"/>
  <c r="J88" i="62"/>
  <c r="H89" i="62" s="1"/>
  <c r="K88" i="62"/>
  <c r="K89" i="62" s="1"/>
  <c r="L88" i="62"/>
  <c r="M88" i="62"/>
  <c r="M89" i="62" s="1"/>
  <c r="N88" i="62"/>
  <c r="O88" i="62"/>
  <c r="P88" i="62"/>
  <c r="AA88" i="62"/>
  <c r="F89" i="62"/>
  <c r="G89" i="62"/>
  <c r="X89" i="62" s="1"/>
  <c r="Z89" i="62" s="1"/>
  <c r="L89" i="62"/>
  <c r="N89" i="62"/>
  <c r="O89" i="62"/>
  <c r="P89" i="62"/>
  <c r="Q89" i="62"/>
  <c r="R89" i="62"/>
  <c r="S89" i="62"/>
  <c r="T89" i="62"/>
  <c r="Y89" i="62"/>
  <c r="AA89" i="62"/>
  <c r="AD89" i="62"/>
  <c r="AF89" i="62"/>
  <c r="AI89" i="62"/>
  <c r="I90" i="62"/>
  <c r="J90" i="62"/>
  <c r="H91" i="62" s="1"/>
  <c r="Y91" i="62" s="1"/>
  <c r="K90" i="62"/>
  <c r="L90" i="62"/>
  <c r="M90" i="62"/>
  <c r="N90" i="62"/>
  <c r="O90" i="62"/>
  <c r="O91" i="62" s="1"/>
  <c r="P90" i="62"/>
  <c r="AA90" i="62"/>
  <c r="F91" i="62"/>
  <c r="G91" i="62"/>
  <c r="K91" i="62"/>
  <c r="L91" i="62"/>
  <c r="M91" i="62"/>
  <c r="N91" i="62"/>
  <c r="P91" i="62"/>
  <c r="Q91" i="62"/>
  <c r="R91" i="62"/>
  <c r="S91" i="62"/>
  <c r="T91" i="62"/>
  <c r="X91" i="62"/>
  <c r="AA91" i="62"/>
  <c r="AD91" i="62"/>
  <c r="AF91" i="62"/>
  <c r="AI91" i="62"/>
  <c r="I92" i="62"/>
  <c r="J92" i="62"/>
  <c r="K92" i="62"/>
  <c r="AC93" i="62" s="1"/>
  <c r="L92" i="62"/>
  <c r="M92" i="62"/>
  <c r="N92" i="62"/>
  <c r="O92" i="62"/>
  <c r="O93" i="62" s="1"/>
  <c r="P92" i="62"/>
  <c r="AA92" i="62"/>
  <c r="F93" i="62"/>
  <c r="G93" i="62"/>
  <c r="H93" i="62"/>
  <c r="Y93" i="62" s="1"/>
  <c r="L93" i="62"/>
  <c r="M93" i="62"/>
  <c r="N93" i="62"/>
  <c r="P93" i="62"/>
  <c r="Q93" i="62"/>
  <c r="R93" i="62"/>
  <c r="S93" i="62"/>
  <c r="T93" i="62"/>
  <c r="X93" i="62"/>
  <c r="AA93" i="62"/>
  <c r="AD93" i="62"/>
  <c r="AF93" i="62"/>
  <c r="AI93" i="62"/>
  <c r="I94" i="62"/>
  <c r="J94" i="62"/>
  <c r="H95" i="62" s="1"/>
  <c r="Y95" i="62" s="1"/>
  <c r="K94" i="62"/>
  <c r="AC95" i="62" s="1"/>
  <c r="L94" i="62"/>
  <c r="M94" i="62"/>
  <c r="M95" i="62" s="1"/>
  <c r="N94" i="62"/>
  <c r="O94" i="62"/>
  <c r="O95" i="62" s="1"/>
  <c r="P94" i="62"/>
  <c r="P95" i="62" s="1"/>
  <c r="AA94" i="62"/>
  <c r="F95" i="62"/>
  <c r="G95" i="62"/>
  <c r="K95" i="62"/>
  <c r="L95" i="62"/>
  <c r="N95" i="62"/>
  <c r="Q95" i="62"/>
  <c r="R95" i="62"/>
  <c r="S95" i="62"/>
  <c r="T95" i="62"/>
  <c r="X95" i="62"/>
  <c r="AA95" i="62"/>
  <c r="AD95" i="62"/>
  <c r="AF95" i="62"/>
  <c r="AI95" i="62"/>
  <c r="I96" i="62"/>
  <c r="J96" i="62"/>
  <c r="H97" i="62" s="1"/>
  <c r="Y97" i="62" s="1"/>
  <c r="K96" i="62"/>
  <c r="L96" i="62"/>
  <c r="L97" i="62" s="1"/>
  <c r="M96" i="62"/>
  <c r="AC97" i="62" s="1"/>
  <c r="N96" i="62"/>
  <c r="O96" i="62"/>
  <c r="P96" i="62"/>
  <c r="AA96" i="62"/>
  <c r="F97" i="62"/>
  <c r="G97" i="62"/>
  <c r="K97" i="62"/>
  <c r="N97" i="62"/>
  <c r="O97" i="62"/>
  <c r="P97" i="62"/>
  <c r="Q97" i="62"/>
  <c r="R97" i="62"/>
  <c r="S97" i="62"/>
  <c r="T97" i="62"/>
  <c r="X97" i="62"/>
  <c r="AA97" i="62"/>
  <c r="AD97" i="62"/>
  <c r="AF97" i="62"/>
  <c r="AI97" i="62"/>
  <c r="I98" i="62"/>
  <c r="G99" i="62" s="1"/>
  <c r="X99" i="62" s="1"/>
  <c r="Z99" i="62" s="1"/>
  <c r="J98" i="62"/>
  <c r="H99" i="62" s="1"/>
  <c r="Y99" i="62" s="1"/>
  <c r="K98" i="62"/>
  <c r="L98" i="62"/>
  <c r="M98" i="62"/>
  <c r="N98" i="62"/>
  <c r="O98" i="62"/>
  <c r="O99" i="62" s="1"/>
  <c r="P98" i="62"/>
  <c r="AA98" i="62"/>
  <c r="F99" i="62"/>
  <c r="K99" i="62"/>
  <c r="L99" i="62"/>
  <c r="M99" i="62"/>
  <c r="N99" i="62"/>
  <c r="P99" i="62"/>
  <c r="Q99" i="62"/>
  <c r="R99" i="62"/>
  <c r="S99" i="62"/>
  <c r="T99" i="62"/>
  <c r="AA99" i="62"/>
  <c r="AD99" i="62"/>
  <c r="AF99" i="62"/>
  <c r="AI99" i="62"/>
  <c r="I100" i="62"/>
  <c r="J100" i="62"/>
  <c r="K100" i="62"/>
  <c r="L100" i="62"/>
  <c r="L101" i="62" s="1"/>
  <c r="M100" i="62"/>
  <c r="N100" i="62"/>
  <c r="N101" i="62" s="1"/>
  <c r="O100" i="62"/>
  <c r="O101" i="62" s="1"/>
  <c r="P100" i="62"/>
  <c r="AA100" i="62"/>
  <c r="F101" i="62"/>
  <c r="G101" i="62"/>
  <c r="H101" i="62"/>
  <c r="Y101" i="62" s="1"/>
  <c r="K101" i="62"/>
  <c r="M101" i="62"/>
  <c r="P101" i="62"/>
  <c r="Q101" i="62"/>
  <c r="R101" i="62"/>
  <c r="S101" i="62"/>
  <c r="T101" i="62"/>
  <c r="X101" i="62"/>
  <c r="Z101" i="62" s="1"/>
  <c r="AA101" i="62"/>
  <c r="AC101" i="62"/>
  <c r="AD101" i="62"/>
  <c r="AF101" i="62"/>
  <c r="AI101" i="62"/>
  <c r="I102" i="62"/>
  <c r="G103" i="62" s="1"/>
  <c r="X103" i="62" s="1"/>
  <c r="Z103" i="62" s="1"/>
  <c r="J102" i="62"/>
  <c r="K102" i="62"/>
  <c r="K103" i="62" s="1"/>
  <c r="L102" i="62"/>
  <c r="L103" i="62" s="1"/>
  <c r="M102" i="62"/>
  <c r="N102" i="62"/>
  <c r="O102" i="62"/>
  <c r="P102" i="62"/>
  <c r="AA102" i="62"/>
  <c r="F103" i="62"/>
  <c r="H103" i="62"/>
  <c r="Y103" i="62" s="1"/>
  <c r="M103" i="62"/>
  <c r="N103" i="62"/>
  <c r="O103" i="62"/>
  <c r="P103" i="62"/>
  <c r="Q103" i="62"/>
  <c r="R103" i="62"/>
  <c r="S103" i="62"/>
  <c r="T103" i="62"/>
  <c r="AA103" i="62"/>
  <c r="AD103" i="62"/>
  <c r="AF103" i="62"/>
  <c r="AI103" i="62"/>
  <c r="I104" i="62"/>
  <c r="G105" i="62" s="1"/>
  <c r="X105" i="62" s="1"/>
  <c r="Z105" i="62" s="1"/>
  <c r="J104" i="62"/>
  <c r="K104" i="62"/>
  <c r="L104" i="62"/>
  <c r="M104" i="62"/>
  <c r="N104" i="62"/>
  <c r="N105" i="62" s="1"/>
  <c r="O104" i="62"/>
  <c r="P104" i="62"/>
  <c r="P105" i="62" s="1"/>
  <c r="AA104" i="62"/>
  <c r="F105" i="62"/>
  <c r="H105" i="62"/>
  <c r="K105" i="62"/>
  <c r="L105" i="62"/>
  <c r="M105" i="62"/>
  <c r="O105" i="62"/>
  <c r="Q105" i="62"/>
  <c r="R105" i="62"/>
  <c r="S105" i="62"/>
  <c r="T105" i="62"/>
  <c r="Y105" i="62"/>
  <c r="AA105" i="62"/>
  <c r="AD105" i="62"/>
  <c r="AF105" i="62"/>
  <c r="AI105" i="62"/>
  <c r="I106" i="62"/>
  <c r="J106" i="62"/>
  <c r="K106" i="62"/>
  <c r="AC107" i="62" s="1"/>
  <c r="L106" i="62"/>
  <c r="M106" i="62"/>
  <c r="M107" i="62" s="1"/>
  <c r="N106" i="62"/>
  <c r="N107" i="62" s="1"/>
  <c r="O106" i="62"/>
  <c r="P106" i="62"/>
  <c r="AA106" i="62"/>
  <c r="F107" i="62"/>
  <c r="G107" i="62"/>
  <c r="X107" i="62" s="1"/>
  <c r="Z107" i="62" s="1"/>
  <c r="H107" i="62"/>
  <c r="L107" i="62"/>
  <c r="O107" i="62"/>
  <c r="P107" i="62"/>
  <c r="Q107" i="62"/>
  <c r="R107" i="62"/>
  <c r="S107" i="62"/>
  <c r="T107" i="62"/>
  <c r="Y107" i="62"/>
  <c r="AA107" i="62"/>
  <c r="AD107" i="62"/>
  <c r="AF107" i="62"/>
  <c r="AI107" i="62"/>
  <c r="I108" i="62"/>
  <c r="J108" i="62"/>
  <c r="H109" i="62" s="1"/>
  <c r="Y109" i="62" s="1"/>
  <c r="K108" i="62"/>
  <c r="AC109" i="62" s="1"/>
  <c r="L108" i="62"/>
  <c r="M108" i="62"/>
  <c r="N108" i="62"/>
  <c r="O108" i="62"/>
  <c r="P108" i="62"/>
  <c r="P109" i="62" s="1"/>
  <c r="AA108" i="62"/>
  <c r="F109" i="62"/>
  <c r="G109" i="62"/>
  <c r="X109" i="62" s="1"/>
  <c r="L109" i="62"/>
  <c r="M109" i="62"/>
  <c r="N109" i="62"/>
  <c r="O109" i="62"/>
  <c r="Q109" i="62"/>
  <c r="R109" i="62"/>
  <c r="S109" i="62"/>
  <c r="T109" i="62"/>
  <c r="AA109" i="62"/>
  <c r="AD109" i="62"/>
  <c r="AF109" i="62"/>
  <c r="AI109" i="62"/>
  <c r="I110" i="62"/>
  <c r="J110" i="62"/>
  <c r="K110" i="62"/>
  <c r="L110" i="62"/>
  <c r="M110" i="62"/>
  <c r="M111" i="62" s="1"/>
  <c r="N110" i="62"/>
  <c r="O110" i="62"/>
  <c r="P110" i="62"/>
  <c r="P111" i="62" s="1"/>
  <c r="AA110" i="62"/>
  <c r="F111" i="62"/>
  <c r="G111" i="62"/>
  <c r="H111" i="62"/>
  <c r="K111" i="62"/>
  <c r="AB111" i="62" s="1"/>
  <c r="L111" i="62"/>
  <c r="N111" i="62"/>
  <c r="O111" i="62"/>
  <c r="Q111" i="62"/>
  <c r="R111" i="62"/>
  <c r="S111" i="62"/>
  <c r="T111" i="62"/>
  <c r="X111" i="62"/>
  <c r="Y111" i="62"/>
  <c r="Z111" i="62" s="1"/>
  <c r="AA111" i="62"/>
  <c r="AD111" i="62"/>
  <c r="AF111" i="62"/>
  <c r="AI111" i="62"/>
  <c r="I112" i="62"/>
  <c r="J112" i="62"/>
  <c r="H113" i="62" s="1"/>
  <c r="Y113" i="62" s="1"/>
  <c r="Z113" i="62" s="1"/>
  <c r="K112" i="62"/>
  <c r="L112" i="62"/>
  <c r="M112" i="62"/>
  <c r="AC113" i="62" s="1"/>
  <c r="N112" i="62"/>
  <c r="O112" i="62"/>
  <c r="P112" i="62"/>
  <c r="AA112" i="62"/>
  <c r="F113" i="62"/>
  <c r="G113" i="62"/>
  <c r="K113" i="62"/>
  <c r="L113" i="62"/>
  <c r="N113" i="62"/>
  <c r="O113" i="62"/>
  <c r="P113" i="62"/>
  <c r="Q113" i="62"/>
  <c r="R113" i="62"/>
  <c r="S113" i="62"/>
  <c r="T113" i="62"/>
  <c r="X113" i="62"/>
  <c r="AA113" i="62"/>
  <c r="AD113" i="62"/>
  <c r="AF113" i="62"/>
  <c r="AI113" i="62"/>
  <c r="I114" i="62"/>
  <c r="J114" i="62"/>
  <c r="H115" i="62" s="1"/>
  <c r="Y115" i="62" s="1"/>
  <c r="K114" i="62"/>
  <c r="L114" i="62"/>
  <c r="M114" i="62"/>
  <c r="N114" i="62"/>
  <c r="N115" i="62" s="1"/>
  <c r="O114" i="62"/>
  <c r="O115" i="62" s="1"/>
  <c r="P114" i="62"/>
  <c r="AA114" i="62"/>
  <c r="F115" i="62"/>
  <c r="G115" i="62"/>
  <c r="K115" i="62"/>
  <c r="L115" i="62"/>
  <c r="M115" i="62"/>
  <c r="P115" i="62"/>
  <c r="Q115" i="62"/>
  <c r="R115" i="62"/>
  <c r="S115" i="62"/>
  <c r="T115" i="62"/>
  <c r="X115" i="62"/>
  <c r="AA115" i="62"/>
  <c r="AC115" i="62"/>
  <c r="AD115" i="62"/>
  <c r="AF115" i="62"/>
  <c r="AI115" i="62"/>
  <c r="I116" i="62"/>
  <c r="J116" i="62"/>
  <c r="K116" i="62"/>
  <c r="L116" i="62"/>
  <c r="L117" i="62" s="1"/>
  <c r="M116" i="62"/>
  <c r="N116" i="62"/>
  <c r="O116" i="62"/>
  <c r="O117" i="62" s="1"/>
  <c r="P116" i="62"/>
  <c r="AA116" i="62"/>
  <c r="F117" i="62"/>
  <c r="G117" i="62"/>
  <c r="H117" i="62"/>
  <c r="Y117" i="62" s="1"/>
  <c r="K117" i="62"/>
  <c r="M117" i="62"/>
  <c r="N117" i="62"/>
  <c r="P117" i="62"/>
  <c r="Q117" i="62"/>
  <c r="R117" i="62"/>
  <c r="S117" i="62"/>
  <c r="T117" i="62"/>
  <c r="X117" i="62"/>
  <c r="AA117" i="62"/>
  <c r="AD117" i="62"/>
  <c r="AF117" i="62"/>
  <c r="AI117" i="62"/>
  <c r="I118" i="62"/>
  <c r="G119" i="62" s="1"/>
  <c r="X119" i="62" s="1"/>
  <c r="J118" i="62"/>
  <c r="K118" i="62"/>
  <c r="L118" i="62"/>
  <c r="L119" i="62" s="1"/>
  <c r="M118" i="62"/>
  <c r="N118" i="62"/>
  <c r="O118" i="62"/>
  <c r="P118" i="62"/>
  <c r="AA118" i="62"/>
  <c r="F119" i="62"/>
  <c r="H119" i="62"/>
  <c r="Y119" i="62" s="1"/>
  <c r="K119" i="62"/>
  <c r="M119" i="62"/>
  <c r="N119" i="62"/>
  <c r="O119" i="62"/>
  <c r="P119" i="62"/>
  <c r="Q119" i="62"/>
  <c r="R119" i="62"/>
  <c r="S119" i="62"/>
  <c r="T119" i="62"/>
  <c r="AA119" i="62"/>
  <c r="AD119" i="62"/>
  <c r="AF119" i="62"/>
  <c r="AI119" i="62"/>
  <c r="I120" i="62"/>
  <c r="G121" i="62" s="1"/>
  <c r="X121" i="62" s="1"/>
  <c r="Z121" i="62" s="1"/>
  <c r="J120" i="62"/>
  <c r="K120" i="62"/>
  <c r="L120" i="62"/>
  <c r="M120" i="62"/>
  <c r="N120" i="62"/>
  <c r="N121" i="62" s="1"/>
  <c r="O120" i="62"/>
  <c r="P120" i="62"/>
  <c r="AA120" i="62"/>
  <c r="F121" i="62"/>
  <c r="H121" i="62"/>
  <c r="K121" i="62"/>
  <c r="L121" i="62"/>
  <c r="M121" i="62"/>
  <c r="O121" i="62"/>
  <c r="P121" i="62"/>
  <c r="Q121" i="62"/>
  <c r="R121" i="62"/>
  <c r="S121" i="62"/>
  <c r="T121" i="62"/>
  <c r="Y121" i="62"/>
  <c r="AA121" i="62"/>
  <c r="AD121" i="62"/>
  <c r="AF121" i="62"/>
  <c r="AI121" i="62"/>
  <c r="I122" i="62"/>
  <c r="J122" i="62"/>
  <c r="K122" i="62"/>
  <c r="AC123" i="62" s="1"/>
  <c r="L122" i="62"/>
  <c r="M122" i="62"/>
  <c r="N122" i="62"/>
  <c r="N123" i="62" s="1"/>
  <c r="O122" i="62"/>
  <c r="P122" i="62"/>
  <c r="AA122" i="62"/>
  <c r="F123" i="62"/>
  <c r="G123" i="62"/>
  <c r="X123" i="62" s="1"/>
  <c r="Z123" i="62" s="1"/>
  <c r="H123" i="62"/>
  <c r="L123" i="62"/>
  <c r="M123" i="62"/>
  <c r="O123" i="62"/>
  <c r="P123" i="62"/>
  <c r="Q123" i="62"/>
  <c r="R123" i="62"/>
  <c r="S123" i="62"/>
  <c r="T123" i="62"/>
  <c r="Y123" i="62"/>
  <c r="AA123" i="62"/>
  <c r="AD123" i="62"/>
  <c r="AF123" i="62"/>
  <c r="AI123" i="62"/>
  <c r="I124" i="62"/>
  <c r="J124" i="62"/>
  <c r="K124" i="62"/>
  <c r="AC125" i="62" s="1"/>
  <c r="L124" i="62"/>
  <c r="M124" i="62"/>
  <c r="N124" i="62"/>
  <c r="O124" i="62"/>
  <c r="P124" i="62"/>
  <c r="P125" i="62" s="1"/>
  <c r="AA124" i="62"/>
  <c r="F125" i="62"/>
  <c r="G125" i="62"/>
  <c r="X125" i="62" s="1"/>
  <c r="Z125" i="62" s="1"/>
  <c r="H125" i="62"/>
  <c r="L125" i="62"/>
  <c r="M125" i="62"/>
  <c r="N125" i="62"/>
  <c r="O125" i="62"/>
  <c r="Q125" i="62"/>
  <c r="R125" i="62"/>
  <c r="S125" i="62"/>
  <c r="T125" i="62"/>
  <c r="Y125" i="62"/>
  <c r="AA125" i="62"/>
  <c r="AD125" i="62"/>
  <c r="AF125" i="62"/>
  <c r="AI125" i="62"/>
  <c r="I126" i="62"/>
  <c r="J126" i="62"/>
  <c r="K126" i="62"/>
  <c r="L126" i="62"/>
  <c r="M126" i="62"/>
  <c r="M127" i="62" s="1"/>
  <c r="N126" i="62"/>
  <c r="O126" i="62"/>
  <c r="P126" i="62"/>
  <c r="P127" i="62" s="1"/>
  <c r="AA126" i="62"/>
  <c r="F127" i="62"/>
  <c r="G127" i="62"/>
  <c r="H127" i="62"/>
  <c r="K127" i="62"/>
  <c r="L127" i="62"/>
  <c r="N127" i="62"/>
  <c r="O127" i="62"/>
  <c r="Q127" i="62"/>
  <c r="R127" i="62"/>
  <c r="S127" i="62"/>
  <c r="T127" i="62"/>
  <c r="X127" i="62"/>
  <c r="Y127" i="62"/>
  <c r="Z127" i="62" s="1"/>
  <c r="AA127" i="62"/>
  <c r="AD127" i="62"/>
  <c r="AF127" i="62"/>
  <c r="AI127" i="62"/>
  <c r="I128" i="62"/>
  <c r="J128" i="62"/>
  <c r="H129" i="62" s="1"/>
  <c r="Y129" i="62" s="1"/>
  <c r="Z129" i="62" s="1"/>
  <c r="K128" i="62"/>
  <c r="L128" i="62"/>
  <c r="M128" i="62"/>
  <c r="AC129" i="62" s="1"/>
  <c r="N128" i="62"/>
  <c r="O128" i="62"/>
  <c r="P128" i="62"/>
  <c r="AA128" i="62"/>
  <c r="F129" i="62"/>
  <c r="G129" i="62"/>
  <c r="K129" i="62"/>
  <c r="L129" i="62"/>
  <c r="N129" i="62"/>
  <c r="O129" i="62"/>
  <c r="P129" i="62"/>
  <c r="Q129" i="62"/>
  <c r="R129" i="62"/>
  <c r="S129" i="62"/>
  <c r="T129" i="62"/>
  <c r="X129" i="62"/>
  <c r="AA129" i="62"/>
  <c r="AD129" i="62"/>
  <c r="AF129" i="62"/>
  <c r="AI129" i="62"/>
  <c r="I130" i="62"/>
  <c r="J130" i="62"/>
  <c r="H131" i="62" s="1"/>
  <c r="Y131" i="62" s="1"/>
  <c r="K130" i="62"/>
  <c r="L130" i="62"/>
  <c r="M130" i="62"/>
  <c r="N130" i="62"/>
  <c r="O130" i="62"/>
  <c r="O131" i="62" s="1"/>
  <c r="P130" i="62"/>
  <c r="AA130" i="62"/>
  <c r="F131" i="62"/>
  <c r="G131" i="62"/>
  <c r="K131" i="62"/>
  <c r="L131" i="62"/>
  <c r="M131" i="62"/>
  <c r="N131" i="62"/>
  <c r="P131" i="62"/>
  <c r="Q131" i="62"/>
  <c r="R131" i="62"/>
  <c r="S131" i="62"/>
  <c r="T131" i="62"/>
  <c r="X131" i="62"/>
  <c r="Z131" i="62" s="1"/>
  <c r="AA131" i="62"/>
  <c r="AC131" i="62"/>
  <c r="AD131" i="62"/>
  <c r="AF131" i="62"/>
  <c r="AI131" i="62"/>
  <c r="AL9" i="62"/>
  <c r="AJ9" i="62" s="1"/>
  <c r="AK9" i="62" s="1"/>
  <c r="AI9" i="62"/>
  <c r="AF9" i="62"/>
  <c r="AE9" i="62"/>
  <c r="AD9" i="62"/>
  <c r="AC9" i="62"/>
  <c r="AB9" i="62"/>
  <c r="AA9" i="62"/>
  <c r="AA8" i="62"/>
  <c r="Z9" i="62"/>
  <c r="T9" i="62"/>
  <c r="S9" i="62"/>
  <c r="R9" i="62"/>
  <c r="Q9" i="62"/>
  <c r="P9" i="62"/>
  <c r="P8" i="62"/>
  <c r="O9" i="62"/>
  <c r="O8" i="62"/>
  <c r="M8" i="62"/>
  <c r="M9" i="62" s="1"/>
  <c r="N9" i="62"/>
  <c r="N8" i="62"/>
  <c r="L9" i="62"/>
  <c r="L8" i="62"/>
  <c r="K9" i="62"/>
  <c r="K8" i="62"/>
  <c r="J8" i="62"/>
  <c r="I8" i="62"/>
  <c r="F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D104" i="62"/>
  <c r="D105" i="62"/>
  <c r="D106" i="62"/>
  <c r="D107" i="62"/>
  <c r="D108" i="62"/>
  <c r="D109" i="62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C10" i="62"/>
  <c r="C12" i="62"/>
  <c r="C14" i="62"/>
  <c r="C16" i="62"/>
  <c r="C18" i="62"/>
  <c r="C20" i="62"/>
  <c r="C22" i="62"/>
  <c r="C24" i="62"/>
  <c r="C26" i="62"/>
  <c r="C28" i="62"/>
  <c r="C30" i="62"/>
  <c r="C32" i="62"/>
  <c r="C34" i="62"/>
  <c r="C36" i="62"/>
  <c r="C38" i="62"/>
  <c r="C40" i="62"/>
  <c r="C42" i="62"/>
  <c r="C44" i="62"/>
  <c r="C46" i="62"/>
  <c r="C48" i="62"/>
  <c r="C50" i="62"/>
  <c r="C52" i="62"/>
  <c r="C54" i="62"/>
  <c r="C56" i="62"/>
  <c r="C58" i="62"/>
  <c r="C60" i="62"/>
  <c r="C62" i="62"/>
  <c r="C64" i="62"/>
  <c r="C66" i="62"/>
  <c r="C68" i="62"/>
  <c r="C70" i="62"/>
  <c r="C72" i="62"/>
  <c r="C74" i="62"/>
  <c r="C76" i="62"/>
  <c r="C78" i="62"/>
  <c r="C80" i="62"/>
  <c r="C82" i="62"/>
  <c r="C84" i="62"/>
  <c r="C86" i="62"/>
  <c r="C88" i="62"/>
  <c r="C90" i="62"/>
  <c r="C92" i="62"/>
  <c r="C94" i="62"/>
  <c r="C96" i="62"/>
  <c r="C98" i="62"/>
  <c r="C100" i="62"/>
  <c r="C102" i="62"/>
  <c r="C104" i="62"/>
  <c r="C106" i="62"/>
  <c r="C108" i="62"/>
  <c r="C110" i="62"/>
  <c r="C112" i="62"/>
  <c r="C114" i="62"/>
  <c r="C116" i="62"/>
  <c r="C118" i="62"/>
  <c r="C120" i="62"/>
  <c r="C122" i="62"/>
  <c r="C124" i="62"/>
  <c r="C126" i="62"/>
  <c r="C128" i="62"/>
  <c r="C130" i="62"/>
  <c r="D9" i="62"/>
  <c r="C8" i="62"/>
  <c r="E11" i="25"/>
  <c r="AF11" i="25"/>
  <c r="AY11" i="25"/>
  <c r="AZ11" i="25" s="1"/>
  <c r="BA11" i="25" s="1"/>
  <c r="BB11" i="25" s="1"/>
  <c r="BG11" i="25"/>
  <c r="E13" i="25"/>
  <c r="AF13" i="25"/>
  <c r="AY13" i="25"/>
  <c r="AZ13" i="25" s="1"/>
  <c r="BA13" i="25" s="1"/>
  <c r="BB13" i="25"/>
  <c r="BG13" i="25"/>
  <c r="E15" i="25"/>
  <c r="AF15" i="25"/>
  <c r="AY15" i="25"/>
  <c r="AZ15" i="25" s="1"/>
  <c r="BA15" i="25" s="1"/>
  <c r="BB15" i="25" s="1"/>
  <c r="BG15" i="25"/>
  <c r="E17" i="25"/>
  <c r="AF17" i="25"/>
  <c r="AY17" i="25"/>
  <c r="AZ17" i="25"/>
  <c r="BA17" i="25" s="1"/>
  <c r="BB17" i="25" s="1"/>
  <c r="BG17" i="25"/>
  <c r="E19" i="25"/>
  <c r="AF19" i="25"/>
  <c r="AY19" i="25"/>
  <c r="AZ19" i="25" s="1"/>
  <c r="BA19" i="25" s="1"/>
  <c r="BB19" i="25" s="1"/>
  <c r="BG19" i="25"/>
  <c r="E21" i="25"/>
  <c r="AF21" i="25"/>
  <c r="AY21" i="25"/>
  <c r="AZ21" i="25" s="1"/>
  <c r="BA21" i="25" s="1"/>
  <c r="BB21" i="25" s="1"/>
  <c r="BG21" i="25"/>
  <c r="E23" i="25"/>
  <c r="AF23" i="25"/>
  <c r="AY23" i="25"/>
  <c r="AZ23" i="25" s="1"/>
  <c r="BA23" i="25" s="1"/>
  <c r="BB23" i="25" s="1"/>
  <c r="BG23" i="25"/>
  <c r="E25" i="25"/>
  <c r="AF25" i="25"/>
  <c r="AY25" i="25"/>
  <c r="AZ25" i="25"/>
  <c r="BA25" i="25" s="1"/>
  <c r="BB25" i="25" s="1"/>
  <c r="BG25" i="25"/>
  <c r="E27" i="25"/>
  <c r="AF27" i="25"/>
  <c r="AY27" i="25"/>
  <c r="AZ27" i="25" s="1"/>
  <c r="BA27" i="25" s="1"/>
  <c r="BB27" i="25" s="1"/>
  <c r="BG27" i="25"/>
  <c r="E29" i="25"/>
  <c r="AF29" i="25"/>
  <c r="AY29" i="25"/>
  <c r="AZ29" i="25"/>
  <c r="BA29" i="25" s="1"/>
  <c r="BB29" i="25"/>
  <c r="BG29" i="25"/>
  <c r="E31" i="25"/>
  <c r="AF31" i="25"/>
  <c r="AY31" i="25"/>
  <c r="AZ31" i="25"/>
  <c r="BA31" i="25"/>
  <c r="BB31" i="25" s="1"/>
  <c r="BG31" i="25"/>
  <c r="E33" i="25"/>
  <c r="AF33" i="25"/>
  <c r="AY33" i="25"/>
  <c r="AZ33" i="25"/>
  <c r="BA33" i="25" s="1"/>
  <c r="BB33" i="25" s="1"/>
  <c r="BG33" i="25"/>
  <c r="E35" i="25"/>
  <c r="AF35" i="25"/>
  <c r="AY35" i="25"/>
  <c r="AZ35" i="25" s="1"/>
  <c r="BA35" i="25" s="1"/>
  <c r="BB35" i="25" s="1"/>
  <c r="BG35" i="25"/>
  <c r="E37" i="25"/>
  <c r="AF37" i="25"/>
  <c r="AY37" i="25"/>
  <c r="AZ37" i="25" s="1"/>
  <c r="BA37" i="25" s="1"/>
  <c r="BB37" i="25" s="1"/>
  <c r="BG37" i="25"/>
  <c r="E39" i="25"/>
  <c r="AF39" i="25"/>
  <c r="AY39" i="25"/>
  <c r="AZ39" i="25" s="1"/>
  <c r="BA39" i="25" s="1"/>
  <c r="BB39" i="25" s="1"/>
  <c r="BG39" i="25"/>
  <c r="E41" i="25"/>
  <c r="AF41" i="25"/>
  <c r="AY41" i="25"/>
  <c r="AZ41" i="25"/>
  <c r="BA41" i="25" s="1"/>
  <c r="BB41" i="25" s="1"/>
  <c r="BG41" i="25"/>
  <c r="E43" i="25"/>
  <c r="AF43" i="25"/>
  <c r="AY43" i="25"/>
  <c r="AZ43" i="25" s="1"/>
  <c r="BA43" i="25" s="1"/>
  <c r="BB43" i="25" s="1"/>
  <c r="BG43" i="25"/>
  <c r="E45" i="25"/>
  <c r="AF45" i="25"/>
  <c r="AY45" i="25"/>
  <c r="AZ45" i="25" s="1"/>
  <c r="BA45" i="25" s="1"/>
  <c r="BB45" i="25" s="1"/>
  <c r="BG45" i="25"/>
  <c r="E47" i="25"/>
  <c r="AF47" i="25"/>
  <c r="AY47" i="25"/>
  <c r="AZ47" i="25"/>
  <c r="BA47" i="25"/>
  <c r="BB47" i="25" s="1"/>
  <c r="BG47" i="25"/>
  <c r="E49" i="25"/>
  <c r="AF49" i="25"/>
  <c r="AY49" i="25"/>
  <c r="AZ49" i="25"/>
  <c r="BA49" i="25" s="1"/>
  <c r="BB49" i="25" s="1"/>
  <c r="BG49" i="25"/>
  <c r="E51" i="25"/>
  <c r="AF51" i="25"/>
  <c r="AY51" i="25"/>
  <c r="AZ51" i="25" s="1"/>
  <c r="BA51" i="25" s="1"/>
  <c r="BB51" i="25" s="1"/>
  <c r="BG51" i="25"/>
  <c r="E53" i="25"/>
  <c r="AF53" i="25"/>
  <c r="AY53" i="25"/>
  <c r="AZ53" i="25" s="1"/>
  <c r="BA53" i="25" s="1"/>
  <c r="BB53" i="25" s="1"/>
  <c r="BG53" i="25"/>
  <c r="E55" i="25"/>
  <c r="AF55" i="25"/>
  <c r="AY55" i="25"/>
  <c r="AZ55" i="25" s="1"/>
  <c r="BA55" i="25"/>
  <c r="BB55" i="25" s="1"/>
  <c r="BG55" i="25"/>
  <c r="E57" i="25"/>
  <c r="AF57" i="25"/>
  <c r="AY57" i="25"/>
  <c r="AZ57" i="25"/>
  <c r="BA57" i="25" s="1"/>
  <c r="BB57" i="25" s="1"/>
  <c r="BG57" i="25"/>
  <c r="E59" i="25"/>
  <c r="AF59" i="25"/>
  <c r="AY59" i="25"/>
  <c r="AZ59" i="25" s="1"/>
  <c r="BA59" i="25" s="1"/>
  <c r="BB59" i="25" s="1"/>
  <c r="BG59" i="25"/>
  <c r="E61" i="25"/>
  <c r="AF61" i="25"/>
  <c r="AY61" i="25"/>
  <c r="AZ61" i="25" s="1"/>
  <c r="BA61" i="25" s="1"/>
  <c r="BB61" i="25"/>
  <c r="BG61" i="25"/>
  <c r="E63" i="25"/>
  <c r="AF63" i="25"/>
  <c r="AY63" i="25"/>
  <c r="AZ63" i="25" s="1"/>
  <c r="BA63" i="25" s="1"/>
  <c r="BB63" i="25" s="1"/>
  <c r="BG63" i="25"/>
  <c r="E65" i="25"/>
  <c r="AF65" i="25"/>
  <c r="AY65" i="25"/>
  <c r="AZ65" i="25"/>
  <c r="BA65" i="25" s="1"/>
  <c r="BB65" i="25" s="1"/>
  <c r="BG65" i="25"/>
  <c r="E67" i="25"/>
  <c r="AF67" i="25"/>
  <c r="AY67" i="25"/>
  <c r="AZ67" i="25" s="1"/>
  <c r="BA67" i="25" s="1"/>
  <c r="BB67" i="25" s="1"/>
  <c r="BG67" i="25"/>
  <c r="E69" i="25"/>
  <c r="AF69" i="25"/>
  <c r="AY69" i="25"/>
  <c r="AZ69" i="25" s="1"/>
  <c r="BA69" i="25" s="1"/>
  <c r="BB69" i="25" s="1"/>
  <c r="BG69" i="25"/>
  <c r="E71" i="25"/>
  <c r="AF71" i="25"/>
  <c r="AY71" i="25"/>
  <c r="AZ71" i="25" s="1"/>
  <c r="BA71" i="25" s="1"/>
  <c r="BB71" i="25" s="1"/>
  <c r="BG71" i="25"/>
  <c r="E73" i="25"/>
  <c r="AF73" i="25"/>
  <c r="AY73" i="25"/>
  <c r="AZ73" i="25"/>
  <c r="BA73" i="25" s="1"/>
  <c r="BB73" i="25" s="1"/>
  <c r="BG73" i="25"/>
  <c r="E75" i="25"/>
  <c r="AF75" i="25"/>
  <c r="AY75" i="25"/>
  <c r="AZ75" i="25" s="1"/>
  <c r="BA75" i="25" s="1"/>
  <c r="BB75" i="25" s="1"/>
  <c r="BG75" i="25"/>
  <c r="E77" i="25"/>
  <c r="AF77" i="25"/>
  <c r="AY77" i="25"/>
  <c r="AZ77" i="25" s="1"/>
  <c r="BA77" i="25" s="1"/>
  <c r="BB77" i="25" s="1"/>
  <c r="BG77" i="25"/>
  <c r="E79" i="25"/>
  <c r="AF79" i="25"/>
  <c r="AY79" i="25"/>
  <c r="AZ79" i="25" s="1"/>
  <c r="BA79" i="25" s="1"/>
  <c r="BB79" i="25" s="1"/>
  <c r="BG79" i="25"/>
  <c r="E81" i="25"/>
  <c r="AF81" i="25"/>
  <c r="AY81" i="25"/>
  <c r="AZ81" i="25"/>
  <c r="BA81" i="25" s="1"/>
  <c r="BB81" i="25" s="1"/>
  <c r="BG81" i="25"/>
  <c r="E83" i="25"/>
  <c r="AF83" i="25"/>
  <c r="AY83" i="25"/>
  <c r="AZ83" i="25" s="1"/>
  <c r="BA83" i="25" s="1"/>
  <c r="BB83" i="25" s="1"/>
  <c r="BG83" i="25"/>
  <c r="E85" i="25"/>
  <c r="AF85" i="25"/>
  <c r="AY85" i="25"/>
  <c r="AZ85" i="25" s="1"/>
  <c r="BA85" i="25" s="1"/>
  <c r="BB85" i="25" s="1"/>
  <c r="BG85" i="25"/>
  <c r="E87" i="25"/>
  <c r="AF87" i="25"/>
  <c r="AY87" i="25"/>
  <c r="AZ87" i="25" s="1"/>
  <c r="BA87" i="25" s="1"/>
  <c r="BB87" i="25" s="1"/>
  <c r="BG87" i="25"/>
  <c r="E89" i="25"/>
  <c r="AF89" i="25"/>
  <c r="AY89" i="25"/>
  <c r="AZ89" i="25"/>
  <c r="BA89" i="25" s="1"/>
  <c r="BB89" i="25" s="1"/>
  <c r="BG89" i="25"/>
  <c r="E91" i="25"/>
  <c r="AF91" i="25"/>
  <c r="AY91" i="25"/>
  <c r="AZ91" i="25" s="1"/>
  <c r="BA91" i="25" s="1"/>
  <c r="BB91" i="25" s="1"/>
  <c r="BG91" i="25"/>
  <c r="E93" i="25"/>
  <c r="AF93" i="25"/>
  <c r="AY93" i="25"/>
  <c r="AZ93" i="25" s="1"/>
  <c r="BA93" i="25" s="1"/>
  <c r="BB93" i="25" s="1"/>
  <c r="BG93" i="25"/>
  <c r="E95" i="25"/>
  <c r="AF95" i="25"/>
  <c r="AY95" i="25"/>
  <c r="AZ95" i="25" s="1"/>
  <c r="BA95" i="25" s="1"/>
  <c r="BB95" i="25" s="1"/>
  <c r="BG95" i="25"/>
  <c r="E97" i="25"/>
  <c r="AF97" i="25"/>
  <c r="AY97" i="25"/>
  <c r="AZ97" i="25"/>
  <c r="BA97" i="25" s="1"/>
  <c r="BB97" i="25" s="1"/>
  <c r="BG97" i="25"/>
  <c r="E99" i="25"/>
  <c r="AF99" i="25"/>
  <c r="AY99" i="25"/>
  <c r="AZ99" i="25" s="1"/>
  <c r="BA99" i="25" s="1"/>
  <c r="BB99" i="25" s="1"/>
  <c r="BG99" i="25"/>
  <c r="E101" i="25"/>
  <c r="AF101" i="25"/>
  <c r="AY101" i="25"/>
  <c r="AZ101" i="25" s="1"/>
  <c r="BA101" i="25" s="1"/>
  <c r="BB101" i="25" s="1"/>
  <c r="BG101" i="25"/>
  <c r="E103" i="25"/>
  <c r="AF103" i="25"/>
  <c r="AY103" i="25"/>
  <c r="AZ103" i="25" s="1"/>
  <c r="BA103" i="25" s="1"/>
  <c r="BB103" i="25" s="1"/>
  <c r="BG103" i="25"/>
  <c r="E105" i="25"/>
  <c r="AF105" i="25"/>
  <c r="AY105" i="25"/>
  <c r="AZ105" i="25"/>
  <c r="BA105" i="25" s="1"/>
  <c r="BB105" i="25" s="1"/>
  <c r="BG105" i="25"/>
  <c r="E107" i="25"/>
  <c r="AF107" i="25"/>
  <c r="AY107" i="25"/>
  <c r="AZ107" i="25" s="1"/>
  <c r="BA107" i="25" s="1"/>
  <c r="BB107" i="25" s="1"/>
  <c r="BG107" i="25"/>
  <c r="E109" i="25"/>
  <c r="AF109" i="25"/>
  <c r="AY109" i="25"/>
  <c r="AZ109" i="25" s="1"/>
  <c r="BA109" i="25" s="1"/>
  <c r="BB109" i="25"/>
  <c r="BG109" i="25"/>
  <c r="E111" i="25"/>
  <c r="AF111" i="25"/>
  <c r="AY111" i="25"/>
  <c r="AZ111" i="25" s="1"/>
  <c r="BA111" i="25" s="1"/>
  <c r="BB111" i="25" s="1"/>
  <c r="BG111" i="25"/>
  <c r="E113" i="25"/>
  <c r="AF113" i="25"/>
  <c r="AY113" i="25"/>
  <c r="AZ113" i="25"/>
  <c r="BA113" i="25" s="1"/>
  <c r="BB113" i="25"/>
  <c r="BG113" i="25"/>
  <c r="E115" i="25"/>
  <c r="AF115" i="25"/>
  <c r="AY115" i="25"/>
  <c r="AZ115" i="25" s="1"/>
  <c r="BA115" i="25" s="1"/>
  <c r="BB115" i="25" s="1"/>
  <c r="BG115" i="25"/>
  <c r="E117" i="25"/>
  <c r="AF117" i="25"/>
  <c r="AY117" i="25"/>
  <c r="AZ117" i="25"/>
  <c r="BA117" i="25" s="1"/>
  <c r="BB117" i="25" s="1"/>
  <c r="BG117" i="25"/>
  <c r="E119" i="25"/>
  <c r="AF119" i="25"/>
  <c r="AY119" i="25"/>
  <c r="AZ119" i="25" s="1"/>
  <c r="BA119" i="25"/>
  <c r="BB119" i="25" s="1"/>
  <c r="BG119" i="25"/>
  <c r="E121" i="25"/>
  <c r="AF121" i="25"/>
  <c r="AY121" i="25"/>
  <c r="AZ121" i="25"/>
  <c r="BA121" i="25" s="1"/>
  <c r="BB121" i="25" s="1"/>
  <c r="BG121" i="25"/>
  <c r="E123" i="25"/>
  <c r="AF123" i="25"/>
  <c r="AY123" i="25"/>
  <c r="AZ123" i="25" s="1"/>
  <c r="BA123" i="25"/>
  <c r="BB123" i="25" s="1"/>
  <c r="BG123" i="25"/>
  <c r="E125" i="25"/>
  <c r="AF125" i="25"/>
  <c r="AY125" i="25"/>
  <c r="AZ125" i="25" s="1"/>
  <c r="BA125" i="25" s="1"/>
  <c r="BB125" i="25" s="1"/>
  <c r="BG125" i="25"/>
  <c r="E127" i="25"/>
  <c r="AF127" i="25"/>
  <c r="AY127" i="25"/>
  <c r="AZ127" i="25" s="1"/>
  <c r="BA127" i="25" s="1"/>
  <c r="BB127" i="25" s="1"/>
  <c r="BG127" i="25"/>
  <c r="E129" i="25"/>
  <c r="AF129" i="25"/>
  <c r="AY129" i="25"/>
  <c r="AZ129" i="25"/>
  <c r="BA129" i="25" s="1"/>
  <c r="BB129" i="25"/>
  <c r="BG129" i="25"/>
  <c r="E131" i="25"/>
  <c r="AF131" i="25"/>
  <c r="AY131" i="25"/>
  <c r="AZ131" i="25" s="1"/>
  <c r="BA131" i="25" s="1"/>
  <c r="BB131" i="25" s="1"/>
  <c r="BG131" i="25"/>
  <c r="E133" i="25"/>
  <c r="AF133" i="25"/>
  <c r="AY133" i="25"/>
  <c r="AZ133" i="25"/>
  <c r="BA133" i="25" s="1"/>
  <c r="BB133" i="25" s="1"/>
  <c r="BG133" i="25"/>
  <c r="E135" i="25"/>
  <c r="AF135" i="25"/>
  <c r="AY135" i="25"/>
  <c r="AZ135" i="25" s="1"/>
  <c r="BA135" i="25"/>
  <c r="BB135" i="25" s="1"/>
  <c r="BG135" i="25"/>
  <c r="E137" i="25"/>
  <c r="AF137" i="25"/>
  <c r="AY137" i="25"/>
  <c r="AZ137" i="25"/>
  <c r="BA137" i="25" s="1"/>
  <c r="BB137" i="25" s="1"/>
  <c r="BG137" i="25"/>
  <c r="E139" i="25"/>
  <c r="AF139" i="25"/>
  <c r="AY139" i="25"/>
  <c r="AZ139" i="25" s="1"/>
  <c r="BA139" i="25"/>
  <c r="BB139" i="25" s="1"/>
  <c r="BG139" i="25"/>
  <c r="E141" i="25"/>
  <c r="AF141" i="25"/>
  <c r="AY141" i="25"/>
  <c r="AZ141" i="25" s="1"/>
  <c r="BA141" i="25" s="1"/>
  <c r="BB141" i="25" s="1"/>
  <c r="BG141" i="25"/>
  <c r="E143" i="25"/>
  <c r="AF143" i="25"/>
  <c r="AY143" i="25"/>
  <c r="AZ143" i="25" s="1"/>
  <c r="BA143" i="25" s="1"/>
  <c r="BB143" i="25" s="1"/>
  <c r="BG143" i="25"/>
  <c r="E145" i="25"/>
  <c r="AF145" i="25"/>
  <c r="AY145" i="25"/>
  <c r="AZ145" i="25"/>
  <c r="BA145" i="25" s="1"/>
  <c r="BB145" i="25"/>
  <c r="BG145" i="25"/>
  <c r="E147" i="25"/>
  <c r="AF147" i="25"/>
  <c r="AY147" i="25"/>
  <c r="AZ147" i="25" s="1"/>
  <c r="BA147" i="25" s="1"/>
  <c r="BB147" i="25" s="1"/>
  <c r="BG147" i="25"/>
  <c r="E149" i="25"/>
  <c r="AF149" i="25"/>
  <c r="AY149" i="25"/>
  <c r="AZ149" i="25"/>
  <c r="BA149" i="25" s="1"/>
  <c r="BB149" i="25" s="1"/>
  <c r="BG149" i="25"/>
  <c r="E151" i="25"/>
  <c r="AF151" i="25"/>
  <c r="AY151" i="25"/>
  <c r="AZ151" i="25" s="1"/>
  <c r="BA151" i="25" s="1"/>
  <c r="BB151" i="25" s="1"/>
  <c r="BG151" i="25"/>
  <c r="E153" i="25"/>
  <c r="AF153" i="25"/>
  <c r="AY153" i="25"/>
  <c r="AZ153" i="25"/>
  <c r="BA153" i="25" s="1"/>
  <c r="BB153" i="25" s="1"/>
  <c r="BG153" i="25"/>
  <c r="E155" i="25"/>
  <c r="AF155" i="25"/>
  <c r="AY155" i="25"/>
  <c r="AZ155" i="25" s="1"/>
  <c r="BA155" i="25"/>
  <c r="BB155" i="25" s="1"/>
  <c r="BG155" i="25"/>
  <c r="E157" i="25"/>
  <c r="AF157" i="25"/>
  <c r="AY157" i="25"/>
  <c r="AZ157" i="25" s="1"/>
  <c r="BA157" i="25" s="1"/>
  <c r="BB157" i="25" s="1"/>
  <c r="BG157" i="25"/>
  <c r="E159" i="25"/>
  <c r="AF159" i="25"/>
  <c r="AY159" i="25"/>
  <c r="AZ159" i="25" s="1"/>
  <c r="BA159" i="25" s="1"/>
  <c r="BB159" i="25" s="1"/>
  <c r="BG159" i="25"/>
  <c r="E161" i="25"/>
  <c r="AF161" i="25"/>
  <c r="AY161" i="25"/>
  <c r="AZ161" i="25"/>
  <c r="BA161" i="25" s="1"/>
  <c r="BB161" i="25" s="1"/>
  <c r="BG161" i="25"/>
  <c r="E163" i="25"/>
  <c r="AF163" i="25"/>
  <c r="AY163" i="25"/>
  <c r="AZ163" i="25"/>
  <c r="BA163" i="25" s="1"/>
  <c r="BB163" i="25"/>
  <c r="BG163" i="25"/>
  <c r="E165" i="25"/>
  <c r="AF165" i="25"/>
  <c r="AY165" i="25"/>
  <c r="AZ165" i="25" s="1"/>
  <c r="BA165" i="25" s="1"/>
  <c r="BB165" i="25" s="1"/>
  <c r="BG165" i="25"/>
  <c r="E167" i="25"/>
  <c r="AF167" i="25"/>
  <c r="AY167" i="25"/>
  <c r="AZ167" i="25"/>
  <c r="BA167" i="25" s="1"/>
  <c r="BB167" i="25" s="1"/>
  <c r="BG167" i="25"/>
  <c r="E169" i="25"/>
  <c r="AF169" i="25"/>
  <c r="AY169" i="25"/>
  <c r="AZ169" i="25"/>
  <c r="BA169" i="25"/>
  <c r="BB169" i="25" s="1"/>
  <c r="BG169" i="25"/>
  <c r="E171" i="25"/>
  <c r="AF171" i="25"/>
  <c r="AY171" i="25"/>
  <c r="AZ171" i="25"/>
  <c r="BA171" i="25" s="1"/>
  <c r="BB171" i="25" s="1"/>
  <c r="BG171" i="25"/>
  <c r="E173" i="25"/>
  <c r="AF173" i="25"/>
  <c r="AY173" i="25"/>
  <c r="AZ173" i="25" s="1"/>
  <c r="BA173" i="25" s="1"/>
  <c r="BB173" i="25" s="1"/>
  <c r="BG173" i="25"/>
  <c r="E175" i="25"/>
  <c r="AF175" i="25"/>
  <c r="AY175" i="25"/>
  <c r="AZ175" i="25" s="1"/>
  <c r="BA175" i="25" s="1"/>
  <c r="BB175" i="25" s="1"/>
  <c r="BG175" i="25"/>
  <c r="E177" i="25"/>
  <c r="AF177" i="25"/>
  <c r="AY177" i="25"/>
  <c r="AZ177" i="25" s="1"/>
  <c r="BA177" i="25" s="1"/>
  <c r="BB177" i="25" s="1"/>
  <c r="BG177" i="25"/>
  <c r="E179" i="25"/>
  <c r="AF179" i="25"/>
  <c r="AY179" i="25"/>
  <c r="AZ179" i="25"/>
  <c r="BA179" i="25" s="1"/>
  <c r="BB179" i="25" s="1"/>
  <c r="BG179" i="25"/>
  <c r="E181" i="25"/>
  <c r="AF181" i="25"/>
  <c r="AY181" i="25"/>
  <c r="AZ181" i="25" s="1"/>
  <c r="BA181" i="25" s="1"/>
  <c r="BB181" i="25" s="1"/>
  <c r="BG181" i="25"/>
  <c r="E183" i="25"/>
  <c r="AF183" i="25"/>
  <c r="AY183" i="25"/>
  <c r="AZ183" i="25"/>
  <c r="BA183" i="25" s="1"/>
  <c r="BB183" i="25" s="1"/>
  <c r="BG183" i="25"/>
  <c r="E185" i="25"/>
  <c r="AF185" i="25"/>
  <c r="AY185" i="25"/>
  <c r="AZ185" i="25"/>
  <c r="BA185" i="25"/>
  <c r="BB185" i="25" s="1"/>
  <c r="BG185" i="25"/>
  <c r="E187" i="25"/>
  <c r="AF187" i="25"/>
  <c r="AY187" i="25"/>
  <c r="AZ187" i="25"/>
  <c r="BA187" i="25" s="1"/>
  <c r="BB187" i="25" s="1"/>
  <c r="BG187" i="25"/>
  <c r="E189" i="25"/>
  <c r="AF189" i="25"/>
  <c r="AY189" i="25"/>
  <c r="AZ189" i="25" s="1"/>
  <c r="BA189" i="25"/>
  <c r="BB189" i="25" s="1"/>
  <c r="BG189" i="25"/>
  <c r="E191" i="25"/>
  <c r="AF191" i="25"/>
  <c r="AY191" i="25"/>
  <c r="AZ191" i="25" s="1"/>
  <c r="BA191" i="25" s="1"/>
  <c r="BB191" i="25" s="1"/>
  <c r="BG191" i="25"/>
  <c r="E193" i="25"/>
  <c r="AF193" i="25"/>
  <c r="AY193" i="25"/>
  <c r="AZ193" i="25" s="1"/>
  <c r="BA193" i="25" s="1"/>
  <c r="BB193" i="25" s="1"/>
  <c r="BG193" i="25"/>
  <c r="E195" i="25"/>
  <c r="AF195" i="25"/>
  <c r="AY195" i="25"/>
  <c r="AZ195" i="25"/>
  <c r="BA195" i="25" s="1"/>
  <c r="BB195" i="25"/>
  <c r="BG195" i="25"/>
  <c r="E197" i="25"/>
  <c r="AF197" i="25"/>
  <c r="AY197" i="25"/>
  <c r="AZ197" i="25" s="1"/>
  <c r="BA197" i="25" s="1"/>
  <c r="BB197" i="25" s="1"/>
  <c r="BG197" i="25"/>
  <c r="E199" i="25"/>
  <c r="AF199" i="25"/>
  <c r="AY199" i="25"/>
  <c r="AZ199" i="25"/>
  <c r="BA199" i="25" s="1"/>
  <c r="BB199" i="25" s="1"/>
  <c r="BG199" i="25"/>
  <c r="E201" i="25"/>
  <c r="AF201" i="25"/>
  <c r="AY201" i="25"/>
  <c r="AZ201" i="25"/>
  <c r="BA201" i="25"/>
  <c r="BB201" i="25" s="1"/>
  <c r="BG201" i="25"/>
  <c r="E203" i="25"/>
  <c r="AF203" i="25"/>
  <c r="AY203" i="25"/>
  <c r="AZ203" i="25"/>
  <c r="BA203" i="25" s="1"/>
  <c r="BB203" i="25" s="1"/>
  <c r="BG203" i="25"/>
  <c r="E205" i="25"/>
  <c r="AF205" i="25"/>
  <c r="AY205" i="25"/>
  <c r="AZ205" i="25" s="1"/>
  <c r="BA205" i="25" s="1"/>
  <c r="BB205" i="25" s="1"/>
  <c r="BG205" i="25"/>
  <c r="E207" i="25"/>
  <c r="AF207" i="25"/>
  <c r="AY207" i="25"/>
  <c r="AZ207" i="25" s="1"/>
  <c r="BA207" i="25" s="1"/>
  <c r="BB207" i="25" s="1"/>
  <c r="BG207" i="25"/>
  <c r="E209" i="25"/>
  <c r="AF209" i="25"/>
  <c r="AY209" i="25"/>
  <c r="AZ209" i="25" s="1"/>
  <c r="BA209" i="25" s="1"/>
  <c r="BB209" i="25" s="1"/>
  <c r="BG209" i="25"/>
  <c r="E211" i="25"/>
  <c r="AF211" i="25"/>
  <c r="AY211" i="25"/>
  <c r="AZ211" i="25"/>
  <c r="BA211" i="25" s="1"/>
  <c r="BB211" i="25" s="1"/>
  <c r="BG211" i="25"/>
  <c r="E213" i="25"/>
  <c r="AF213" i="25"/>
  <c r="AY213" i="25"/>
  <c r="AZ213" i="25" s="1"/>
  <c r="BA213" i="25" s="1"/>
  <c r="BB213" i="25" s="1"/>
  <c r="BG213" i="25"/>
  <c r="E215" i="25"/>
  <c r="AF215" i="25"/>
  <c r="AY215" i="25"/>
  <c r="AZ215" i="25"/>
  <c r="BA215" i="25" s="1"/>
  <c r="BB215" i="25" s="1"/>
  <c r="BG215" i="25"/>
  <c r="E217" i="25"/>
  <c r="AF217" i="25"/>
  <c r="AY217" i="25"/>
  <c r="AZ217" i="25"/>
  <c r="BA217" i="25"/>
  <c r="BB217" i="25" s="1"/>
  <c r="BG217" i="25"/>
  <c r="E219" i="25"/>
  <c r="AF219" i="25"/>
  <c r="AY219" i="25"/>
  <c r="AZ219" i="25"/>
  <c r="BA219" i="25" s="1"/>
  <c r="BB219" i="25" s="1"/>
  <c r="BG219" i="25"/>
  <c r="E221" i="25"/>
  <c r="AF221" i="25"/>
  <c r="AY221" i="25"/>
  <c r="AZ221" i="25" s="1"/>
  <c r="BA221" i="25" s="1"/>
  <c r="BB221" i="25" s="1"/>
  <c r="BG221" i="25"/>
  <c r="E223" i="25"/>
  <c r="AF223" i="25"/>
  <c r="AY223" i="25"/>
  <c r="AZ223" i="25" s="1"/>
  <c r="BA223" i="25" s="1"/>
  <c r="BB223" i="25"/>
  <c r="BG223" i="25"/>
  <c r="E225" i="25"/>
  <c r="AF225" i="25"/>
  <c r="AY225" i="25"/>
  <c r="AZ225" i="25" s="1"/>
  <c r="BA225" i="25" s="1"/>
  <c r="BB225" i="25" s="1"/>
  <c r="BG225" i="25"/>
  <c r="E227" i="25"/>
  <c r="AF227" i="25"/>
  <c r="AY227" i="25"/>
  <c r="AZ227" i="25"/>
  <c r="BA227" i="25" s="1"/>
  <c r="BB227" i="25"/>
  <c r="BG227" i="25"/>
  <c r="E229" i="25"/>
  <c r="AF229" i="25"/>
  <c r="AY229" i="25"/>
  <c r="AZ229" i="25" s="1"/>
  <c r="BA229" i="25" s="1"/>
  <c r="BB229" i="25" s="1"/>
  <c r="BG229" i="25"/>
  <c r="E231" i="25"/>
  <c r="AF231" i="25"/>
  <c r="AY231" i="25"/>
  <c r="AZ231" i="25"/>
  <c r="BA231" i="25" s="1"/>
  <c r="BB231" i="25" s="1"/>
  <c r="BG231" i="25"/>
  <c r="E233" i="25"/>
  <c r="AF233" i="25"/>
  <c r="AY233" i="25"/>
  <c r="AZ233" i="25"/>
  <c r="BA233" i="25"/>
  <c r="BB233" i="25" s="1"/>
  <c r="BG233" i="25"/>
  <c r="E235" i="25"/>
  <c r="AF235" i="25"/>
  <c r="AY235" i="25"/>
  <c r="AZ235" i="25"/>
  <c r="BA235" i="25" s="1"/>
  <c r="BB235" i="25" s="1"/>
  <c r="BG235" i="25"/>
  <c r="E237" i="25"/>
  <c r="AF237" i="25"/>
  <c r="AY237" i="25"/>
  <c r="AZ237" i="25" s="1"/>
  <c r="BA237" i="25" s="1"/>
  <c r="BB237" i="25" s="1"/>
  <c r="BG237" i="25"/>
  <c r="E239" i="25"/>
  <c r="AF239" i="25"/>
  <c r="AY239" i="25"/>
  <c r="AZ239" i="25" s="1"/>
  <c r="BA239" i="25" s="1"/>
  <c r="BB239" i="25"/>
  <c r="BG239" i="25"/>
  <c r="E241" i="25"/>
  <c r="AF241" i="25"/>
  <c r="AY241" i="25"/>
  <c r="AZ241" i="25" s="1"/>
  <c r="BA241" i="25"/>
  <c r="BB241" i="25" s="1"/>
  <c r="BG241" i="25"/>
  <c r="E243" i="25"/>
  <c r="AF243" i="25"/>
  <c r="AY243" i="25"/>
  <c r="AZ243" i="25"/>
  <c r="BA243" i="25" s="1"/>
  <c r="BB243" i="25"/>
  <c r="BG243" i="25"/>
  <c r="E245" i="25"/>
  <c r="AF245" i="25"/>
  <c r="AY245" i="25"/>
  <c r="AZ245" i="25" s="1"/>
  <c r="BA245" i="25" s="1"/>
  <c r="BB245" i="25" s="1"/>
  <c r="BG245" i="25"/>
  <c r="E247" i="25"/>
  <c r="AF247" i="25"/>
  <c r="AY247" i="25"/>
  <c r="AZ247" i="25"/>
  <c r="BA247" i="25" s="1"/>
  <c r="BB247" i="25" s="1"/>
  <c r="BG247" i="25"/>
  <c r="E249" i="25"/>
  <c r="AF249" i="25"/>
  <c r="AY249" i="25"/>
  <c r="AZ249" i="25"/>
  <c r="BA249" i="25"/>
  <c r="BB249" i="25" s="1"/>
  <c r="BG249" i="25"/>
  <c r="E251" i="25"/>
  <c r="AF251" i="25"/>
  <c r="AY251" i="25"/>
  <c r="AZ251" i="25"/>
  <c r="BA251" i="25" s="1"/>
  <c r="BB251" i="25" s="1"/>
  <c r="BG251" i="25"/>
  <c r="E253" i="25"/>
  <c r="AF253" i="25"/>
  <c r="AY253" i="25"/>
  <c r="AZ253" i="25" s="1"/>
  <c r="BA253" i="25" s="1"/>
  <c r="BB253" i="25" s="1"/>
  <c r="BG253" i="25"/>
  <c r="E255" i="25"/>
  <c r="AF255" i="25"/>
  <c r="AY255" i="25"/>
  <c r="AZ255" i="25" s="1"/>
  <c r="BA255" i="25" s="1"/>
  <c r="BB255" i="25"/>
  <c r="BG255" i="25"/>
  <c r="E257" i="25"/>
  <c r="AF257" i="25"/>
  <c r="AY257" i="25"/>
  <c r="AZ257" i="25" s="1"/>
  <c r="BA257" i="25" s="1"/>
  <c r="BB257" i="25" s="1"/>
  <c r="BG257" i="25"/>
  <c r="E259" i="25"/>
  <c r="AF259" i="25"/>
  <c r="AY259" i="25"/>
  <c r="AZ259" i="25"/>
  <c r="BA259" i="25" s="1"/>
  <c r="BB259" i="25" s="1"/>
  <c r="BG259" i="25"/>
  <c r="E261" i="25"/>
  <c r="AF261" i="25"/>
  <c r="AY261" i="25"/>
  <c r="AZ261" i="25" s="1"/>
  <c r="BA261" i="25" s="1"/>
  <c r="BB261" i="25" s="1"/>
  <c r="BG261" i="25"/>
  <c r="E263" i="25"/>
  <c r="AF263" i="25"/>
  <c r="AY263" i="25"/>
  <c r="AZ263" i="25"/>
  <c r="BA263" i="25" s="1"/>
  <c r="BB263" i="25" s="1"/>
  <c r="BG263" i="25"/>
  <c r="E265" i="25"/>
  <c r="AF265" i="25"/>
  <c r="AY265" i="25"/>
  <c r="AZ265" i="25"/>
  <c r="BA265" i="25"/>
  <c r="BB265" i="25" s="1"/>
  <c r="BG265" i="25"/>
  <c r="E267" i="25"/>
  <c r="AF267" i="25"/>
  <c r="AY267" i="25"/>
  <c r="AZ267" i="25"/>
  <c r="BA267" i="25" s="1"/>
  <c r="BB267" i="25" s="1"/>
  <c r="BG267" i="25"/>
  <c r="E9" i="25"/>
  <c r="AZ9" i="25"/>
  <c r="U133" i="62" a="1"/>
  <c r="U133" i="62" s="1"/>
  <c r="V133" i="62" a="1"/>
  <c r="V133" i="62" s="1"/>
  <c r="W133" i="62" a="1"/>
  <c r="W133" i="62" s="1"/>
  <c r="U134" i="62" a="1"/>
  <c r="U134" i="62" s="1"/>
  <c r="V134" i="62" a="1"/>
  <c r="V134" i="62" s="1"/>
  <c r="W134" i="62" a="1"/>
  <c r="W134" i="62" s="1"/>
  <c r="AB121" i="62" l="1"/>
  <c r="AB131" i="62"/>
  <c r="Z117" i="62"/>
  <c r="AB117" i="62"/>
  <c r="AB73" i="62"/>
  <c r="AB69" i="62"/>
  <c r="AB57" i="62"/>
  <c r="Z115" i="62"/>
  <c r="AB115" i="62" s="1"/>
  <c r="Z119" i="62"/>
  <c r="AB119" i="62" s="1"/>
  <c r="AB105" i="62"/>
  <c r="Z97" i="62"/>
  <c r="Z95" i="62"/>
  <c r="AB95" i="62" s="1"/>
  <c r="AB127" i="62"/>
  <c r="AL111" i="62"/>
  <c r="AJ111" i="62" s="1"/>
  <c r="AK111" i="62" s="1"/>
  <c r="AB103" i="62"/>
  <c r="AB101" i="62"/>
  <c r="AB99" i="62"/>
  <c r="Z109" i="62"/>
  <c r="AB89" i="62"/>
  <c r="AB85" i="62"/>
  <c r="AC127" i="62"/>
  <c r="AC111" i="62"/>
  <c r="AE111" i="62" s="1"/>
  <c r="K93" i="62"/>
  <c r="AC91" i="62"/>
  <c r="AC77" i="62"/>
  <c r="Z57" i="62"/>
  <c r="AB27" i="62"/>
  <c r="AC19" i="62"/>
  <c r="M13" i="62"/>
  <c r="AB13" i="62" s="1"/>
  <c r="AC13" i="62"/>
  <c r="AC121" i="62"/>
  <c r="AC105" i="62"/>
  <c r="AC89" i="62"/>
  <c r="AC85" i="62"/>
  <c r="AC81" i="62"/>
  <c r="AB75" i="62"/>
  <c r="AB65" i="62"/>
  <c r="AC63" i="62"/>
  <c r="AC41" i="62"/>
  <c r="AC27" i="62"/>
  <c r="M129" i="62"/>
  <c r="AB129" i="62" s="1"/>
  <c r="K125" i="62"/>
  <c r="AB125" i="62" s="1"/>
  <c r="M113" i="62"/>
  <c r="AB113" i="62" s="1"/>
  <c r="K109" i="62"/>
  <c r="AC99" i="62"/>
  <c r="M97" i="62"/>
  <c r="AB97" i="62" s="1"/>
  <c r="Z87" i="62"/>
  <c r="AC87" i="62"/>
  <c r="K87" i="62"/>
  <c r="AB87" i="62" s="1"/>
  <c r="AB83" i="62"/>
  <c r="AC55" i="62"/>
  <c r="K55" i="62"/>
  <c r="AB55" i="62" s="1"/>
  <c r="AC39" i="62"/>
  <c r="K39" i="62"/>
  <c r="AB39" i="62" s="1"/>
  <c r="AB19" i="62"/>
  <c r="AC11" i="62"/>
  <c r="M11" i="62"/>
  <c r="AB11" i="62" s="1"/>
  <c r="AC117" i="62"/>
  <c r="Z63" i="62"/>
  <c r="AB63" i="62"/>
  <c r="AC51" i="62"/>
  <c r="AC49" i="62"/>
  <c r="AC35" i="62"/>
  <c r="AC25" i="62"/>
  <c r="K25" i="62"/>
  <c r="AB25" i="62" s="1"/>
  <c r="G21" i="62"/>
  <c r="X21" i="62" s="1"/>
  <c r="Z21" i="62" s="1"/>
  <c r="AB21" i="62" s="1"/>
  <c r="AC21" i="62"/>
  <c r="Z17" i="62"/>
  <c r="AB17" i="62" s="1"/>
  <c r="AE77" i="62"/>
  <c r="AL77" i="62"/>
  <c r="AJ77" i="62" s="1"/>
  <c r="AK77" i="62" s="1"/>
  <c r="AB67" i="62"/>
  <c r="AB31" i="62"/>
  <c r="AC119" i="62"/>
  <c r="AC103" i="62"/>
  <c r="AB81" i="62"/>
  <c r="Z73" i="62"/>
  <c r="AB61" i="62"/>
  <c r="AB49" i="62"/>
  <c r="Z41" i="62"/>
  <c r="AB41" i="62" s="1"/>
  <c r="M29" i="62"/>
  <c r="AB29" i="62" s="1"/>
  <c r="AC29" i="62"/>
  <c r="K123" i="62"/>
  <c r="AB123" i="62" s="1"/>
  <c r="K107" i="62"/>
  <c r="AB107" i="62" s="1"/>
  <c r="AB51" i="62"/>
  <c r="AB35" i="62"/>
  <c r="Z33" i="62"/>
  <c r="AB33" i="62"/>
  <c r="Z93" i="62"/>
  <c r="AC71" i="62"/>
  <c r="K71" i="62"/>
  <c r="AB71" i="62" s="1"/>
  <c r="Z91" i="62"/>
  <c r="AB91" i="62" s="1"/>
  <c r="AB79" i="62"/>
  <c r="AC73" i="62"/>
  <c r="AC69" i="62"/>
  <c r="AC65" i="62"/>
  <c r="Z59" i="62"/>
  <c r="AB59" i="62" s="1"/>
  <c r="G53" i="62"/>
  <c r="X53" i="62" s="1"/>
  <c r="Z53" i="62" s="1"/>
  <c r="AB53" i="62" s="1"/>
  <c r="AC53" i="62"/>
  <c r="Z47" i="62"/>
  <c r="AB47" i="62" s="1"/>
  <c r="Z45" i="62"/>
  <c r="AB45" i="62" s="1"/>
  <c r="AC45" i="62"/>
  <c r="Z43" i="62"/>
  <c r="AB43" i="62" s="1"/>
  <c r="AC43" i="62"/>
  <c r="G37" i="62"/>
  <c r="X37" i="62" s="1"/>
  <c r="Z37" i="62" s="1"/>
  <c r="AB37" i="62" s="1"/>
  <c r="AC37" i="62"/>
  <c r="AC23" i="62"/>
  <c r="K23" i="62"/>
  <c r="AB23" i="62" s="1"/>
  <c r="Z15" i="62"/>
  <c r="AB15" i="62" s="1"/>
  <c r="R133" i="62" a="1"/>
  <c r="R133" i="62" s="1"/>
  <c r="T134" i="62" a="1"/>
  <c r="T134" i="62" s="1"/>
  <c r="R134" i="62" a="1"/>
  <c r="R134" i="62" s="1"/>
  <c r="AF134" i="62" a="1"/>
  <c r="AF134" i="62" s="1"/>
  <c r="I134" i="62" a="1"/>
  <c r="I134" i="62" s="1"/>
  <c r="J134" i="62" a="1"/>
  <c r="J134" i="62" s="1"/>
  <c r="AF133" i="62" a="1"/>
  <c r="AF133" i="62" s="1"/>
  <c r="S133" i="62" a="1"/>
  <c r="S133" i="62" s="1"/>
  <c r="Q133" i="62" a="1"/>
  <c r="Q133" i="62" s="1"/>
  <c r="AA133" i="62" a="1"/>
  <c r="AA133" i="62" s="1"/>
  <c r="S134" i="62" a="1"/>
  <c r="S134" i="62" s="1"/>
  <c r="AA134" i="62" a="1"/>
  <c r="AA134" i="62" s="1"/>
  <c r="Q134" i="62" a="1"/>
  <c r="Q134" i="62" s="1"/>
  <c r="T133" i="62" a="1"/>
  <c r="T133" i="62" s="1"/>
  <c r="AF135" i="62" a="1"/>
  <c r="AF135" i="62" s="1"/>
  <c r="J133" i="62" a="1"/>
  <c r="J133" i="62" s="1"/>
  <c r="AL21" i="62" l="1"/>
  <c r="AJ21" i="62" s="1"/>
  <c r="AK21" i="62" s="1"/>
  <c r="AE21" i="62"/>
  <c r="AL53" i="62"/>
  <c r="AJ53" i="62" s="1"/>
  <c r="AK53" i="62" s="1"/>
  <c r="AE53" i="62"/>
  <c r="AL59" i="62"/>
  <c r="AJ59" i="62" s="1"/>
  <c r="AK59" i="62" s="1"/>
  <c r="AE59" i="62"/>
  <c r="AE29" i="62"/>
  <c r="AL29" i="62"/>
  <c r="AJ29" i="62" s="1"/>
  <c r="AK29" i="62" s="1"/>
  <c r="AL115" i="62"/>
  <c r="AJ115" i="62" s="1"/>
  <c r="AK115" i="62" s="1"/>
  <c r="AE115" i="62"/>
  <c r="AL119" i="62"/>
  <c r="AJ119" i="62" s="1"/>
  <c r="AK119" i="62" s="1"/>
  <c r="AE119" i="62"/>
  <c r="AE41" i="62"/>
  <c r="AL41" i="62"/>
  <c r="AJ41" i="62" s="1"/>
  <c r="AK41" i="62" s="1"/>
  <c r="AL97" i="62"/>
  <c r="AJ97" i="62" s="1"/>
  <c r="AK97" i="62" s="1"/>
  <c r="AE97" i="62"/>
  <c r="AL129" i="62"/>
  <c r="AJ129" i="62" s="1"/>
  <c r="AK129" i="62" s="1"/>
  <c r="AE129" i="62"/>
  <c r="AL37" i="62"/>
  <c r="AJ37" i="62" s="1"/>
  <c r="AK37" i="62" s="1"/>
  <c r="AE37" i="62"/>
  <c r="AL43" i="62"/>
  <c r="AJ43" i="62" s="1"/>
  <c r="AK43" i="62" s="1"/>
  <c r="AE43" i="62"/>
  <c r="AE13" i="62"/>
  <c r="AL13" i="62"/>
  <c r="AJ13" i="62" s="1"/>
  <c r="AK13" i="62" s="1"/>
  <c r="AL15" i="62"/>
  <c r="AJ15" i="62" s="1"/>
  <c r="AK15" i="62" s="1"/>
  <c r="AE15" i="62"/>
  <c r="AE45" i="62"/>
  <c r="AL45" i="62"/>
  <c r="AJ45" i="62" s="1"/>
  <c r="AK45" i="62" s="1"/>
  <c r="AL17" i="62"/>
  <c r="AJ17" i="62" s="1"/>
  <c r="AK17" i="62" s="1"/>
  <c r="AE17" i="62"/>
  <c r="AE95" i="62"/>
  <c r="AL95" i="62"/>
  <c r="AJ95" i="62" s="1"/>
  <c r="AK95" i="62" s="1"/>
  <c r="AL11" i="62"/>
  <c r="AJ11" i="62" s="1"/>
  <c r="AK11" i="62" s="1"/>
  <c r="AE11" i="62"/>
  <c r="AL47" i="62"/>
  <c r="AJ47" i="62" s="1"/>
  <c r="AK47" i="62" s="1"/>
  <c r="AE47" i="62"/>
  <c r="AL91" i="62"/>
  <c r="AJ91" i="62" s="1"/>
  <c r="AK91" i="62" s="1"/>
  <c r="AE91" i="62"/>
  <c r="AL113" i="62"/>
  <c r="AJ113" i="62" s="1"/>
  <c r="AK113" i="62" s="1"/>
  <c r="AE113" i="62"/>
  <c r="AL23" i="62"/>
  <c r="AJ23" i="62" s="1"/>
  <c r="AK23" i="62" s="1"/>
  <c r="AE23" i="62"/>
  <c r="AL81" i="62"/>
  <c r="AJ81" i="62" s="1"/>
  <c r="AK81" i="62" s="1"/>
  <c r="AE81" i="62"/>
  <c r="AE55" i="62"/>
  <c r="AL55" i="62"/>
  <c r="AJ55" i="62" s="1"/>
  <c r="AK55" i="62" s="1"/>
  <c r="AB109" i="62"/>
  <c r="AB93" i="62"/>
  <c r="AL99" i="62"/>
  <c r="AJ99" i="62" s="1"/>
  <c r="AK99" i="62" s="1"/>
  <c r="AE99" i="62"/>
  <c r="AE69" i="62"/>
  <c r="AL69" i="62"/>
  <c r="AJ69" i="62" s="1"/>
  <c r="AK69" i="62" s="1"/>
  <c r="AL79" i="62"/>
  <c r="AJ79" i="62" s="1"/>
  <c r="AK79" i="62" s="1"/>
  <c r="AE79" i="62"/>
  <c r="AE25" i="62"/>
  <c r="AL25" i="62"/>
  <c r="AJ25" i="62" s="1"/>
  <c r="AK25" i="62" s="1"/>
  <c r="AL83" i="62"/>
  <c r="AJ83" i="62" s="1"/>
  <c r="AK83" i="62" s="1"/>
  <c r="AE83" i="62"/>
  <c r="AL125" i="62"/>
  <c r="AJ125" i="62" s="1"/>
  <c r="AK125" i="62" s="1"/>
  <c r="AE125" i="62"/>
  <c r="AL75" i="62"/>
  <c r="AJ75" i="62" s="1"/>
  <c r="AK75" i="62" s="1"/>
  <c r="AE75" i="62"/>
  <c r="AL103" i="62"/>
  <c r="AJ103" i="62" s="1"/>
  <c r="AK103" i="62" s="1"/>
  <c r="AE103" i="62"/>
  <c r="AE117" i="62"/>
  <c r="AL117" i="62"/>
  <c r="AJ117" i="62" s="1"/>
  <c r="AK117" i="62" s="1"/>
  <c r="AL71" i="62"/>
  <c r="AJ71" i="62" s="1"/>
  <c r="AK71" i="62" s="1"/>
  <c r="AE71" i="62"/>
  <c r="AL31" i="62"/>
  <c r="AJ31" i="62" s="1"/>
  <c r="AK31" i="62" s="1"/>
  <c r="AE31" i="62"/>
  <c r="AE87" i="62"/>
  <c r="AL87" i="62"/>
  <c r="AJ87" i="62" s="1"/>
  <c r="AK87" i="62" s="1"/>
  <c r="AL27" i="62"/>
  <c r="AJ27" i="62" s="1"/>
  <c r="AK27" i="62" s="1"/>
  <c r="AE27" i="62"/>
  <c r="AE35" i="62"/>
  <c r="AL35" i="62"/>
  <c r="AJ35" i="62" s="1"/>
  <c r="AK35" i="62" s="1"/>
  <c r="AL65" i="62"/>
  <c r="AJ65" i="62" s="1"/>
  <c r="AK65" i="62" s="1"/>
  <c r="AE65" i="62"/>
  <c r="AE101" i="62"/>
  <c r="AL101" i="62"/>
  <c r="AJ101" i="62" s="1"/>
  <c r="AK101" i="62" s="1"/>
  <c r="AL105" i="62"/>
  <c r="AJ105" i="62" s="1"/>
  <c r="AK105" i="62" s="1"/>
  <c r="AE105" i="62"/>
  <c r="AE73" i="62"/>
  <c r="AL73" i="62"/>
  <c r="AJ73" i="62" s="1"/>
  <c r="AK73" i="62" s="1"/>
  <c r="AE51" i="62"/>
  <c r="AL51" i="62"/>
  <c r="AJ51" i="62" s="1"/>
  <c r="AK51" i="62" s="1"/>
  <c r="AL49" i="62"/>
  <c r="AJ49" i="62" s="1"/>
  <c r="AK49" i="62" s="1"/>
  <c r="AE49" i="62"/>
  <c r="AL67" i="62"/>
  <c r="AJ67" i="62" s="1"/>
  <c r="AK67" i="62" s="1"/>
  <c r="AE67" i="62"/>
  <c r="AL85" i="62"/>
  <c r="AJ85" i="62" s="1"/>
  <c r="AK85" i="62" s="1"/>
  <c r="AE85" i="62"/>
  <c r="AE107" i="62"/>
  <c r="AL107" i="62"/>
  <c r="AJ107" i="62" s="1"/>
  <c r="AK107" i="62" s="1"/>
  <c r="AE19" i="62"/>
  <c r="AL19" i="62"/>
  <c r="AJ19" i="62" s="1"/>
  <c r="AK19" i="62" s="1"/>
  <c r="AL89" i="62"/>
  <c r="AJ89" i="62" s="1"/>
  <c r="AK89" i="62" s="1"/>
  <c r="AE89" i="62"/>
  <c r="AE127" i="62"/>
  <c r="AL127" i="62"/>
  <c r="AJ127" i="62" s="1"/>
  <c r="AK127" i="62" s="1"/>
  <c r="AE123" i="62"/>
  <c r="AL123" i="62"/>
  <c r="AJ123" i="62" s="1"/>
  <c r="AK123" i="62" s="1"/>
  <c r="AE61" i="62"/>
  <c r="AL61" i="62"/>
  <c r="AJ61" i="62" s="1"/>
  <c r="AK61" i="62" s="1"/>
  <c r="AE39" i="62"/>
  <c r="AL39" i="62"/>
  <c r="AJ39" i="62" s="1"/>
  <c r="AK39" i="62" s="1"/>
  <c r="AL131" i="62"/>
  <c r="AJ131" i="62" s="1"/>
  <c r="AK131" i="62" s="1"/>
  <c r="AE131" i="62"/>
  <c r="AL33" i="62"/>
  <c r="AJ33" i="62" s="1"/>
  <c r="AK33" i="62" s="1"/>
  <c r="AE33" i="62"/>
  <c r="AL63" i="62"/>
  <c r="AJ63" i="62" s="1"/>
  <c r="AK63" i="62" s="1"/>
  <c r="AE63" i="62"/>
  <c r="AE57" i="62"/>
  <c r="AL57" i="62"/>
  <c r="AJ57" i="62" s="1"/>
  <c r="AK57" i="62" s="1"/>
  <c r="AL121" i="62"/>
  <c r="AJ121" i="62" s="1"/>
  <c r="AK121" i="62" s="1"/>
  <c r="AE121" i="62"/>
  <c r="I133" i="62" a="1"/>
  <c r="I133" i="62" s="1"/>
  <c r="D8" i="62"/>
  <c r="E270" i="25" a="1"/>
  <c r="E270" i="25" s="1"/>
  <c r="AL93" i="62" l="1"/>
  <c r="AJ93" i="62" s="1"/>
  <c r="AK93" i="62" s="1"/>
  <c r="AE93" i="62"/>
  <c r="AL109" i="62"/>
  <c r="AJ109" i="62" s="1"/>
  <c r="AK109" i="62" s="1"/>
  <c r="AE109" i="62"/>
  <c r="F134" i="62" a="1"/>
  <c r="F134" i="62" s="1"/>
  <c r="F133" i="62" a="1"/>
  <c r="F133" i="62" s="1"/>
  <c r="BG9" i="25"/>
  <c r="BD9" i="25"/>
  <c r="BA9" i="25"/>
  <c r="BB9" i="25" s="1"/>
  <c r="AY9" i="25"/>
  <c r="AN9" i="25"/>
  <c r="AJ9" i="25" a="1"/>
  <c r="AJ9" i="25" s="1"/>
  <c r="AL9" i="25" s="1"/>
  <c r="AI9" i="25"/>
  <c r="AF9" i="25"/>
  <c r="D11" i="260"/>
  <c r="D13" i="260"/>
  <c r="D15" i="260"/>
  <c r="D17" i="260"/>
  <c r="D19" i="260"/>
  <c r="D21" i="260"/>
  <c r="D23" i="260"/>
  <c r="D25" i="260"/>
  <c r="D27" i="260"/>
  <c r="D29" i="260"/>
  <c r="D31" i="260"/>
  <c r="D33" i="260"/>
  <c r="D35" i="260"/>
  <c r="D37" i="260"/>
  <c r="D39" i="260"/>
  <c r="D41" i="260"/>
  <c r="D43" i="260"/>
  <c r="D45" i="260"/>
  <c r="D47" i="260"/>
  <c r="D49" i="260"/>
  <c r="D51" i="260"/>
  <c r="D53" i="260"/>
  <c r="D55" i="260"/>
  <c r="D57" i="260"/>
  <c r="D59" i="260"/>
  <c r="D61" i="260"/>
  <c r="D63" i="260"/>
  <c r="D65" i="260"/>
  <c r="D67" i="260"/>
  <c r="D69" i="260"/>
  <c r="D71" i="260"/>
  <c r="D73" i="260"/>
  <c r="D75" i="260"/>
  <c r="D77" i="260"/>
  <c r="D79" i="260"/>
  <c r="D81" i="260"/>
  <c r="D83" i="260"/>
  <c r="D85" i="260"/>
  <c r="D87" i="260"/>
  <c r="D89" i="260"/>
  <c r="D91" i="260"/>
  <c r="D93" i="260"/>
  <c r="D95" i="260"/>
  <c r="D97" i="260"/>
  <c r="D99" i="260"/>
  <c r="D101" i="260"/>
  <c r="D103" i="260"/>
  <c r="D105" i="260"/>
  <c r="D107" i="260"/>
  <c r="D109" i="260"/>
  <c r="D111" i="260"/>
  <c r="D113" i="260"/>
  <c r="D115" i="260"/>
  <c r="D117" i="260"/>
  <c r="D119" i="260"/>
  <c r="D121" i="260"/>
  <c r="D123" i="260"/>
  <c r="D125" i="260"/>
  <c r="D127" i="260"/>
  <c r="D129" i="260"/>
  <c r="D131" i="260"/>
  <c r="D133" i="260"/>
  <c r="D135" i="260"/>
  <c r="D137" i="260"/>
  <c r="D139" i="260"/>
  <c r="D141" i="260"/>
  <c r="D143" i="260"/>
  <c r="D145" i="260"/>
  <c r="D147" i="260"/>
  <c r="D149" i="260"/>
  <c r="D151" i="260"/>
  <c r="D153" i="260"/>
  <c r="D155" i="260"/>
  <c r="D157" i="260"/>
  <c r="D159" i="260"/>
  <c r="D161" i="260"/>
  <c r="D163" i="260"/>
  <c r="D165" i="260"/>
  <c r="D167" i="260"/>
  <c r="D169" i="260"/>
  <c r="D171" i="260"/>
  <c r="D173" i="260"/>
  <c r="D175" i="260"/>
  <c r="D177" i="260"/>
  <c r="D179" i="260"/>
  <c r="D181" i="260"/>
  <c r="D183" i="260"/>
  <c r="D185" i="260"/>
  <c r="D187" i="260"/>
  <c r="D189" i="260"/>
  <c r="D191" i="260"/>
  <c r="D193" i="260"/>
  <c r="D195" i="260"/>
  <c r="D197" i="260"/>
  <c r="D199" i="260"/>
  <c r="D201" i="260"/>
  <c r="D203" i="260"/>
  <c r="D205" i="260"/>
  <c r="D207" i="260"/>
  <c r="D209" i="260"/>
  <c r="D211" i="260"/>
  <c r="D213" i="260"/>
  <c r="D215" i="260"/>
  <c r="D217" i="260"/>
  <c r="D219" i="260"/>
  <c r="D221" i="260"/>
  <c r="D223" i="260"/>
  <c r="D225" i="260"/>
  <c r="D227" i="260"/>
  <c r="D229" i="260"/>
  <c r="D231" i="260"/>
  <c r="D233" i="260"/>
  <c r="D235" i="260"/>
  <c r="D237" i="260"/>
  <c r="D239" i="260"/>
  <c r="D241" i="260"/>
  <c r="D243" i="260"/>
  <c r="D245" i="260"/>
  <c r="D247" i="260"/>
  <c r="D249" i="260"/>
  <c r="D251" i="260"/>
  <c r="D253" i="260"/>
  <c r="D255" i="260"/>
  <c r="D257" i="260"/>
  <c r="D259" i="260"/>
  <c r="D261" i="260"/>
  <c r="D263" i="260"/>
  <c r="D265" i="260"/>
  <c r="D267" i="260"/>
  <c r="D269" i="260"/>
  <c r="D271" i="260"/>
  <c r="D273" i="260"/>
  <c r="D275" i="260"/>
  <c r="D277" i="260"/>
  <c r="D279" i="260"/>
  <c r="D281" i="260"/>
  <c r="D283" i="260"/>
  <c r="D285" i="260"/>
  <c r="D287" i="260"/>
  <c r="D289" i="260"/>
  <c r="D291" i="260"/>
  <c r="D293" i="260"/>
  <c r="D295" i="260"/>
  <c r="D297" i="260"/>
  <c r="D299" i="260"/>
  <c r="D9" i="260"/>
  <c r="O133" i="62" l="1" a="1"/>
  <c r="O133" i="62" s="1"/>
  <c r="K133" i="62" a="1"/>
  <c r="K133" i="62" s="1"/>
  <c r="K134" i="62" a="1"/>
  <c r="K134" i="62" s="1"/>
  <c r="AD133" i="62" a="1"/>
  <c r="AD133" i="62" s="1"/>
  <c r="AD134" i="62" a="1"/>
  <c r="AD134" i="62" s="1"/>
  <c r="O134" i="62" a="1"/>
  <c r="O134" i="62" s="1"/>
  <c r="AC133" i="62" a="1"/>
  <c r="AC133" i="62" s="1"/>
  <c r="AC134" i="62" a="1"/>
  <c r="AC134" i="62" s="1"/>
  <c r="L134" i="62" a="1"/>
  <c r="L134" i="62" s="1"/>
  <c r="L133" i="62" a="1"/>
  <c r="L133" i="62" s="1"/>
  <c r="N133" i="62" a="1"/>
  <c r="N133" i="62" s="1"/>
  <c r="N134" i="62" a="1"/>
  <c r="N134" i="62" s="1"/>
  <c r="G4" i="260" a="1"/>
  <c r="G4" i="260" s="1"/>
  <c r="G3" i="260" s="1"/>
  <c r="H4" i="260" a="1"/>
  <c r="H4" i="260" s="1"/>
  <c r="H3" i="260" s="1"/>
  <c r="I4" i="260" a="1"/>
  <c r="I4" i="260" s="1"/>
  <c r="I3" i="260" s="1"/>
  <c r="J4" i="260" a="1"/>
  <c r="J4" i="260"/>
  <c r="J3" i="260" s="1"/>
  <c r="K4" i="260" a="1"/>
  <c r="K4" i="260" s="1"/>
  <c r="K3" i="260" s="1"/>
  <c r="L4" i="260" a="1"/>
  <c r="L4" i="260" s="1"/>
  <c r="L3" i="260" s="1"/>
  <c r="M4" i="260" a="1"/>
  <c r="M4" i="260" s="1"/>
  <c r="M3" i="260" s="1"/>
  <c r="N4" i="260" a="1"/>
  <c r="N4" i="260"/>
  <c r="N3" i="260" s="1"/>
  <c r="O4" i="260" a="1"/>
  <c r="O4" i="260" s="1"/>
  <c r="O3" i="260" s="1"/>
  <c r="P4" i="260" a="1"/>
  <c r="P4" i="260" s="1"/>
  <c r="P3" i="260" s="1"/>
  <c r="Q4" i="260" a="1"/>
  <c r="Q4" i="260" s="1"/>
  <c r="Q3" i="260" s="1"/>
  <c r="R4" i="260" a="1"/>
  <c r="R4" i="260"/>
  <c r="R3" i="260" s="1"/>
  <c r="S4" i="260" a="1"/>
  <c r="S4" i="260" s="1"/>
  <c r="S3" i="260" s="1"/>
  <c r="T4" i="260" a="1"/>
  <c r="T4" i="260" s="1"/>
  <c r="T3" i="260" s="1"/>
  <c r="U4" i="260" a="1"/>
  <c r="U4" i="260" s="1"/>
  <c r="U3" i="260" s="1"/>
  <c r="V4" i="260" a="1"/>
  <c r="V4" i="260"/>
  <c r="V3" i="260" s="1"/>
  <c r="W4" i="260" a="1"/>
  <c r="W4" i="260" s="1"/>
  <c r="W3" i="260" s="1"/>
  <c r="X4" i="260" a="1"/>
  <c r="X4" i="260" s="1"/>
  <c r="X3" i="260" s="1"/>
  <c r="Y4" i="260" a="1"/>
  <c r="Y4" i="260" s="1"/>
  <c r="Y3" i="260" s="1"/>
  <c r="Z4" i="260" a="1"/>
  <c r="Z4" i="260"/>
  <c r="Z3" i="260" s="1"/>
  <c r="AA4" i="260" a="1"/>
  <c r="AA4" i="260" s="1"/>
  <c r="AA3" i="260" s="1"/>
  <c r="AB4" i="260" a="1"/>
  <c r="AB4" i="260" s="1"/>
  <c r="AB3" i="260" s="1"/>
  <c r="AC4" i="260" a="1"/>
  <c r="AC4" i="260" s="1"/>
  <c r="AC3" i="260" s="1"/>
  <c r="AD4" i="260" a="1"/>
  <c r="AD4" i="260"/>
  <c r="AD3" i="260" s="1"/>
  <c r="AE4" i="260" a="1"/>
  <c r="AE4" i="260" s="1"/>
  <c r="AE3" i="260" s="1"/>
  <c r="AF4" i="260" a="1"/>
  <c r="AF4" i="260" s="1"/>
  <c r="AF3" i="260" s="1"/>
  <c r="AG4" i="260" a="1"/>
  <c r="AG4" i="260" s="1"/>
  <c r="AG3" i="260" s="1"/>
  <c r="AH4" i="260" a="1"/>
  <c r="AH4" i="260"/>
  <c r="AH3" i="260" s="1"/>
  <c r="AI4" i="260" a="1"/>
  <c r="AI4" i="260" s="1"/>
  <c r="AI3" i="260" s="1"/>
  <c r="AJ4" i="260" a="1"/>
  <c r="AJ4" i="260" s="1"/>
  <c r="AJ3" i="260" s="1"/>
  <c r="AK4" i="260" a="1"/>
  <c r="AK4" i="260" s="1"/>
  <c r="AK3" i="260" s="1"/>
  <c r="AL4" i="260" a="1"/>
  <c r="AL4" i="260"/>
  <c r="AL3" i="260" s="1"/>
  <c r="AM4" i="260" a="1"/>
  <c r="AM4" i="260" s="1"/>
  <c r="AM3" i="260" s="1"/>
  <c r="AN4" i="260" a="1"/>
  <c r="AN4" i="260" s="1"/>
  <c r="AN3" i="260" s="1"/>
  <c r="AO4" i="260" a="1"/>
  <c r="AO4" i="260" s="1"/>
  <c r="AO3" i="260" s="1"/>
  <c r="AP4" i="260" a="1"/>
  <c r="AP4" i="260"/>
  <c r="AP3" i="260" s="1"/>
  <c r="AQ4" i="260" a="1"/>
  <c r="AQ4" i="260" s="1"/>
  <c r="AQ3" i="260" s="1"/>
  <c r="AR4" i="260" a="1"/>
  <c r="AR4" i="260" s="1"/>
  <c r="AR3" i="260" s="1"/>
  <c r="AS4" i="260" a="1"/>
  <c r="AS4" i="260" s="1"/>
  <c r="AS3" i="260" s="1"/>
  <c r="AT4" i="260" a="1"/>
  <c r="AT4" i="260"/>
  <c r="AT3" i="260" s="1"/>
  <c r="AU4" i="260" a="1"/>
  <c r="AU4" i="260" s="1"/>
  <c r="AU3" i="260" s="1"/>
  <c r="AV4" i="260" a="1"/>
  <c r="AV4" i="260" s="1"/>
  <c r="AV3" i="260" s="1"/>
  <c r="AW4" i="260" a="1"/>
  <c r="AW4" i="260" s="1"/>
  <c r="AW3" i="260" s="1"/>
  <c r="AX4" i="260" a="1"/>
  <c r="AX4" i="260"/>
  <c r="AX3" i="260" s="1"/>
  <c r="AY4" i="260" a="1"/>
  <c r="AY4" i="260" s="1"/>
  <c r="AY3" i="260" s="1"/>
  <c r="AZ4" i="260" a="1"/>
  <c r="AZ4" i="260" s="1"/>
  <c r="AZ3" i="260" s="1"/>
  <c r="BA4" i="260" a="1"/>
  <c r="BA4" i="260" s="1"/>
  <c r="BA3" i="260" s="1"/>
  <c r="BB4" i="260" a="1"/>
  <c r="BB4" i="260"/>
  <c r="BB3" i="260" s="1"/>
  <c r="BC4" i="260" a="1"/>
  <c r="BC4" i="260" s="1"/>
  <c r="BC3" i="260" s="1"/>
  <c r="BD4" i="260" a="1"/>
  <c r="BD4" i="260" s="1"/>
  <c r="BD3" i="260" s="1"/>
  <c r="BE4" i="260" a="1"/>
  <c r="BE4" i="260" s="1"/>
  <c r="BE3" i="260" s="1"/>
  <c r="BF4" i="260" a="1"/>
  <c r="BF4" i="260"/>
  <c r="BF3" i="260" s="1"/>
  <c r="BG4" i="260" a="1"/>
  <c r="BG4" i="260" s="1"/>
  <c r="BG3" i="260" s="1"/>
  <c r="BH4" i="260" a="1"/>
  <c r="BH4" i="260" s="1"/>
  <c r="BH3" i="260" s="1"/>
  <c r="BI4" i="260" a="1"/>
  <c r="BI4" i="260" s="1"/>
  <c r="BI3" i="260" s="1"/>
  <c r="BJ4" i="260" a="1"/>
  <c r="BJ4" i="260"/>
  <c r="BJ3" i="260" s="1"/>
  <c r="BK4" i="260" a="1"/>
  <c r="BK4" i="260" s="1"/>
  <c r="BK3" i="260" s="1"/>
  <c r="BL4" i="260" a="1"/>
  <c r="BL4" i="260" s="1"/>
  <c r="BL3" i="260" s="1"/>
  <c r="BM4" i="260" a="1"/>
  <c r="BM4" i="260" s="1"/>
  <c r="BM3" i="260" s="1"/>
  <c r="BN4" i="260" a="1"/>
  <c r="BN4" i="260"/>
  <c r="BN3" i="260" s="1"/>
  <c r="BO4" i="260" a="1"/>
  <c r="BO4" i="260" s="1"/>
  <c r="BO3" i="260" s="1"/>
  <c r="BP4" i="260" a="1"/>
  <c r="BP4" i="260" s="1"/>
  <c r="BP3" i="260" s="1"/>
  <c r="BQ4" i="260" a="1"/>
  <c r="BQ4" i="260" s="1"/>
  <c r="BQ3" i="260" s="1"/>
  <c r="BR4" i="260" a="1"/>
  <c r="BR4" i="260"/>
  <c r="BR3" i="260" s="1"/>
  <c r="BS4" i="260" a="1"/>
  <c r="BS4" i="260" s="1"/>
  <c r="BS3" i="260" s="1"/>
  <c r="BT4" i="260" a="1"/>
  <c r="BT4" i="260" s="1"/>
  <c r="BT3" i="260" s="1"/>
  <c r="BU4" i="260" a="1"/>
  <c r="BU4" i="260" s="1"/>
  <c r="BU3" i="260" s="1"/>
  <c r="BV4" i="260" a="1"/>
  <c r="BV4" i="260"/>
  <c r="BV3" i="260" s="1"/>
  <c r="BW4" i="260" a="1"/>
  <c r="BW4" i="260" s="1"/>
  <c r="BW3" i="260" s="1"/>
  <c r="BX4" i="260" a="1"/>
  <c r="BX4" i="260" s="1"/>
  <c r="BX3" i="260" s="1"/>
  <c r="BY4" i="260" a="1"/>
  <c r="BY4" i="260" s="1"/>
  <c r="BY3" i="260" s="1"/>
  <c r="BZ4" i="260" a="1"/>
  <c r="BZ4" i="260"/>
  <c r="BZ3" i="260" s="1"/>
  <c r="CA4" i="260" a="1"/>
  <c r="CA4" i="260" s="1"/>
  <c r="CA3" i="260" s="1"/>
  <c r="CB4" i="260" a="1"/>
  <c r="CB4" i="260" s="1"/>
  <c r="CB3" i="260" s="1"/>
  <c r="CC4" i="260" a="1"/>
  <c r="CC4" i="260" s="1"/>
  <c r="CC3" i="260" s="1"/>
  <c r="CD4" i="260" a="1"/>
  <c r="CD4" i="260"/>
  <c r="CD3" i="260" s="1"/>
  <c r="CE4" i="260" a="1"/>
  <c r="CE4" i="260" s="1"/>
  <c r="CE3" i="260" s="1"/>
  <c r="CF4" i="260" a="1"/>
  <c r="CF4" i="260" s="1"/>
  <c r="CF3" i="260" s="1"/>
  <c r="CG4" i="260" a="1"/>
  <c r="CG4" i="260" s="1"/>
  <c r="CG3" i="260" s="1"/>
  <c r="CH4" i="260" a="1"/>
  <c r="CH4" i="260"/>
  <c r="CH3" i="260" s="1"/>
  <c r="CI4" i="260" a="1"/>
  <c r="CI4" i="260" s="1"/>
  <c r="CI3" i="260" s="1"/>
  <c r="CJ4" i="260" a="1"/>
  <c r="CJ4" i="260" s="1"/>
  <c r="CJ3" i="260" s="1"/>
  <c r="CK4" i="260" a="1"/>
  <c r="CK4" i="260" s="1"/>
  <c r="CK3" i="260" s="1"/>
  <c r="CL4" i="260" a="1"/>
  <c r="CL4" i="260"/>
  <c r="CL3" i="260" s="1"/>
  <c r="CM4" i="260" a="1"/>
  <c r="CM4" i="260" s="1"/>
  <c r="CM3" i="260" s="1"/>
  <c r="CN4" i="260" a="1"/>
  <c r="CN4" i="260" s="1"/>
  <c r="CN3" i="260" s="1"/>
  <c r="CO4" i="260" a="1"/>
  <c r="CO4" i="260" s="1"/>
  <c r="CO3" i="260" s="1"/>
  <c r="CP4" i="260" a="1"/>
  <c r="CP4" i="260"/>
  <c r="CP3" i="260" s="1"/>
  <c r="CQ4" i="260" a="1"/>
  <c r="CQ4" i="260" s="1"/>
  <c r="CQ3" i="260" s="1"/>
  <c r="CR4" i="260" a="1"/>
  <c r="CR4" i="260" s="1"/>
  <c r="CR3" i="260" s="1"/>
  <c r="CS4" i="260" a="1"/>
  <c r="CS4" i="260" s="1"/>
  <c r="CS3" i="260" s="1"/>
  <c r="CT4" i="260" a="1"/>
  <c r="CT4" i="260"/>
  <c r="CT3" i="260" s="1"/>
  <c r="CU4" i="260" a="1"/>
  <c r="CU4" i="260" s="1"/>
  <c r="CU3" i="260" s="1"/>
  <c r="CV4" i="260" a="1"/>
  <c r="CV4" i="260" s="1"/>
  <c r="CV3" i="260" s="1"/>
  <c r="CW4" i="260" a="1"/>
  <c r="CW4" i="260" s="1"/>
  <c r="CW3" i="260" s="1"/>
  <c r="CX4" i="260" a="1"/>
  <c r="CX4" i="260"/>
  <c r="CX3" i="260" s="1"/>
  <c r="CY4" i="260" a="1"/>
  <c r="CY4" i="260" s="1"/>
  <c r="CY3" i="260" s="1"/>
  <c r="CZ4" i="260" a="1"/>
  <c r="CZ4" i="260" s="1"/>
  <c r="CZ3" i="260" s="1"/>
  <c r="DA4" i="260" a="1"/>
  <c r="DA4" i="260" s="1"/>
  <c r="DA3" i="260" s="1"/>
  <c r="DB4" i="260" a="1"/>
  <c r="DB4" i="260"/>
  <c r="DB3" i="260" s="1"/>
  <c r="DC4" i="260" a="1"/>
  <c r="DC4" i="260" s="1"/>
  <c r="DC3" i="260" s="1"/>
  <c r="DD4" i="260" a="1"/>
  <c r="DD4" i="260" s="1"/>
  <c r="DD3" i="260" s="1"/>
  <c r="DE4" i="260" a="1"/>
  <c r="DE4" i="260" s="1"/>
  <c r="DE3" i="260" s="1"/>
  <c r="DF4" i="260" a="1"/>
  <c r="DF4" i="260"/>
  <c r="DF3" i="260" s="1"/>
  <c r="DG4" i="260" a="1"/>
  <c r="DG4" i="260" s="1"/>
  <c r="DG3" i="260" s="1"/>
  <c r="DH4" i="260" a="1"/>
  <c r="DH4" i="260" s="1"/>
  <c r="DH3" i="260" s="1"/>
  <c r="DI4" i="260" a="1"/>
  <c r="DI4" i="260" s="1"/>
  <c r="DI3" i="260" s="1"/>
  <c r="DJ4" i="260" a="1"/>
  <c r="DJ4" i="260"/>
  <c r="DJ3" i="260" s="1"/>
  <c r="DK4" i="260" a="1"/>
  <c r="DK4" i="260" s="1"/>
  <c r="DK3" i="260" s="1"/>
  <c r="DL4" i="260" a="1"/>
  <c r="DL4" i="260" s="1"/>
  <c r="DL3" i="260" s="1"/>
  <c r="DM4" i="260" a="1"/>
  <c r="DM4" i="260" s="1"/>
  <c r="DM3" i="260" s="1"/>
  <c r="DN4" i="260" a="1"/>
  <c r="DN4" i="260"/>
  <c r="DN3" i="260" s="1"/>
  <c r="DO4" i="260" a="1"/>
  <c r="DO4" i="260" s="1"/>
  <c r="DO3" i="260" s="1"/>
  <c r="DP4" i="260" a="1"/>
  <c r="DP4" i="260" s="1"/>
  <c r="DP3" i="260" s="1"/>
  <c r="DQ4" i="260" a="1"/>
  <c r="DQ4" i="260" s="1"/>
  <c r="DQ3" i="260" s="1"/>
  <c r="DR4" i="260" a="1"/>
  <c r="DR4" i="260"/>
  <c r="DR3" i="260" s="1"/>
  <c r="DS4" i="260" a="1"/>
  <c r="DS4" i="260" s="1"/>
  <c r="DS3" i="260" s="1"/>
  <c r="DT4" i="260" a="1"/>
  <c r="DT4" i="260" s="1"/>
  <c r="DT3" i="260" s="1"/>
  <c r="DU4" i="260" a="1"/>
  <c r="DU4" i="260" s="1"/>
  <c r="DU3" i="260" s="1"/>
  <c r="DV4" i="260" a="1"/>
  <c r="DV4" i="260"/>
  <c r="DV3" i="260" s="1"/>
  <c r="DW4" i="260" a="1"/>
  <c r="DW4" i="260" s="1"/>
  <c r="DW3" i="260" s="1"/>
  <c r="DX4" i="260" a="1"/>
  <c r="DX4" i="260" s="1"/>
  <c r="DX3" i="260" s="1"/>
  <c r="DY4" i="260" a="1"/>
  <c r="DY4" i="260" s="1"/>
  <c r="DY3" i="260" s="1"/>
  <c r="DZ4" i="260" a="1"/>
  <c r="DZ4" i="260"/>
  <c r="DZ3" i="260" s="1"/>
  <c r="EA4" i="260" a="1"/>
  <c r="EA4" i="260" s="1"/>
  <c r="EA3" i="260" s="1"/>
  <c r="EB4" i="260" a="1"/>
  <c r="EB4" i="260" s="1"/>
  <c r="EB3" i="260" s="1"/>
  <c r="EC4" i="260" a="1"/>
  <c r="EC4" i="260" s="1"/>
  <c r="EC3" i="260" s="1"/>
  <c r="ED4" i="260" a="1"/>
  <c r="ED4" i="260"/>
  <c r="ED3" i="260" s="1"/>
  <c r="EE4" i="260" a="1"/>
  <c r="EE4" i="260" s="1"/>
  <c r="EE3" i="260" s="1"/>
  <c r="EF4" i="260" a="1"/>
  <c r="EF4" i="260" s="1"/>
  <c r="EF3" i="260" s="1"/>
  <c r="EG4" i="260" a="1"/>
  <c r="EG4" i="260" s="1"/>
  <c r="EG3" i="260" s="1"/>
  <c r="EH4" i="260" a="1"/>
  <c r="EH4" i="260"/>
  <c r="EH3" i="260" s="1"/>
  <c r="EI4" i="260" a="1"/>
  <c r="EI4" i="260" s="1"/>
  <c r="EI3" i="260" s="1"/>
  <c r="EJ4" i="260" a="1"/>
  <c r="EJ4" i="260" s="1"/>
  <c r="EJ3" i="260" s="1"/>
  <c r="EK4" i="260" a="1"/>
  <c r="EK4" i="260" s="1"/>
  <c r="EK3" i="260" s="1"/>
  <c r="EL4" i="260" a="1"/>
  <c r="EL4" i="260"/>
  <c r="EL3" i="260" s="1"/>
  <c r="EM4" i="260" a="1"/>
  <c r="EM4" i="260" s="1"/>
  <c r="EM3" i="260" s="1"/>
  <c r="EN4" i="260" a="1"/>
  <c r="EN4" i="260" s="1"/>
  <c r="EN3" i="260" s="1"/>
  <c r="EO4" i="260" a="1"/>
  <c r="EO4" i="260" s="1"/>
  <c r="EO3" i="260" s="1"/>
  <c r="EP4" i="260" a="1"/>
  <c r="EP4" i="260"/>
  <c r="EP3" i="260" s="1"/>
  <c r="EQ4" i="260" a="1"/>
  <c r="EQ4" i="260" s="1"/>
  <c r="EQ3" i="260" s="1"/>
  <c r="ER4" i="260" a="1"/>
  <c r="ER4" i="260" s="1"/>
  <c r="ER3" i="260" s="1"/>
  <c r="ES4" i="260" a="1"/>
  <c r="ES4" i="260" s="1"/>
  <c r="ES3" i="260" s="1"/>
  <c r="ET4" i="260" a="1"/>
  <c r="ET4" i="260"/>
  <c r="ET3" i="260" s="1"/>
  <c r="EU4" i="260" a="1"/>
  <c r="EU4" i="260" s="1"/>
  <c r="EU3" i="260" s="1"/>
  <c r="EV4" i="260" a="1"/>
  <c r="EV4" i="260" s="1"/>
  <c r="EV3" i="260" s="1"/>
  <c r="EW4" i="260" a="1"/>
  <c r="EW4" i="260" s="1"/>
  <c r="EW3" i="260" s="1"/>
  <c r="EX4" i="260" a="1"/>
  <c r="EX4" i="260"/>
  <c r="EX3" i="260" s="1"/>
  <c r="EY4" i="260" a="1"/>
  <c r="EY4" i="260" s="1"/>
  <c r="EY3" i="260" s="1"/>
  <c r="EZ4" i="260" a="1"/>
  <c r="EZ4" i="260" s="1"/>
  <c r="EZ3" i="260" s="1"/>
  <c r="FA4" i="260" a="1"/>
  <c r="FA4" i="260" s="1"/>
  <c r="FA3" i="260" s="1"/>
  <c r="FB4" i="260" a="1"/>
  <c r="FB4" i="260"/>
  <c r="FB3" i="260" s="1"/>
  <c r="FC4" i="260" a="1"/>
  <c r="FC4" i="260" s="1"/>
  <c r="FC3" i="260" s="1"/>
  <c r="FD4" i="260" a="1"/>
  <c r="FD4" i="260" s="1"/>
  <c r="FD3" i="260" s="1"/>
  <c r="FE4" i="260" a="1"/>
  <c r="FE4" i="260" s="1"/>
  <c r="FE3" i="260" s="1"/>
  <c r="FF4" i="260" a="1"/>
  <c r="FF4" i="260"/>
  <c r="FF3" i="260" s="1"/>
  <c r="FG4" i="260" a="1"/>
  <c r="FG4" i="260" s="1"/>
  <c r="FG3" i="260" s="1"/>
  <c r="FH4" i="260" a="1"/>
  <c r="FH4" i="260" s="1"/>
  <c r="FH3" i="260" s="1"/>
  <c r="FI4" i="260" a="1"/>
  <c r="FI4" i="260" s="1"/>
  <c r="FI3" i="260" s="1"/>
  <c r="FJ4" i="260" a="1"/>
  <c r="FJ4" i="260"/>
  <c r="FJ3" i="260" s="1"/>
  <c r="FK4" i="260" a="1"/>
  <c r="FK4" i="260" s="1"/>
  <c r="FK3" i="260" s="1"/>
  <c r="FL4" i="260" a="1"/>
  <c r="FL4" i="260" s="1"/>
  <c r="FL3" i="260" s="1"/>
  <c r="FM4" i="260" a="1"/>
  <c r="FM4" i="260" s="1"/>
  <c r="FM3" i="260" s="1"/>
  <c r="FN4" i="260" a="1"/>
  <c r="FN4" i="260"/>
  <c r="FN3" i="260" s="1"/>
  <c r="FO4" i="260" a="1"/>
  <c r="FO4" i="260" s="1"/>
  <c r="FO3" i="260" s="1"/>
  <c r="FP4" i="260" a="1"/>
  <c r="FP4" i="260" s="1"/>
  <c r="FP3" i="260" s="1"/>
  <c r="FQ4" i="260" a="1"/>
  <c r="FQ4" i="260" s="1"/>
  <c r="FQ3" i="260" s="1"/>
  <c r="FR4" i="260" a="1"/>
  <c r="FR4" i="260"/>
  <c r="FR3" i="260" s="1"/>
  <c r="FS4" i="260" a="1"/>
  <c r="FS4" i="260" s="1"/>
  <c r="FS3" i="260" s="1"/>
  <c r="FT4" i="260" a="1"/>
  <c r="FT4" i="260" s="1"/>
  <c r="FT3" i="260" s="1"/>
  <c r="FU4" i="260" a="1"/>
  <c r="FU4" i="260" s="1"/>
  <c r="FU3" i="260" s="1"/>
  <c r="FV4" i="260" a="1"/>
  <c r="FV4" i="260"/>
  <c r="FV3" i="260" s="1"/>
  <c r="FW4" i="260" a="1"/>
  <c r="FW4" i="260" s="1"/>
  <c r="FW3" i="260" s="1"/>
  <c r="FX4" i="260" a="1"/>
  <c r="FX4" i="260" s="1"/>
  <c r="FX3" i="260" s="1"/>
  <c r="FY4" i="260" a="1"/>
  <c r="FY4" i="260" s="1"/>
  <c r="FY3" i="260" s="1"/>
  <c r="FZ4" i="260" a="1"/>
  <c r="FZ4" i="260"/>
  <c r="FZ3" i="260" s="1"/>
  <c r="GA4" i="260" a="1"/>
  <c r="GA4" i="260" s="1"/>
  <c r="GA3" i="260" s="1"/>
  <c r="GB4" i="260" a="1"/>
  <c r="GB4" i="260" s="1"/>
  <c r="GB3" i="260" s="1"/>
  <c r="GC4" i="260" a="1"/>
  <c r="GC4" i="260" s="1"/>
  <c r="GC3" i="260" s="1"/>
  <c r="GD4" i="260" a="1"/>
  <c r="GD4" i="260"/>
  <c r="GD3" i="260" s="1"/>
  <c r="GE4" i="260" a="1"/>
  <c r="GE4" i="260" s="1"/>
  <c r="GE3" i="260" s="1"/>
  <c r="GF4" i="260" a="1"/>
  <c r="GF4" i="260" s="1"/>
  <c r="GF3" i="260" s="1"/>
  <c r="GG4" i="260" a="1"/>
  <c r="GG4" i="260" s="1"/>
  <c r="GG3" i="260" s="1"/>
  <c r="GH4" i="260" a="1"/>
  <c r="GH4" i="260"/>
  <c r="GH3" i="260" s="1"/>
  <c r="F3" i="260"/>
  <c r="F4" i="260" a="1"/>
  <c r="F4" i="260" s="1"/>
  <c r="D6" i="260" a="1"/>
  <c r="D6" i="260" s="1"/>
  <c r="B3" i="260" s="1"/>
  <c r="B130" i="62"/>
  <c r="B128" i="62"/>
  <c r="B126" i="62"/>
  <c r="B124" i="62"/>
  <c r="B122" i="62"/>
  <c r="B120" i="62"/>
  <c r="B118" i="62"/>
  <c r="B116" i="62"/>
  <c r="B114" i="62"/>
  <c r="B112" i="62"/>
  <c r="B110" i="62"/>
  <c r="B108" i="62"/>
  <c r="B106" i="62"/>
  <c r="B104" i="62"/>
  <c r="B102" i="62"/>
  <c r="B100" i="62"/>
  <c r="B98" i="62"/>
  <c r="B96" i="62"/>
  <c r="B94" i="62"/>
  <c r="B92" i="62"/>
  <c r="B90" i="62"/>
  <c r="B88" i="62"/>
  <c r="B86" i="62"/>
  <c r="B84" i="62"/>
  <c r="B82" i="62"/>
  <c r="B80" i="62"/>
  <c r="B78" i="62"/>
  <c r="B76" i="62"/>
  <c r="B74" i="62"/>
  <c r="B72" i="62"/>
  <c r="B70" i="62"/>
  <c r="B68" i="62"/>
  <c r="B66" i="62"/>
  <c r="B64" i="62"/>
  <c r="B62" i="62"/>
  <c r="B60" i="62"/>
  <c r="B58" i="62"/>
  <c r="B56" i="62"/>
  <c r="B54" i="62"/>
  <c r="B52" i="62"/>
  <c r="B50" i="62"/>
  <c r="B48" i="62"/>
  <c r="B46" i="62"/>
  <c r="B44" i="62"/>
  <c r="B42" i="62"/>
  <c r="B40" i="62"/>
  <c r="B38" i="62"/>
  <c r="B36" i="62"/>
  <c r="B34" i="62"/>
  <c r="B32" i="62"/>
  <c r="B30" i="62"/>
  <c r="B28" i="62"/>
  <c r="B26" i="62"/>
  <c r="B24" i="62"/>
  <c r="B22" i="62"/>
  <c r="B20" i="62"/>
  <c r="B18" i="62"/>
  <c r="B16" i="62"/>
  <c r="B14" i="62"/>
  <c r="B12" i="62"/>
  <c r="B10" i="62"/>
  <c r="A12" i="62"/>
  <c r="A14" i="62"/>
  <c r="A16" i="62"/>
  <c r="A18" i="62"/>
  <c r="A20" i="62"/>
  <c r="A22" i="62" s="1"/>
  <c r="A24" i="62" s="1"/>
  <c r="A26" i="62" s="1"/>
  <c r="A28" i="62" s="1"/>
  <c r="A30" i="62" s="1"/>
  <c r="A32" i="62" s="1"/>
  <c r="A34" i="62" s="1"/>
  <c r="A36" i="62" s="1"/>
  <c r="A38" i="62" s="1"/>
  <c r="A40" i="62" s="1"/>
  <c r="A42" i="62" s="1"/>
  <c r="A44" i="62" s="1"/>
  <c r="A46" i="62" s="1"/>
  <c r="A48" i="62" s="1"/>
  <c r="A50" i="62" s="1"/>
  <c r="A52" i="62" s="1"/>
  <c r="A54" i="62" s="1"/>
  <c r="A56" i="62" s="1"/>
  <c r="A58" i="62" s="1"/>
  <c r="A60" i="62" s="1"/>
  <c r="A62" i="62" s="1"/>
  <c r="A64" i="62" s="1"/>
  <c r="A66" i="62" s="1"/>
  <c r="A68" i="62" s="1"/>
  <c r="A70" i="62" s="1"/>
  <c r="A72" i="62" s="1"/>
  <c r="A74" i="62" s="1"/>
  <c r="A76" i="62" s="1"/>
  <c r="A78" i="62" s="1"/>
  <c r="A80" i="62" s="1"/>
  <c r="A82" i="62" s="1"/>
  <c r="A84" i="62" s="1"/>
  <c r="A86" i="62" s="1"/>
  <c r="A88" i="62" s="1"/>
  <c r="A90" i="62" s="1"/>
  <c r="A92" i="62" s="1"/>
  <c r="A94" i="62" s="1"/>
  <c r="A96" i="62" s="1"/>
  <c r="A98" i="62" s="1"/>
  <c r="A100" i="62" s="1"/>
  <c r="A102" i="62" s="1"/>
  <c r="A104" i="62" s="1"/>
  <c r="A106" i="62" s="1"/>
  <c r="A108" i="62" s="1"/>
  <c r="A110" i="62" s="1"/>
  <c r="A112" i="62" s="1"/>
  <c r="A114" i="62" s="1"/>
  <c r="A116" i="62" s="1"/>
  <c r="A118" i="62" s="1"/>
  <c r="A120" i="62" s="1"/>
  <c r="A122" i="62" s="1"/>
  <c r="A124" i="62" s="1"/>
  <c r="A126" i="62" s="1"/>
  <c r="A128" i="62" s="1"/>
  <c r="A130" i="62" s="1"/>
  <c r="A10" i="62"/>
  <c r="B10" i="25"/>
  <c r="C10" i="25"/>
  <c r="D10" i="25"/>
  <c r="D270" i="25" s="1" a="1"/>
  <c r="D270" i="25" s="1"/>
  <c r="F282" i="25" s="1"/>
  <c r="B11" i="25"/>
  <c r="C11" i="25"/>
  <c r="D11" i="25"/>
  <c r="B12" i="25"/>
  <c r="C12" i="25"/>
  <c r="D12" i="25"/>
  <c r="B13" i="25"/>
  <c r="C13" i="25"/>
  <c r="D13" i="25"/>
  <c r="B14" i="25"/>
  <c r="C14" i="25"/>
  <c r="D14" i="25"/>
  <c r="B15" i="25"/>
  <c r="C15" i="25"/>
  <c r="D15" i="25"/>
  <c r="B16" i="25"/>
  <c r="C16" i="25"/>
  <c r="D16" i="25"/>
  <c r="B17" i="25"/>
  <c r="C17" i="25"/>
  <c r="D17" i="25"/>
  <c r="B18" i="25"/>
  <c r="C18" i="25"/>
  <c r="D18" i="25"/>
  <c r="B19" i="25"/>
  <c r="C19" i="25"/>
  <c r="D19" i="25"/>
  <c r="B20" i="25"/>
  <c r="C20" i="25"/>
  <c r="D20" i="25"/>
  <c r="B21" i="25"/>
  <c r="C21" i="25"/>
  <c r="D21" i="25"/>
  <c r="B22" i="25"/>
  <c r="C22" i="25"/>
  <c r="D22" i="25"/>
  <c r="B23" i="25"/>
  <c r="C23" i="25"/>
  <c r="D23" i="25"/>
  <c r="B24" i="25"/>
  <c r="C24" i="25"/>
  <c r="D24" i="25"/>
  <c r="B25" i="25"/>
  <c r="C25" i="25"/>
  <c r="D25" i="25"/>
  <c r="B26" i="25"/>
  <c r="C26" i="25"/>
  <c r="D26" i="25"/>
  <c r="B27" i="25"/>
  <c r="C27" i="25"/>
  <c r="D27" i="25"/>
  <c r="B28" i="25"/>
  <c r="C28" i="25"/>
  <c r="D28" i="25"/>
  <c r="B29" i="25"/>
  <c r="C29" i="25"/>
  <c r="D29" i="25"/>
  <c r="B30" i="25"/>
  <c r="C30" i="25"/>
  <c r="D30" i="25"/>
  <c r="B31" i="25"/>
  <c r="C31" i="25"/>
  <c r="D31" i="25"/>
  <c r="B32" i="25"/>
  <c r="C32" i="25"/>
  <c r="D32" i="25"/>
  <c r="B33" i="25"/>
  <c r="C33" i="25"/>
  <c r="D33" i="25"/>
  <c r="B34" i="25"/>
  <c r="C34" i="25"/>
  <c r="D34" i="25"/>
  <c r="B35" i="25"/>
  <c r="C35" i="25"/>
  <c r="D35" i="25"/>
  <c r="B36" i="25"/>
  <c r="C36" i="25"/>
  <c r="D36" i="25"/>
  <c r="B37" i="25"/>
  <c r="C37" i="25"/>
  <c r="D37" i="25"/>
  <c r="B38" i="25"/>
  <c r="C38" i="25"/>
  <c r="D38" i="25"/>
  <c r="B39" i="25"/>
  <c r="C39" i="25"/>
  <c r="D39" i="25"/>
  <c r="B40" i="25"/>
  <c r="C40" i="25"/>
  <c r="D40" i="25"/>
  <c r="B41" i="25"/>
  <c r="C41" i="25"/>
  <c r="D41" i="25"/>
  <c r="B42" i="25"/>
  <c r="C42" i="25"/>
  <c r="D42" i="25"/>
  <c r="B43" i="25"/>
  <c r="C43" i="25"/>
  <c r="D43" i="25"/>
  <c r="B44" i="25"/>
  <c r="C44" i="25"/>
  <c r="D44" i="25"/>
  <c r="B45" i="25"/>
  <c r="C45" i="25"/>
  <c r="D45" i="25"/>
  <c r="B46" i="25"/>
  <c r="C46" i="25"/>
  <c r="D46" i="25"/>
  <c r="B47" i="25"/>
  <c r="C47" i="25"/>
  <c r="D47" i="25"/>
  <c r="B48" i="25"/>
  <c r="C48" i="25"/>
  <c r="D48" i="25"/>
  <c r="B49" i="25"/>
  <c r="C49" i="25"/>
  <c r="D49" i="25"/>
  <c r="B50" i="25"/>
  <c r="C50" i="25"/>
  <c r="D50" i="25"/>
  <c r="B51" i="25"/>
  <c r="C51" i="25"/>
  <c r="D51" i="25"/>
  <c r="B52" i="25"/>
  <c r="C52" i="25"/>
  <c r="D52" i="25"/>
  <c r="B53" i="25"/>
  <c r="C53" i="25"/>
  <c r="D53" i="25"/>
  <c r="B54" i="25"/>
  <c r="C54" i="25"/>
  <c r="D54" i="25"/>
  <c r="B55" i="25"/>
  <c r="C55" i="25"/>
  <c r="D55" i="25"/>
  <c r="B56" i="25"/>
  <c r="C56" i="25"/>
  <c r="D56" i="25"/>
  <c r="B57" i="25"/>
  <c r="C57" i="25"/>
  <c r="D57" i="25"/>
  <c r="B58" i="25"/>
  <c r="C58" i="25"/>
  <c r="D58" i="25"/>
  <c r="B59" i="25"/>
  <c r="C59" i="25"/>
  <c r="D59" i="25"/>
  <c r="B60" i="25"/>
  <c r="C60" i="25"/>
  <c r="D60" i="25"/>
  <c r="B61" i="25"/>
  <c r="C61" i="25"/>
  <c r="D61" i="25"/>
  <c r="B62" i="25"/>
  <c r="C62" i="25"/>
  <c r="D62" i="25"/>
  <c r="B63" i="25"/>
  <c r="C63" i="25"/>
  <c r="D63" i="25"/>
  <c r="B64" i="25"/>
  <c r="C64" i="25"/>
  <c r="D64" i="25"/>
  <c r="B65" i="25"/>
  <c r="C65" i="25"/>
  <c r="D65" i="25"/>
  <c r="B66" i="25"/>
  <c r="C66" i="25"/>
  <c r="D66" i="25"/>
  <c r="B67" i="25"/>
  <c r="C67" i="25"/>
  <c r="D67" i="25"/>
  <c r="B68" i="25"/>
  <c r="C68" i="25"/>
  <c r="D68" i="25"/>
  <c r="B69" i="25"/>
  <c r="C69" i="25"/>
  <c r="D69" i="25"/>
  <c r="B70" i="25"/>
  <c r="C70" i="25"/>
  <c r="D70" i="25"/>
  <c r="B71" i="25"/>
  <c r="C71" i="25"/>
  <c r="D71" i="25"/>
  <c r="B72" i="25"/>
  <c r="C72" i="25"/>
  <c r="D72" i="25"/>
  <c r="B73" i="25"/>
  <c r="C73" i="25"/>
  <c r="D73" i="25"/>
  <c r="B74" i="25"/>
  <c r="C74" i="25"/>
  <c r="D74" i="25"/>
  <c r="B75" i="25"/>
  <c r="C75" i="25"/>
  <c r="D75" i="25"/>
  <c r="B76" i="25"/>
  <c r="C76" i="25"/>
  <c r="D76" i="25"/>
  <c r="B77" i="25"/>
  <c r="C77" i="25"/>
  <c r="D77" i="25"/>
  <c r="B78" i="25"/>
  <c r="C78" i="25"/>
  <c r="D78" i="25"/>
  <c r="B79" i="25"/>
  <c r="C79" i="25"/>
  <c r="D79" i="25"/>
  <c r="B80" i="25"/>
  <c r="C80" i="25"/>
  <c r="D80" i="25"/>
  <c r="B81" i="25"/>
  <c r="C81" i="25"/>
  <c r="D81" i="25"/>
  <c r="B82" i="25"/>
  <c r="C82" i="25"/>
  <c r="D82" i="25"/>
  <c r="B83" i="25"/>
  <c r="C83" i="25"/>
  <c r="D83" i="25"/>
  <c r="B84" i="25"/>
  <c r="C84" i="25"/>
  <c r="D84" i="25"/>
  <c r="B85" i="25"/>
  <c r="C85" i="25"/>
  <c r="D85" i="25"/>
  <c r="B86" i="25"/>
  <c r="C86" i="25"/>
  <c r="D86" i="25"/>
  <c r="B87" i="25"/>
  <c r="C87" i="25"/>
  <c r="D87" i="25"/>
  <c r="B88" i="25"/>
  <c r="C88" i="25"/>
  <c r="D88" i="25"/>
  <c r="B89" i="25"/>
  <c r="C89" i="25"/>
  <c r="D89" i="25"/>
  <c r="B90" i="25"/>
  <c r="C90" i="25"/>
  <c r="D90" i="25"/>
  <c r="B91" i="25"/>
  <c r="C91" i="25"/>
  <c r="D91" i="25"/>
  <c r="B92" i="25"/>
  <c r="C92" i="25"/>
  <c r="D92" i="25"/>
  <c r="B93" i="25"/>
  <c r="C93" i="25"/>
  <c r="D93" i="25"/>
  <c r="B94" i="25"/>
  <c r="C94" i="25"/>
  <c r="D94" i="25"/>
  <c r="B95" i="25"/>
  <c r="C95" i="25"/>
  <c r="D95" i="25"/>
  <c r="B96" i="25"/>
  <c r="C96" i="25"/>
  <c r="D96" i="25"/>
  <c r="B97" i="25"/>
  <c r="C97" i="25"/>
  <c r="D97" i="25"/>
  <c r="B98" i="25"/>
  <c r="C98" i="25"/>
  <c r="D98" i="25"/>
  <c r="B99" i="25"/>
  <c r="C99" i="25"/>
  <c r="D99" i="25"/>
  <c r="B100" i="25"/>
  <c r="C100" i="25"/>
  <c r="D100" i="25"/>
  <c r="B101" i="25"/>
  <c r="C101" i="25"/>
  <c r="D101" i="25"/>
  <c r="B102" i="25"/>
  <c r="C102" i="25"/>
  <c r="D102" i="25"/>
  <c r="B103" i="25"/>
  <c r="C103" i="25"/>
  <c r="D103" i="25"/>
  <c r="B104" i="25"/>
  <c r="C104" i="25"/>
  <c r="D104" i="25"/>
  <c r="B105" i="25"/>
  <c r="C105" i="25"/>
  <c r="D105" i="25"/>
  <c r="B106" i="25"/>
  <c r="C106" i="25"/>
  <c r="D106" i="25"/>
  <c r="B107" i="25"/>
  <c r="C107" i="25"/>
  <c r="D107" i="25"/>
  <c r="B108" i="25"/>
  <c r="C108" i="25"/>
  <c r="D108" i="25"/>
  <c r="B109" i="25"/>
  <c r="C109" i="25"/>
  <c r="D109" i="25"/>
  <c r="B110" i="25"/>
  <c r="C110" i="25"/>
  <c r="D110" i="25"/>
  <c r="B111" i="25"/>
  <c r="C111" i="25"/>
  <c r="D111" i="25"/>
  <c r="B112" i="25"/>
  <c r="C112" i="25"/>
  <c r="D112" i="25"/>
  <c r="B113" i="25"/>
  <c r="C113" i="25"/>
  <c r="D113" i="25"/>
  <c r="B114" i="25"/>
  <c r="C114" i="25"/>
  <c r="D114" i="25"/>
  <c r="B115" i="25"/>
  <c r="C115" i="25"/>
  <c r="D115" i="25"/>
  <c r="B116" i="25"/>
  <c r="C116" i="25"/>
  <c r="D116" i="25"/>
  <c r="B117" i="25"/>
  <c r="C117" i="25"/>
  <c r="D117" i="25"/>
  <c r="B118" i="25"/>
  <c r="C118" i="25"/>
  <c r="D118" i="25"/>
  <c r="B119" i="25"/>
  <c r="C119" i="25"/>
  <c r="D119" i="25"/>
  <c r="B120" i="25"/>
  <c r="C120" i="25"/>
  <c r="D120" i="25"/>
  <c r="B121" i="25"/>
  <c r="C121" i="25"/>
  <c r="D121" i="25"/>
  <c r="B122" i="25"/>
  <c r="C122" i="25"/>
  <c r="D122" i="25"/>
  <c r="B123" i="25"/>
  <c r="C123" i="25"/>
  <c r="D123" i="25"/>
  <c r="B124" i="25"/>
  <c r="C124" i="25"/>
  <c r="D124" i="25"/>
  <c r="B125" i="25"/>
  <c r="C125" i="25"/>
  <c r="D125" i="25"/>
  <c r="B126" i="25"/>
  <c r="C126" i="25"/>
  <c r="D126" i="25"/>
  <c r="B127" i="25"/>
  <c r="C127" i="25"/>
  <c r="D127" i="25"/>
  <c r="B128" i="25"/>
  <c r="C128" i="25"/>
  <c r="D128" i="25"/>
  <c r="B129" i="25"/>
  <c r="C129" i="25"/>
  <c r="D129" i="25"/>
  <c r="B130" i="25"/>
  <c r="C130" i="25"/>
  <c r="D130" i="25"/>
  <c r="B131" i="25"/>
  <c r="C131" i="25"/>
  <c r="D131" i="25"/>
  <c r="B132" i="25"/>
  <c r="C132" i="25"/>
  <c r="D132" i="25"/>
  <c r="B133" i="25"/>
  <c r="C133" i="25"/>
  <c r="D133" i="25"/>
  <c r="B134" i="25"/>
  <c r="C134" i="25"/>
  <c r="D134" i="25"/>
  <c r="B135" i="25"/>
  <c r="C135" i="25"/>
  <c r="D135" i="25"/>
  <c r="B136" i="25"/>
  <c r="C136" i="25"/>
  <c r="D136" i="25"/>
  <c r="B137" i="25"/>
  <c r="C137" i="25"/>
  <c r="D137" i="25"/>
  <c r="B138" i="25"/>
  <c r="C138" i="25"/>
  <c r="D138" i="25"/>
  <c r="B139" i="25"/>
  <c r="C139" i="25"/>
  <c r="D139" i="25"/>
  <c r="B140" i="25"/>
  <c r="C140" i="25"/>
  <c r="D140" i="25"/>
  <c r="B141" i="25"/>
  <c r="C141" i="25"/>
  <c r="D141" i="25"/>
  <c r="B142" i="25"/>
  <c r="C142" i="25"/>
  <c r="D142" i="25"/>
  <c r="B143" i="25"/>
  <c r="C143" i="25"/>
  <c r="D143" i="25"/>
  <c r="B144" i="25"/>
  <c r="C144" i="25"/>
  <c r="D144" i="25"/>
  <c r="B145" i="25"/>
  <c r="C145" i="25"/>
  <c r="D145" i="25"/>
  <c r="B146" i="25"/>
  <c r="C146" i="25"/>
  <c r="D146" i="25"/>
  <c r="B147" i="25"/>
  <c r="C147" i="25"/>
  <c r="D147" i="25"/>
  <c r="B148" i="25"/>
  <c r="C148" i="25"/>
  <c r="D148" i="25"/>
  <c r="B149" i="25"/>
  <c r="C149" i="25"/>
  <c r="D149" i="25"/>
  <c r="B150" i="25"/>
  <c r="C150" i="25"/>
  <c r="D150" i="25"/>
  <c r="B151" i="25"/>
  <c r="C151" i="25"/>
  <c r="D151" i="25"/>
  <c r="B152" i="25"/>
  <c r="C152" i="25"/>
  <c r="D152" i="25"/>
  <c r="B153" i="25"/>
  <c r="C153" i="25"/>
  <c r="D153" i="25"/>
  <c r="B154" i="25"/>
  <c r="C154" i="25"/>
  <c r="D154" i="25"/>
  <c r="B155" i="25"/>
  <c r="C155" i="25"/>
  <c r="D155" i="25"/>
  <c r="B156" i="25"/>
  <c r="C156" i="25"/>
  <c r="D156" i="25"/>
  <c r="B157" i="25"/>
  <c r="C157" i="25"/>
  <c r="D157" i="25"/>
  <c r="B158" i="25"/>
  <c r="C158" i="25"/>
  <c r="D158" i="25"/>
  <c r="B159" i="25"/>
  <c r="C159" i="25"/>
  <c r="D159" i="25"/>
  <c r="B160" i="25"/>
  <c r="C160" i="25"/>
  <c r="D160" i="25"/>
  <c r="B161" i="25"/>
  <c r="C161" i="25"/>
  <c r="D161" i="25"/>
  <c r="B162" i="25"/>
  <c r="C162" i="25"/>
  <c r="D162" i="25"/>
  <c r="B163" i="25"/>
  <c r="C163" i="25"/>
  <c r="D163" i="25"/>
  <c r="B164" i="25"/>
  <c r="C164" i="25"/>
  <c r="D164" i="25"/>
  <c r="B165" i="25"/>
  <c r="C165" i="25"/>
  <c r="D165" i="25"/>
  <c r="B166" i="25"/>
  <c r="C166" i="25"/>
  <c r="D166" i="25"/>
  <c r="B167" i="25"/>
  <c r="C167" i="25"/>
  <c r="D167" i="25"/>
  <c r="B168" i="25"/>
  <c r="C168" i="25"/>
  <c r="D168" i="25"/>
  <c r="B169" i="25"/>
  <c r="C169" i="25"/>
  <c r="D169" i="25"/>
  <c r="B170" i="25"/>
  <c r="C170" i="25"/>
  <c r="D170" i="25"/>
  <c r="B171" i="25"/>
  <c r="C171" i="25"/>
  <c r="D171" i="25"/>
  <c r="B172" i="25"/>
  <c r="C172" i="25"/>
  <c r="D172" i="25"/>
  <c r="B173" i="25"/>
  <c r="C173" i="25"/>
  <c r="D173" i="25"/>
  <c r="B174" i="25"/>
  <c r="C174" i="25"/>
  <c r="D174" i="25"/>
  <c r="B175" i="25"/>
  <c r="C175" i="25"/>
  <c r="D175" i="25"/>
  <c r="B176" i="25"/>
  <c r="C176" i="25"/>
  <c r="D176" i="25"/>
  <c r="B177" i="25"/>
  <c r="C177" i="25"/>
  <c r="D177" i="25"/>
  <c r="B178" i="25"/>
  <c r="C178" i="25"/>
  <c r="D178" i="25"/>
  <c r="B179" i="25"/>
  <c r="C179" i="25"/>
  <c r="D179" i="25"/>
  <c r="B180" i="25"/>
  <c r="C180" i="25"/>
  <c r="D180" i="25"/>
  <c r="B181" i="25"/>
  <c r="C181" i="25"/>
  <c r="D181" i="25"/>
  <c r="B182" i="25"/>
  <c r="C182" i="25"/>
  <c r="D182" i="25"/>
  <c r="B183" i="25"/>
  <c r="C183" i="25"/>
  <c r="D183" i="25"/>
  <c r="B184" i="25"/>
  <c r="C184" i="25"/>
  <c r="D184" i="25"/>
  <c r="B185" i="25"/>
  <c r="C185" i="25"/>
  <c r="D185" i="25"/>
  <c r="B186" i="25"/>
  <c r="C186" i="25"/>
  <c r="D186" i="25"/>
  <c r="B187" i="25"/>
  <c r="C187" i="25"/>
  <c r="D187" i="25"/>
  <c r="B188" i="25"/>
  <c r="C188" i="25"/>
  <c r="D188" i="25"/>
  <c r="B189" i="25"/>
  <c r="C189" i="25"/>
  <c r="D189" i="25"/>
  <c r="B190" i="25"/>
  <c r="C190" i="25"/>
  <c r="D190" i="25"/>
  <c r="B191" i="25"/>
  <c r="C191" i="25"/>
  <c r="D191" i="25"/>
  <c r="B192" i="25"/>
  <c r="C192" i="25"/>
  <c r="D192" i="25"/>
  <c r="B193" i="25"/>
  <c r="C193" i="25"/>
  <c r="D193" i="25"/>
  <c r="B194" i="25"/>
  <c r="C194" i="25"/>
  <c r="D194" i="25"/>
  <c r="B195" i="25"/>
  <c r="C195" i="25"/>
  <c r="D195" i="25"/>
  <c r="B196" i="25"/>
  <c r="C196" i="25"/>
  <c r="D196" i="25"/>
  <c r="B197" i="25"/>
  <c r="C197" i="25"/>
  <c r="D197" i="25"/>
  <c r="B198" i="25"/>
  <c r="C198" i="25"/>
  <c r="D198" i="25"/>
  <c r="B199" i="25"/>
  <c r="C199" i="25"/>
  <c r="D199" i="25"/>
  <c r="B200" i="25"/>
  <c r="C200" i="25"/>
  <c r="D200" i="25"/>
  <c r="B201" i="25"/>
  <c r="C201" i="25"/>
  <c r="D201" i="25"/>
  <c r="B202" i="25"/>
  <c r="C202" i="25"/>
  <c r="D202" i="25"/>
  <c r="B203" i="25"/>
  <c r="C203" i="25"/>
  <c r="D203" i="25"/>
  <c r="B204" i="25"/>
  <c r="C204" i="25"/>
  <c r="D204" i="25"/>
  <c r="B205" i="25"/>
  <c r="C205" i="25"/>
  <c r="D205" i="25"/>
  <c r="B206" i="25"/>
  <c r="C206" i="25"/>
  <c r="D206" i="25"/>
  <c r="B207" i="25"/>
  <c r="C207" i="25"/>
  <c r="D207" i="25"/>
  <c r="B208" i="25"/>
  <c r="C208" i="25"/>
  <c r="D208" i="25"/>
  <c r="B209" i="25"/>
  <c r="C209" i="25"/>
  <c r="D209" i="25"/>
  <c r="B210" i="25"/>
  <c r="C210" i="25"/>
  <c r="D210" i="25"/>
  <c r="B211" i="25"/>
  <c r="C211" i="25"/>
  <c r="D211" i="25"/>
  <c r="B212" i="25"/>
  <c r="C212" i="25"/>
  <c r="D212" i="25"/>
  <c r="B213" i="25"/>
  <c r="C213" i="25"/>
  <c r="D213" i="25"/>
  <c r="B214" i="25"/>
  <c r="C214" i="25"/>
  <c r="D214" i="25"/>
  <c r="B215" i="25"/>
  <c r="C215" i="25"/>
  <c r="D215" i="25"/>
  <c r="B216" i="25"/>
  <c r="C216" i="25"/>
  <c r="D216" i="25"/>
  <c r="B217" i="25"/>
  <c r="C217" i="25"/>
  <c r="D217" i="25"/>
  <c r="B218" i="25"/>
  <c r="C218" i="25"/>
  <c r="D218" i="25"/>
  <c r="B219" i="25"/>
  <c r="C219" i="25"/>
  <c r="D219" i="25"/>
  <c r="B220" i="25"/>
  <c r="C220" i="25"/>
  <c r="D220" i="25"/>
  <c r="B221" i="25"/>
  <c r="C221" i="25"/>
  <c r="D221" i="25"/>
  <c r="B222" i="25"/>
  <c r="C222" i="25"/>
  <c r="D222" i="25"/>
  <c r="B223" i="25"/>
  <c r="C223" i="25"/>
  <c r="D223" i="25"/>
  <c r="B224" i="25"/>
  <c r="C224" i="25"/>
  <c r="D224" i="25"/>
  <c r="B225" i="25"/>
  <c r="C225" i="25"/>
  <c r="D225" i="25"/>
  <c r="B226" i="25"/>
  <c r="C226" i="25"/>
  <c r="D226" i="25"/>
  <c r="B227" i="25"/>
  <c r="C227" i="25"/>
  <c r="D227" i="25"/>
  <c r="B228" i="25"/>
  <c r="C228" i="25"/>
  <c r="D228" i="25"/>
  <c r="B229" i="25"/>
  <c r="C229" i="25"/>
  <c r="D229" i="25"/>
  <c r="B230" i="25"/>
  <c r="C230" i="25"/>
  <c r="D230" i="25"/>
  <c r="B231" i="25"/>
  <c r="C231" i="25"/>
  <c r="D231" i="25"/>
  <c r="B232" i="25"/>
  <c r="C232" i="25"/>
  <c r="D232" i="25"/>
  <c r="B233" i="25"/>
  <c r="C233" i="25"/>
  <c r="D233" i="25"/>
  <c r="B234" i="25"/>
  <c r="C234" i="25"/>
  <c r="D234" i="25"/>
  <c r="B235" i="25"/>
  <c r="C235" i="25"/>
  <c r="D235" i="25"/>
  <c r="B236" i="25"/>
  <c r="C236" i="25"/>
  <c r="D236" i="25"/>
  <c r="B237" i="25"/>
  <c r="C237" i="25"/>
  <c r="D237" i="25"/>
  <c r="B238" i="25"/>
  <c r="C238" i="25"/>
  <c r="D238" i="25"/>
  <c r="B239" i="25"/>
  <c r="C239" i="25"/>
  <c r="D239" i="25"/>
  <c r="B240" i="25"/>
  <c r="C240" i="25"/>
  <c r="D240" i="25"/>
  <c r="B241" i="25"/>
  <c r="C241" i="25"/>
  <c r="D241" i="25"/>
  <c r="B242" i="25"/>
  <c r="C242" i="25"/>
  <c r="D242" i="25"/>
  <c r="B243" i="25"/>
  <c r="C243" i="25"/>
  <c r="D243" i="25"/>
  <c r="B244" i="25"/>
  <c r="C244" i="25"/>
  <c r="D244" i="25"/>
  <c r="B245" i="25"/>
  <c r="C245" i="25"/>
  <c r="D245" i="25"/>
  <c r="B246" i="25"/>
  <c r="C246" i="25"/>
  <c r="D246" i="25"/>
  <c r="B247" i="25"/>
  <c r="C247" i="25"/>
  <c r="D247" i="25"/>
  <c r="B248" i="25"/>
  <c r="C248" i="25"/>
  <c r="D248" i="25"/>
  <c r="B249" i="25"/>
  <c r="C249" i="25"/>
  <c r="D249" i="25"/>
  <c r="B250" i="25"/>
  <c r="C250" i="25"/>
  <c r="D250" i="25"/>
  <c r="B251" i="25"/>
  <c r="C251" i="25"/>
  <c r="D251" i="25"/>
  <c r="B252" i="25"/>
  <c r="C252" i="25"/>
  <c r="D252" i="25"/>
  <c r="B253" i="25"/>
  <c r="C253" i="25"/>
  <c r="D253" i="25"/>
  <c r="B254" i="25"/>
  <c r="C254" i="25"/>
  <c r="D254" i="25"/>
  <c r="B255" i="25"/>
  <c r="C255" i="25"/>
  <c r="D255" i="25"/>
  <c r="B256" i="25"/>
  <c r="C256" i="25"/>
  <c r="D256" i="25"/>
  <c r="B257" i="25"/>
  <c r="C257" i="25"/>
  <c r="D257" i="25"/>
  <c r="B258" i="25"/>
  <c r="C258" i="25"/>
  <c r="D258" i="25"/>
  <c r="B259" i="25"/>
  <c r="C259" i="25"/>
  <c r="D259" i="25"/>
  <c r="B260" i="25"/>
  <c r="C260" i="25"/>
  <c r="D260" i="25"/>
  <c r="B261" i="25"/>
  <c r="C261" i="25"/>
  <c r="D261" i="25"/>
  <c r="B262" i="25"/>
  <c r="C262" i="25"/>
  <c r="D262" i="25"/>
  <c r="B263" i="25"/>
  <c r="C263" i="25"/>
  <c r="D263" i="25"/>
  <c r="B264" i="25"/>
  <c r="C264" i="25"/>
  <c r="D264" i="25"/>
  <c r="B265" i="25"/>
  <c r="C265" i="25"/>
  <c r="D265" i="25"/>
  <c r="B266" i="25"/>
  <c r="C266" i="25"/>
  <c r="D266" i="25"/>
  <c r="B267" i="25"/>
  <c r="C267" i="25"/>
  <c r="D267" i="25"/>
  <c r="C9" i="25"/>
  <c r="M134" i="62" l="1" a="1"/>
  <c r="M134" i="62" s="1"/>
  <c r="M133" i="62" a="1"/>
  <c r="M133" i="62" s="1"/>
  <c r="AI231" i="25"/>
  <c r="AJ231" i="25" s="1" a="1"/>
  <c r="AJ231" i="25" s="1"/>
  <c r="AL231" i="25" s="1"/>
  <c r="BD231" i="25"/>
  <c r="AN231" i="25"/>
  <c r="AN207" i="25"/>
  <c r="AI207" i="25"/>
  <c r="AJ207" i="25" s="1" a="1"/>
  <c r="AJ207" i="25" s="1"/>
  <c r="AL207" i="25" s="1"/>
  <c r="BD207" i="25"/>
  <c r="AI183" i="25"/>
  <c r="AJ183" i="25" s="1" a="1"/>
  <c r="AJ183" i="25" s="1"/>
  <c r="AL183" i="25" s="1"/>
  <c r="BD183" i="25"/>
  <c r="AN183" i="25"/>
  <c r="AN175" i="25"/>
  <c r="AI175" i="25"/>
  <c r="AJ175" i="25" s="1" a="1"/>
  <c r="AJ175" i="25" s="1"/>
  <c r="AL175" i="25" s="1"/>
  <c r="BD175" i="25"/>
  <c r="AI159" i="25"/>
  <c r="AJ159" i="25" s="1" a="1"/>
  <c r="AJ159" i="25" s="1"/>
  <c r="AL159" i="25" s="1"/>
  <c r="BD159" i="25"/>
  <c r="AN159" i="25"/>
  <c r="AI151" i="25"/>
  <c r="AJ151" i="25" s="1" a="1"/>
  <c r="AJ151" i="25" s="1"/>
  <c r="AL151" i="25" s="1"/>
  <c r="AN151" i="25"/>
  <c r="BD151" i="25"/>
  <c r="AN143" i="25"/>
  <c r="AI143" i="25"/>
  <c r="AJ143" i="25" s="1" a="1"/>
  <c r="AJ143" i="25" s="1"/>
  <c r="AL143" i="25" s="1"/>
  <c r="BD143" i="25"/>
  <c r="AI135" i="25"/>
  <c r="AJ135" i="25" s="1" a="1"/>
  <c r="AJ135" i="25" s="1"/>
  <c r="AL135" i="25" s="1"/>
  <c r="AN135" i="25"/>
  <c r="BD135" i="25"/>
  <c r="AN127" i="25"/>
  <c r="AI127" i="25"/>
  <c r="AJ127" i="25" s="1" a="1"/>
  <c r="AJ127" i="25" s="1"/>
  <c r="AL127" i="25" s="1"/>
  <c r="BD127" i="25"/>
  <c r="AI119" i="25"/>
  <c r="AJ119" i="25" s="1" a="1"/>
  <c r="AJ119" i="25" s="1"/>
  <c r="AL119" i="25" s="1"/>
  <c r="AN119" i="25"/>
  <c r="BD119" i="25"/>
  <c r="AN111" i="25"/>
  <c r="AI111" i="25"/>
  <c r="AJ111" i="25" s="1" a="1"/>
  <c r="AJ111" i="25" s="1"/>
  <c r="AL111" i="25" s="1"/>
  <c r="BD111" i="25"/>
  <c r="AI103" i="25"/>
  <c r="AJ103" i="25" s="1" a="1"/>
  <c r="AJ103" i="25" s="1"/>
  <c r="AL103" i="25" s="1"/>
  <c r="BD103" i="25"/>
  <c r="AN103" i="25"/>
  <c r="AN95" i="25"/>
  <c r="AI95" i="25"/>
  <c r="AJ95" i="25" s="1" a="1"/>
  <c r="AJ95" i="25" s="1"/>
  <c r="AL95" i="25" s="1"/>
  <c r="BD95" i="25"/>
  <c r="AI87" i="25"/>
  <c r="AJ87" i="25" s="1" a="1"/>
  <c r="AJ87" i="25" s="1"/>
  <c r="AL87" i="25" s="1"/>
  <c r="BD87" i="25"/>
  <c r="AN87" i="25"/>
  <c r="AN79" i="25"/>
  <c r="AI79" i="25"/>
  <c r="AJ79" i="25" s="1" a="1"/>
  <c r="AJ79" i="25" s="1"/>
  <c r="AL79" i="25" s="1"/>
  <c r="BD79" i="25"/>
  <c r="AI71" i="25"/>
  <c r="AJ71" i="25" s="1" a="1"/>
  <c r="AJ71" i="25" s="1"/>
  <c r="AL71" i="25" s="1"/>
  <c r="BD71" i="25"/>
  <c r="AN71" i="25"/>
  <c r="AN63" i="25"/>
  <c r="AI63" i="25"/>
  <c r="AJ63" i="25" s="1" a="1"/>
  <c r="AJ63" i="25" s="1"/>
  <c r="AL63" i="25" s="1"/>
  <c r="BD63" i="25"/>
  <c r="AI55" i="25"/>
  <c r="AJ55" i="25" s="1" a="1"/>
  <c r="AJ55" i="25" s="1"/>
  <c r="AL55" i="25" s="1"/>
  <c r="BD55" i="25"/>
  <c r="AN55" i="25"/>
  <c r="AN47" i="25"/>
  <c r="AI47" i="25"/>
  <c r="AJ47" i="25" s="1" a="1"/>
  <c r="AJ47" i="25" s="1"/>
  <c r="AL47" i="25" s="1"/>
  <c r="BD47" i="25"/>
  <c r="AI39" i="25"/>
  <c r="AJ39" i="25" s="1" a="1"/>
  <c r="AJ39" i="25" s="1"/>
  <c r="AL39" i="25" s="1"/>
  <c r="BD39" i="25"/>
  <c r="AN39" i="25"/>
  <c r="AN31" i="25"/>
  <c r="AI31" i="25"/>
  <c r="AJ31" i="25" s="1" a="1"/>
  <c r="AJ31" i="25" s="1"/>
  <c r="AL31" i="25" s="1"/>
  <c r="BD31" i="25"/>
  <c r="AI23" i="25"/>
  <c r="AJ23" i="25" s="1" a="1"/>
  <c r="AJ23" i="25" s="1"/>
  <c r="AL23" i="25" s="1"/>
  <c r="BD23" i="25"/>
  <c r="AN23" i="25"/>
  <c r="AN15" i="25"/>
  <c r="AI15" i="25"/>
  <c r="AJ15" i="25" s="1" a="1"/>
  <c r="AJ15" i="25" s="1"/>
  <c r="AL15" i="25" s="1"/>
  <c r="BD15" i="25"/>
  <c r="AN223" i="25"/>
  <c r="BD223" i="25"/>
  <c r="AI223" i="25"/>
  <c r="AJ223" i="25" s="1" a="1"/>
  <c r="AJ223" i="25" s="1"/>
  <c r="AL223" i="25" s="1"/>
  <c r="AI167" i="25"/>
  <c r="AJ167" i="25" s="1" a="1"/>
  <c r="AJ167" i="25" s="1"/>
  <c r="AL167" i="25" s="1"/>
  <c r="BD167" i="25"/>
  <c r="AN167" i="25"/>
  <c r="AI241" i="25"/>
  <c r="AJ241" i="25" s="1" a="1"/>
  <c r="AJ241" i="25" s="1"/>
  <c r="AL241" i="25" s="1"/>
  <c r="BD241" i="25"/>
  <c r="AN241" i="25"/>
  <c r="AI209" i="25"/>
  <c r="AJ209" i="25" s="1" a="1"/>
  <c r="AJ209" i="25" s="1"/>
  <c r="AL209" i="25" s="1"/>
  <c r="BD209" i="25"/>
  <c r="AN209" i="25"/>
  <c r="BD129" i="25"/>
  <c r="AN129" i="25"/>
  <c r="AI129" i="25"/>
  <c r="AJ129" i="25" s="1" a="1"/>
  <c r="AJ129" i="25" s="1"/>
  <c r="AL129" i="25" s="1"/>
  <c r="AI17" i="25"/>
  <c r="AJ17" i="25" s="1" a="1"/>
  <c r="AJ17" i="25" s="1"/>
  <c r="AL17" i="25" s="1"/>
  <c r="BD17" i="25"/>
  <c r="AN17" i="25"/>
  <c r="BD247" i="25"/>
  <c r="AI247" i="25"/>
  <c r="AJ247" i="25" s="1" a="1"/>
  <c r="AJ247" i="25" s="1"/>
  <c r="AL247" i="25" s="1"/>
  <c r="AN247" i="25"/>
  <c r="AI215" i="25"/>
  <c r="AJ215" i="25" s="1" a="1"/>
  <c r="AJ215" i="25" s="1"/>
  <c r="AL215" i="25" s="1"/>
  <c r="BD215" i="25"/>
  <c r="AN215" i="25"/>
  <c r="AN217" i="25"/>
  <c r="AI217" i="25"/>
  <c r="AJ217" i="25" s="1" a="1"/>
  <c r="AJ217" i="25" s="1"/>
  <c r="AL217" i="25" s="1"/>
  <c r="BD217" i="25"/>
  <c r="AN169" i="25"/>
  <c r="AI169" i="25"/>
  <c r="AJ169" i="25" s="1" a="1"/>
  <c r="AJ169" i="25" s="1"/>
  <c r="AL169" i="25" s="1"/>
  <c r="BD169" i="25"/>
  <c r="AN89" i="25"/>
  <c r="AI89" i="25"/>
  <c r="AJ89" i="25" s="1" a="1"/>
  <c r="AJ89" i="25" s="1"/>
  <c r="AL89" i="25" s="1"/>
  <c r="BD89" i="25"/>
  <c r="AN25" i="25"/>
  <c r="AI25" i="25"/>
  <c r="AJ25" i="25" s="1" a="1"/>
  <c r="AJ25" i="25" s="1"/>
  <c r="AL25" i="25" s="1"/>
  <c r="BD25" i="25"/>
  <c r="AN179" i="25"/>
  <c r="BD179" i="25"/>
  <c r="AI179" i="25"/>
  <c r="AJ179" i="25" s="1" a="1"/>
  <c r="AJ179" i="25" s="1"/>
  <c r="AL179" i="25" s="1"/>
  <c r="AI163" i="25"/>
  <c r="AJ163" i="25" s="1" a="1"/>
  <c r="AJ163" i="25" s="1"/>
  <c r="AL163" i="25" s="1"/>
  <c r="AN163" i="25"/>
  <c r="BD163" i="25"/>
  <c r="AI155" i="25"/>
  <c r="AJ155" i="25" s="1" a="1"/>
  <c r="AJ155" i="25" s="1"/>
  <c r="AL155" i="25" s="1"/>
  <c r="AN155" i="25"/>
  <c r="BD155" i="25"/>
  <c r="AN147" i="25"/>
  <c r="AI147" i="25"/>
  <c r="AJ147" i="25" s="1" a="1"/>
  <c r="AJ147" i="25" s="1"/>
  <c r="AL147" i="25" s="1"/>
  <c r="BD147" i="25"/>
  <c r="AI139" i="25"/>
  <c r="AJ139" i="25" s="1" a="1"/>
  <c r="AJ139" i="25" s="1"/>
  <c r="AL139" i="25" s="1"/>
  <c r="BD139" i="25"/>
  <c r="AN139" i="25"/>
  <c r="AN131" i="25"/>
  <c r="AI131" i="25"/>
  <c r="AJ131" i="25" s="1" a="1"/>
  <c r="AJ131" i="25" s="1"/>
  <c r="AL131" i="25" s="1"/>
  <c r="BD131" i="25"/>
  <c r="AI123" i="25"/>
  <c r="AJ123" i="25" s="1" a="1"/>
  <c r="AJ123" i="25" s="1"/>
  <c r="AL123" i="25" s="1"/>
  <c r="BD123" i="25"/>
  <c r="AN123" i="25"/>
  <c r="AN115" i="25"/>
  <c r="AI115" i="25"/>
  <c r="AJ115" i="25" s="1" a="1"/>
  <c r="AJ115" i="25" s="1"/>
  <c r="AL115" i="25" s="1"/>
  <c r="BD115" i="25"/>
  <c r="AI107" i="25"/>
  <c r="AJ107" i="25" s="1" a="1"/>
  <c r="AJ107" i="25" s="1"/>
  <c r="AL107" i="25" s="1"/>
  <c r="BD107" i="25"/>
  <c r="AN107" i="25"/>
  <c r="AN99" i="25"/>
  <c r="AI99" i="25"/>
  <c r="AJ99" i="25" s="1" a="1"/>
  <c r="AJ99" i="25" s="1"/>
  <c r="AL99" i="25" s="1"/>
  <c r="BD99" i="25"/>
  <c r="AI91" i="25"/>
  <c r="AJ91" i="25" s="1" a="1"/>
  <c r="AJ91" i="25" s="1"/>
  <c r="AL91" i="25" s="1"/>
  <c r="BD91" i="25"/>
  <c r="AN91" i="25"/>
  <c r="AN83" i="25"/>
  <c r="AI83" i="25"/>
  <c r="AJ83" i="25" s="1" a="1"/>
  <c r="AJ83" i="25" s="1"/>
  <c r="AL83" i="25" s="1"/>
  <c r="BD83" i="25"/>
  <c r="AI75" i="25"/>
  <c r="AJ75" i="25" s="1" a="1"/>
  <c r="AJ75" i="25" s="1"/>
  <c r="AL75" i="25" s="1"/>
  <c r="BD75" i="25"/>
  <c r="AN75" i="25"/>
  <c r="AN67" i="25"/>
  <c r="AI67" i="25"/>
  <c r="AJ67" i="25" s="1" a="1"/>
  <c r="AJ67" i="25" s="1"/>
  <c r="AL67" i="25" s="1"/>
  <c r="BD67" i="25"/>
  <c r="AI59" i="25"/>
  <c r="AJ59" i="25" s="1" a="1"/>
  <c r="AJ59" i="25" s="1"/>
  <c r="AL59" i="25" s="1"/>
  <c r="BD59" i="25"/>
  <c r="AN59" i="25"/>
  <c r="AN51" i="25"/>
  <c r="AI51" i="25"/>
  <c r="AJ51" i="25" s="1" a="1"/>
  <c r="AJ51" i="25" s="1"/>
  <c r="AL51" i="25" s="1"/>
  <c r="BD51" i="25"/>
  <c r="AI43" i="25"/>
  <c r="AJ43" i="25" s="1" a="1"/>
  <c r="AJ43" i="25" s="1"/>
  <c r="AL43" i="25" s="1"/>
  <c r="BD43" i="25"/>
  <c r="AN43" i="25"/>
  <c r="AN35" i="25"/>
  <c r="AI35" i="25"/>
  <c r="AJ35" i="25" s="1" a="1"/>
  <c r="AJ35" i="25" s="1"/>
  <c r="AL35" i="25" s="1"/>
  <c r="BD35" i="25"/>
  <c r="AI27" i="25"/>
  <c r="AJ27" i="25" s="1" a="1"/>
  <c r="AJ27" i="25" s="1"/>
  <c r="AL27" i="25" s="1"/>
  <c r="BD27" i="25"/>
  <c r="AN27" i="25"/>
  <c r="AN19" i="25"/>
  <c r="AI19" i="25"/>
  <c r="AJ19" i="25" s="1" a="1"/>
  <c r="AJ19" i="25" s="1"/>
  <c r="AL19" i="25" s="1"/>
  <c r="BD19" i="25"/>
  <c r="AI11" i="25"/>
  <c r="AJ11" i="25" s="1" a="1"/>
  <c r="AJ11" i="25" s="1"/>
  <c r="AL11" i="25" s="1"/>
  <c r="BD11" i="25"/>
  <c r="AN11" i="25"/>
  <c r="BD255" i="25"/>
  <c r="AI255" i="25"/>
  <c r="AJ255" i="25" s="1" a="1"/>
  <c r="AJ255" i="25" s="1"/>
  <c r="AL255" i="25" s="1"/>
  <c r="AN255" i="25"/>
  <c r="BD239" i="25"/>
  <c r="AN239" i="25"/>
  <c r="AI239" i="25"/>
  <c r="AJ239" i="25" s="1" a="1"/>
  <c r="AJ239" i="25" s="1"/>
  <c r="AL239" i="25" s="1"/>
  <c r="AN191" i="25"/>
  <c r="AI191" i="25"/>
  <c r="AJ191" i="25" s="1" a="1"/>
  <c r="AJ191" i="25" s="1"/>
  <c r="AL191" i="25" s="1"/>
  <c r="BD191" i="25"/>
  <c r="AI257" i="25"/>
  <c r="AJ257" i="25" s="1" a="1"/>
  <c r="AJ257" i="25" s="1"/>
  <c r="AL257" i="25" s="1"/>
  <c r="BD257" i="25"/>
  <c r="AN257" i="25"/>
  <c r="AN233" i="25"/>
  <c r="AI233" i="25"/>
  <c r="AJ233" i="25" s="1" a="1"/>
  <c r="AJ233" i="25" s="1"/>
  <c r="AL233" i="25" s="1"/>
  <c r="BD233" i="25"/>
  <c r="AN201" i="25"/>
  <c r="AI201" i="25"/>
  <c r="AJ201" i="25" s="1" a="1"/>
  <c r="AJ201" i="25" s="1"/>
  <c r="AL201" i="25" s="1"/>
  <c r="BD201" i="25"/>
  <c r="AN185" i="25"/>
  <c r="AI185" i="25"/>
  <c r="AJ185" i="25" s="1" a="1"/>
  <c r="AJ185" i="25" s="1"/>
  <c r="AL185" i="25" s="1"/>
  <c r="BD185" i="25"/>
  <c r="AI177" i="25"/>
  <c r="AJ177" i="25" s="1" a="1"/>
  <c r="AJ177" i="25" s="1"/>
  <c r="AL177" i="25" s="1"/>
  <c r="BD177" i="25"/>
  <c r="AN177" i="25"/>
  <c r="AI153" i="25"/>
  <c r="AJ153" i="25" s="1" a="1"/>
  <c r="AJ153" i="25" s="1"/>
  <c r="AL153" i="25" s="1"/>
  <c r="BD153" i="25"/>
  <c r="AN153" i="25"/>
  <c r="AI137" i="25"/>
  <c r="AJ137" i="25" s="1" a="1"/>
  <c r="AJ137" i="25" s="1"/>
  <c r="AL137" i="25" s="1"/>
  <c r="BD137" i="25"/>
  <c r="AN137" i="25"/>
  <c r="BD113" i="25"/>
  <c r="AN113" i="25"/>
  <c r="AI113" i="25"/>
  <c r="AJ113" i="25" s="1" a="1"/>
  <c r="AJ113" i="25" s="1"/>
  <c r="AL113" i="25" s="1"/>
  <c r="AI105" i="25"/>
  <c r="AJ105" i="25" s="1" a="1"/>
  <c r="AJ105" i="25" s="1"/>
  <c r="AL105" i="25" s="1"/>
  <c r="BD105" i="25"/>
  <c r="AN105" i="25"/>
  <c r="AI81" i="25"/>
  <c r="AJ81" i="25" s="1" a="1"/>
  <c r="AJ81" i="25" s="1"/>
  <c r="AL81" i="25" s="1"/>
  <c r="BD81" i="25"/>
  <c r="AN81" i="25"/>
  <c r="AN57" i="25"/>
  <c r="AI57" i="25"/>
  <c r="AJ57" i="25" s="1" a="1"/>
  <c r="AJ57" i="25" s="1"/>
  <c r="AL57" i="25" s="1"/>
  <c r="BD57" i="25"/>
  <c r="AN41" i="25"/>
  <c r="AI41" i="25"/>
  <c r="AJ41" i="25" s="1" a="1"/>
  <c r="AJ41" i="25" s="1"/>
  <c r="AL41" i="25" s="1"/>
  <c r="BD41" i="25"/>
  <c r="AN259" i="25"/>
  <c r="BD259" i="25"/>
  <c r="AI259" i="25"/>
  <c r="AJ259" i="25" s="1" a="1"/>
  <c r="AJ259" i="25" s="1"/>
  <c r="AL259" i="25" s="1"/>
  <c r="AN243" i="25"/>
  <c r="BD243" i="25"/>
  <c r="AI243" i="25"/>
  <c r="AJ243" i="25" s="1" a="1"/>
  <c r="AJ243" i="25" s="1"/>
  <c r="AL243" i="25" s="1"/>
  <c r="AN227" i="25"/>
  <c r="BD227" i="25"/>
  <c r="AI227" i="25"/>
  <c r="AJ227" i="25" s="1" a="1"/>
  <c r="AJ227" i="25" s="1"/>
  <c r="AL227" i="25" s="1"/>
  <c r="AN211" i="25"/>
  <c r="BD211" i="25"/>
  <c r="AI211" i="25"/>
  <c r="AJ211" i="25" s="1" a="1"/>
  <c r="AJ211" i="25" s="1"/>
  <c r="AL211" i="25" s="1"/>
  <c r="AI203" i="25"/>
  <c r="AJ203" i="25" s="1" a="1"/>
  <c r="AJ203" i="25" s="1"/>
  <c r="AL203" i="25" s="1"/>
  <c r="BD203" i="25"/>
  <c r="AN203" i="25"/>
  <c r="AI187" i="25"/>
  <c r="AJ187" i="25" s="1" a="1"/>
  <c r="AJ187" i="25" s="1"/>
  <c r="AL187" i="25" s="1"/>
  <c r="BD187" i="25"/>
  <c r="AN187" i="25"/>
  <c r="BD263" i="25"/>
  <c r="AN263" i="25"/>
  <c r="AI263" i="25"/>
  <c r="AJ263" i="25" s="1" a="1"/>
  <c r="AJ263" i="25" s="1"/>
  <c r="AL263" i="25" s="1"/>
  <c r="AI199" i="25"/>
  <c r="AJ199" i="25" s="1" a="1"/>
  <c r="AJ199" i="25" s="1"/>
  <c r="AL199" i="25" s="1"/>
  <c r="BD199" i="25"/>
  <c r="AN199" i="25"/>
  <c r="AN265" i="25"/>
  <c r="AI265" i="25"/>
  <c r="AJ265" i="25" s="1" a="1"/>
  <c r="AJ265" i="25" s="1"/>
  <c r="AL265" i="25" s="1"/>
  <c r="BD265" i="25"/>
  <c r="AN249" i="25"/>
  <c r="AI249" i="25"/>
  <c r="AJ249" i="25" s="1" a="1"/>
  <c r="AJ249" i="25" s="1"/>
  <c r="AL249" i="25" s="1"/>
  <c r="BD249" i="25"/>
  <c r="AI225" i="25"/>
  <c r="AJ225" i="25" s="1" a="1"/>
  <c r="AJ225" i="25" s="1"/>
  <c r="AL225" i="25" s="1"/>
  <c r="BD225" i="25"/>
  <c r="AN225" i="25"/>
  <c r="AI193" i="25"/>
  <c r="AJ193" i="25" s="1" a="1"/>
  <c r="AJ193" i="25" s="1"/>
  <c r="AL193" i="25" s="1"/>
  <c r="BD193" i="25"/>
  <c r="AN193" i="25"/>
  <c r="BD161" i="25"/>
  <c r="AI161" i="25"/>
  <c r="AJ161" i="25" s="1" a="1"/>
  <c r="AJ161" i="25" s="1"/>
  <c r="AL161" i="25" s="1"/>
  <c r="AN161" i="25"/>
  <c r="BD145" i="25"/>
  <c r="AN145" i="25"/>
  <c r="AI145" i="25"/>
  <c r="AJ145" i="25" s="1" a="1"/>
  <c r="AJ145" i="25" s="1"/>
  <c r="AL145" i="25" s="1"/>
  <c r="AI121" i="25"/>
  <c r="AJ121" i="25" s="1" a="1"/>
  <c r="AJ121" i="25" s="1"/>
  <c r="AL121" i="25" s="1"/>
  <c r="BD121" i="25"/>
  <c r="AN121" i="25"/>
  <c r="AI97" i="25"/>
  <c r="AJ97" i="25" s="1" a="1"/>
  <c r="AJ97" i="25" s="1"/>
  <c r="AL97" i="25" s="1"/>
  <c r="BD97" i="25"/>
  <c r="AN97" i="25"/>
  <c r="AN73" i="25"/>
  <c r="AI73" i="25"/>
  <c r="AJ73" i="25" s="1" a="1"/>
  <c r="AJ73" i="25" s="1"/>
  <c r="AL73" i="25" s="1"/>
  <c r="BD73" i="25"/>
  <c r="AI65" i="25"/>
  <c r="AJ65" i="25" s="1" a="1"/>
  <c r="AJ65" i="25" s="1"/>
  <c r="AL65" i="25" s="1"/>
  <c r="BD65" i="25"/>
  <c r="AN65" i="25"/>
  <c r="AI49" i="25"/>
  <c r="AJ49" i="25" s="1" a="1"/>
  <c r="AJ49" i="25" s="1"/>
  <c r="AL49" i="25" s="1"/>
  <c r="BD49" i="25"/>
  <c r="AN49" i="25"/>
  <c r="AI33" i="25"/>
  <c r="AJ33" i="25" s="1" a="1"/>
  <c r="AJ33" i="25" s="1"/>
  <c r="AL33" i="25" s="1"/>
  <c r="BD33" i="25"/>
  <c r="AN33" i="25"/>
  <c r="AI267" i="25"/>
  <c r="AJ267" i="25" s="1" a="1"/>
  <c r="AJ267" i="25" s="1"/>
  <c r="AL267" i="25" s="1"/>
  <c r="BD267" i="25"/>
  <c r="AN267" i="25"/>
  <c r="AI251" i="25"/>
  <c r="AJ251" i="25" s="1" a="1"/>
  <c r="AJ251" i="25" s="1"/>
  <c r="AL251" i="25" s="1"/>
  <c r="BD251" i="25"/>
  <c r="AN251" i="25"/>
  <c r="AI235" i="25"/>
  <c r="AJ235" i="25" s="1" a="1"/>
  <c r="AJ235" i="25" s="1"/>
  <c r="AL235" i="25" s="1"/>
  <c r="BD235" i="25"/>
  <c r="AN235" i="25"/>
  <c r="AI219" i="25"/>
  <c r="AJ219" i="25" s="1" a="1"/>
  <c r="AJ219" i="25" s="1"/>
  <c r="AL219" i="25" s="1"/>
  <c r="BD219" i="25"/>
  <c r="AN219" i="25"/>
  <c r="AN195" i="25"/>
  <c r="BD195" i="25"/>
  <c r="AI195" i="25"/>
  <c r="AJ195" i="25" s="1" a="1"/>
  <c r="AJ195" i="25" s="1"/>
  <c r="AL195" i="25" s="1"/>
  <c r="AI171" i="25"/>
  <c r="AJ171" i="25" s="1" a="1"/>
  <c r="AJ171" i="25" s="1"/>
  <c r="AL171" i="25" s="1"/>
  <c r="BD171" i="25"/>
  <c r="AN171" i="25"/>
  <c r="AI261" i="25"/>
  <c r="AJ261" i="25" s="1" a="1"/>
  <c r="AJ261" i="25" s="1"/>
  <c r="AL261" i="25" s="1"/>
  <c r="AN261" i="25"/>
  <c r="BD261" i="25"/>
  <c r="AN253" i="25"/>
  <c r="AI253" i="25"/>
  <c r="AJ253" i="25" s="1" a="1"/>
  <c r="AJ253" i="25" s="1"/>
  <c r="AL253" i="25" s="1"/>
  <c r="BD253" i="25"/>
  <c r="AI245" i="25"/>
  <c r="AJ245" i="25" s="1" a="1"/>
  <c r="AJ245" i="25" s="1"/>
  <c r="AL245" i="25" s="1"/>
  <c r="AN245" i="25"/>
  <c r="BD245" i="25"/>
  <c r="AN237" i="25"/>
  <c r="AI237" i="25"/>
  <c r="AJ237" i="25" s="1" a="1"/>
  <c r="AJ237" i="25" s="1"/>
  <c r="AL237" i="25" s="1"/>
  <c r="BD237" i="25"/>
  <c r="AI229" i="25"/>
  <c r="AJ229" i="25" s="1" a="1"/>
  <c r="AJ229" i="25" s="1"/>
  <c r="AL229" i="25" s="1"/>
  <c r="AN229" i="25"/>
  <c r="BD229" i="25"/>
  <c r="BD221" i="25"/>
  <c r="AN221" i="25"/>
  <c r="AI221" i="25"/>
  <c r="AJ221" i="25" s="1" a="1"/>
  <c r="AJ221" i="25" s="1"/>
  <c r="AL221" i="25" s="1"/>
  <c r="AI213" i="25"/>
  <c r="AJ213" i="25" s="1" a="1"/>
  <c r="AJ213" i="25" s="1"/>
  <c r="AL213" i="25" s="1"/>
  <c r="AN213" i="25"/>
  <c r="BD213" i="25"/>
  <c r="BD205" i="25"/>
  <c r="AN205" i="25"/>
  <c r="AI205" i="25"/>
  <c r="AJ205" i="25" s="1" a="1"/>
  <c r="AJ205" i="25" s="1"/>
  <c r="AL205" i="25" s="1"/>
  <c r="AI197" i="25"/>
  <c r="AJ197" i="25" s="1" a="1"/>
  <c r="AJ197" i="25" s="1"/>
  <c r="AL197" i="25" s="1"/>
  <c r="BD197" i="25"/>
  <c r="AN197" i="25"/>
  <c r="BD189" i="25"/>
  <c r="AN189" i="25"/>
  <c r="AI189" i="25"/>
  <c r="AJ189" i="25" s="1" a="1"/>
  <c r="AJ189" i="25" s="1"/>
  <c r="AL189" i="25" s="1"/>
  <c r="AI181" i="25"/>
  <c r="AJ181" i="25" s="1" a="1"/>
  <c r="AJ181" i="25" s="1"/>
  <c r="AL181" i="25" s="1"/>
  <c r="BD181" i="25"/>
  <c r="AN181" i="25"/>
  <c r="BD173" i="25"/>
  <c r="AN173" i="25"/>
  <c r="AI173" i="25"/>
  <c r="AJ173" i="25" s="1" a="1"/>
  <c r="AJ173" i="25" s="1"/>
  <c r="AL173" i="25" s="1"/>
  <c r="AI165" i="25"/>
  <c r="AJ165" i="25" s="1" a="1"/>
  <c r="AJ165" i="25" s="1"/>
  <c r="AL165" i="25" s="1"/>
  <c r="BD165" i="25"/>
  <c r="AN165" i="25"/>
  <c r="BD157" i="25"/>
  <c r="AI157" i="25"/>
  <c r="AJ157" i="25" s="1" a="1"/>
  <c r="AJ157" i="25" s="1"/>
  <c r="AL157" i="25" s="1"/>
  <c r="AN157" i="25"/>
  <c r="AI149" i="25"/>
  <c r="AJ149" i="25" s="1" a="1"/>
  <c r="AJ149" i="25" s="1"/>
  <c r="AL149" i="25" s="1"/>
  <c r="BD149" i="25"/>
  <c r="AN149" i="25"/>
  <c r="BD141" i="25"/>
  <c r="AN141" i="25"/>
  <c r="AI141" i="25"/>
  <c r="AJ141" i="25" s="1" a="1"/>
  <c r="AJ141" i="25" s="1"/>
  <c r="AL141" i="25" s="1"/>
  <c r="AI133" i="25"/>
  <c r="AJ133" i="25" s="1" a="1"/>
  <c r="AJ133" i="25" s="1"/>
  <c r="AL133" i="25" s="1"/>
  <c r="BD133" i="25"/>
  <c r="AN133" i="25"/>
  <c r="BD125" i="25"/>
  <c r="AN125" i="25"/>
  <c r="AI125" i="25"/>
  <c r="AJ125" i="25" s="1" a="1"/>
  <c r="AJ125" i="25" s="1"/>
  <c r="AL125" i="25" s="1"/>
  <c r="AI117" i="25"/>
  <c r="AJ117" i="25" s="1" a="1"/>
  <c r="AJ117" i="25" s="1"/>
  <c r="AL117" i="25" s="1"/>
  <c r="BD117" i="25"/>
  <c r="AN117" i="25"/>
  <c r="BD109" i="25"/>
  <c r="AN109" i="25"/>
  <c r="AI109" i="25"/>
  <c r="AJ109" i="25" s="1" a="1"/>
  <c r="AJ109" i="25" s="1"/>
  <c r="AL109" i="25" s="1"/>
  <c r="AI101" i="25"/>
  <c r="AJ101" i="25" s="1" a="1"/>
  <c r="AJ101" i="25" s="1"/>
  <c r="AL101" i="25" s="1"/>
  <c r="BD101" i="25"/>
  <c r="AN101" i="25"/>
  <c r="BD93" i="25"/>
  <c r="AN93" i="25"/>
  <c r="AI93" i="25"/>
  <c r="AJ93" i="25" s="1" a="1"/>
  <c r="AJ93" i="25" s="1"/>
  <c r="AL93" i="25" s="1"/>
  <c r="AI85" i="25"/>
  <c r="AJ85" i="25" s="1" a="1"/>
  <c r="AJ85" i="25" s="1"/>
  <c r="AL85" i="25" s="1"/>
  <c r="BD85" i="25"/>
  <c r="AN85" i="25"/>
  <c r="BD77" i="25"/>
  <c r="AN77" i="25"/>
  <c r="AI77" i="25"/>
  <c r="AJ77" i="25" s="1" a="1"/>
  <c r="AJ77" i="25" s="1"/>
  <c r="AL77" i="25" s="1"/>
  <c r="AI69" i="25"/>
  <c r="AJ69" i="25" s="1" a="1"/>
  <c r="AJ69" i="25" s="1"/>
  <c r="AL69" i="25" s="1"/>
  <c r="BD69" i="25"/>
  <c r="AN69" i="25"/>
  <c r="BD61" i="25"/>
  <c r="AN61" i="25"/>
  <c r="AI61" i="25"/>
  <c r="AJ61" i="25" s="1" a="1"/>
  <c r="AJ61" i="25" s="1"/>
  <c r="AL61" i="25" s="1"/>
  <c r="AI53" i="25"/>
  <c r="AJ53" i="25" s="1" a="1"/>
  <c r="AJ53" i="25" s="1"/>
  <c r="AL53" i="25" s="1"/>
  <c r="BD53" i="25"/>
  <c r="AN53" i="25"/>
  <c r="BD45" i="25"/>
  <c r="AN45" i="25"/>
  <c r="AI45" i="25"/>
  <c r="AJ45" i="25" s="1" a="1"/>
  <c r="AJ45" i="25" s="1"/>
  <c r="AL45" i="25" s="1"/>
  <c r="AI37" i="25"/>
  <c r="AJ37" i="25" s="1" a="1"/>
  <c r="AJ37" i="25" s="1"/>
  <c r="AL37" i="25" s="1"/>
  <c r="BD37" i="25"/>
  <c r="AN37" i="25"/>
  <c r="BD29" i="25"/>
  <c r="AN29" i="25"/>
  <c r="AI29" i="25"/>
  <c r="AJ29" i="25" s="1" a="1"/>
  <c r="AJ29" i="25" s="1"/>
  <c r="AL29" i="25" s="1"/>
  <c r="AI21" i="25"/>
  <c r="AJ21" i="25" s="1" a="1"/>
  <c r="AJ21" i="25" s="1"/>
  <c r="AL21" i="25" s="1"/>
  <c r="BD21" i="25"/>
  <c r="AN21" i="25"/>
  <c r="BD13" i="25"/>
  <c r="AN13" i="25"/>
  <c r="AI13" i="25"/>
  <c r="AJ13" i="25" s="1" a="1"/>
  <c r="AJ13" i="25" s="1"/>
  <c r="AL13" i="25" s="1"/>
  <c r="AL270" i="25" a="1"/>
  <c r="AL270" i="25" s="1"/>
  <c r="F281" i="25" s="1"/>
  <c r="F283" i="25" s="1"/>
  <c r="F284" i="25" s="1"/>
  <c r="I283" i="25" s="1"/>
  <c r="O132" i="62" l="1"/>
  <c r="D9" i="25" l="1"/>
  <c r="I132" i="62" l="1"/>
  <c r="J132" i="62"/>
  <c r="K132" i="62"/>
  <c r="L132" i="62"/>
  <c r="M132" i="62"/>
  <c r="P132" i="62"/>
  <c r="Q132" i="62"/>
  <c r="B9" i="25"/>
  <c r="B8" i="62" l="1"/>
  <c r="H9" i="62"/>
  <c r="AB282" i="25"/>
  <c r="H134" i="62" l="1" a="1"/>
  <c r="H134" i="62" s="1"/>
  <c r="H133" i="62" a="1"/>
  <c r="H133" i="62" s="1"/>
  <c r="D11" i="2"/>
  <c r="D13" i="2"/>
  <c r="D15" i="2"/>
  <c r="D17" i="2"/>
  <c r="R17" i="2" s="1" a="1"/>
  <c r="R17" i="2" s="1"/>
  <c r="D19" i="2"/>
  <c r="D21" i="2"/>
  <c r="D23" i="2"/>
  <c r="D25" i="2"/>
  <c r="D27" i="2"/>
  <c r="D29" i="2"/>
  <c r="D31" i="2"/>
  <c r="D33" i="2"/>
  <c r="D35" i="2"/>
  <c r="D37" i="2"/>
  <c r="D39" i="2"/>
  <c r="D41" i="2"/>
  <c r="D43" i="2"/>
  <c r="D45" i="2"/>
  <c r="D47" i="2"/>
  <c r="D49" i="2"/>
  <c r="D51" i="2"/>
  <c r="D53" i="2"/>
  <c r="D55" i="2"/>
  <c r="D57" i="2"/>
  <c r="D59" i="2"/>
  <c r="D61" i="2"/>
  <c r="D63" i="2"/>
  <c r="D65" i="2"/>
  <c r="D67" i="2"/>
  <c r="D69" i="2"/>
  <c r="D71" i="2"/>
  <c r="D73" i="2"/>
  <c r="D75" i="2"/>
  <c r="D77" i="2"/>
  <c r="R77" i="2" s="1" a="1"/>
  <c r="R77" i="2" s="1"/>
  <c r="D79" i="2"/>
  <c r="D81" i="2"/>
  <c r="D83" i="2"/>
  <c r="D85" i="2"/>
  <c r="D87" i="2"/>
  <c r="D89" i="2"/>
  <c r="D91" i="2"/>
  <c r="D93" i="2"/>
  <c r="D95" i="2"/>
  <c r="D97" i="2"/>
  <c r="D99" i="2"/>
  <c r="D101" i="2"/>
  <c r="D103" i="2"/>
  <c r="D105" i="2"/>
  <c r="D107" i="2"/>
  <c r="D109" i="2"/>
  <c r="D111" i="2"/>
  <c r="D113" i="2"/>
  <c r="D115" i="2"/>
  <c r="D117" i="2"/>
  <c r="R117" i="2" s="1" a="1"/>
  <c r="R117" i="2" s="1"/>
  <c r="D119" i="2"/>
  <c r="D121" i="2"/>
  <c r="D123" i="2"/>
  <c r="D125" i="2"/>
  <c r="D127" i="2"/>
  <c r="D129" i="2"/>
  <c r="D131" i="2"/>
  <c r="D133" i="2"/>
  <c r="D135" i="2"/>
  <c r="D137" i="2"/>
  <c r="D139" i="2"/>
  <c r="D141" i="2"/>
  <c r="D143" i="2"/>
  <c r="D145" i="2"/>
  <c r="D147" i="2"/>
  <c r="D149" i="2"/>
  <c r="D151" i="2"/>
  <c r="D153" i="2"/>
  <c r="D155" i="2"/>
  <c r="D157" i="2"/>
  <c r="D159" i="2"/>
  <c r="D161" i="2"/>
  <c r="D163" i="2"/>
  <c r="D165" i="2"/>
  <c r="D167" i="2"/>
  <c r="D169" i="2"/>
  <c r="D171" i="2"/>
  <c r="D173" i="2"/>
  <c r="D175" i="2"/>
  <c r="D177" i="2"/>
  <c r="R177" i="2" s="1" a="1"/>
  <c r="R177" i="2" s="1"/>
  <c r="D179" i="2"/>
  <c r="D181" i="2"/>
  <c r="D183" i="2"/>
  <c r="D185" i="2"/>
  <c r="D187" i="2"/>
  <c r="D189" i="2"/>
  <c r="D191" i="2"/>
  <c r="D193" i="2"/>
  <c r="D195" i="2"/>
  <c r="D197" i="2"/>
  <c r="D199" i="2"/>
  <c r="D201" i="2"/>
  <c r="D203" i="2"/>
  <c r="D205" i="2"/>
  <c r="R205" i="2" s="1" a="1"/>
  <c r="R205" i="2" s="1"/>
  <c r="D207" i="2"/>
  <c r="D209" i="2"/>
  <c r="D211" i="2"/>
  <c r="D213" i="2"/>
  <c r="D215" i="2"/>
  <c r="D217" i="2"/>
  <c r="D219" i="2"/>
  <c r="D221" i="2"/>
  <c r="D223" i="2"/>
  <c r="D9" i="2"/>
  <c r="R9" i="2" s="1" a="1"/>
  <c r="R9" i="2" s="1"/>
  <c r="R153" i="2" l="1" a="1"/>
  <c r="R153" i="2" s="1"/>
  <c r="S153" i="2" s="1"/>
  <c r="R33" i="2" a="1"/>
  <c r="R33" i="2" s="1"/>
  <c r="S33" i="2" s="1"/>
  <c r="R127" i="2" a="1"/>
  <c r="R127" i="2" s="1"/>
  <c r="S127" i="2" s="1"/>
  <c r="R221" i="2" a="1"/>
  <c r="R221" i="2" s="1"/>
  <c r="S221" i="2" s="1"/>
  <c r="R125" i="2" a="1"/>
  <c r="R125" i="2" s="1"/>
  <c r="S125" i="2" s="1"/>
  <c r="R53" i="2" a="1"/>
  <c r="R53" i="2" s="1"/>
  <c r="S53" i="2" s="1"/>
  <c r="R29" i="2" a="1"/>
  <c r="R29" i="2" s="1"/>
  <c r="S29" i="2" s="1"/>
  <c r="R219" i="2" a="1"/>
  <c r="R219" i="2" s="1"/>
  <c r="S219" i="2" s="1"/>
  <c r="R195" i="2" a="1"/>
  <c r="R195" i="2" s="1"/>
  <c r="S195" i="2" s="1"/>
  <c r="R171" i="2" a="1"/>
  <c r="R171" i="2" s="1"/>
  <c r="S171" i="2" s="1"/>
  <c r="R147" i="2" a="1"/>
  <c r="R147" i="2" s="1"/>
  <c r="S147" i="2" s="1"/>
  <c r="R123" i="2" a="1"/>
  <c r="R123" i="2" s="1"/>
  <c r="S123" i="2" s="1"/>
  <c r="R99" i="2" a="1"/>
  <c r="R99" i="2" s="1"/>
  <c r="S99" i="2" s="1"/>
  <c r="R75" i="2" a="1"/>
  <c r="R75" i="2" s="1"/>
  <c r="S75" i="2" s="1"/>
  <c r="R51" i="2" a="1"/>
  <c r="R51" i="2" s="1"/>
  <c r="S51" i="2" s="1"/>
  <c r="R27" i="2" a="1"/>
  <c r="R27" i="2" s="1"/>
  <c r="S27" i="2" s="1"/>
  <c r="R129" i="2" a="1"/>
  <c r="R129" i="2" s="1"/>
  <c r="S129" i="2" s="1"/>
  <c r="R223" i="2" a="1"/>
  <c r="R223" i="2" s="1"/>
  <c r="S223" i="2" s="1"/>
  <c r="R79" i="2" a="1"/>
  <c r="R79" i="2" s="1"/>
  <c r="S79" i="2" s="1"/>
  <c r="R197" i="2" a="1"/>
  <c r="R197" i="2" s="1"/>
  <c r="S197" i="2" s="1"/>
  <c r="R193" i="2" a="1"/>
  <c r="R193" i="2" s="1"/>
  <c r="S193" i="2" s="1"/>
  <c r="R145" i="2" a="1"/>
  <c r="R145" i="2" s="1"/>
  <c r="S145" i="2" s="1"/>
  <c r="R97" i="2" a="1"/>
  <c r="R97" i="2" s="1"/>
  <c r="S97" i="2" s="1"/>
  <c r="R49" i="2" a="1"/>
  <c r="R49" i="2" s="1"/>
  <c r="S49" i="2" s="1"/>
  <c r="R25" i="2" a="1"/>
  <c r="R25" i="2" s="1"/>
  <c r="S25" i="2" s="1"/>
  <c r="R57" i="2" a="1"/>
  <c r="R57" i="2" s="1"/>
  <c r="S57" i="2" s="1"/>
  <c r="R175" i="2" a="1"/>
  <c r="R175" i="2" s="1"/>
  <c r="S175" i="2" s="1"/>
  <c r="R103" i="2" a="1"/>
  <c r="R103" i="2" s="1"/>
  <c r="S103" i="2" s="1"/>
  <c r="R173" i="2" a="1"/>
  <c r="R173" i="2" s="1"/>
  <c r="S173" i="2" s="1"/>
  <c r="R217" i="2" a="1"/>
  <c r="R217" i="2" s="1"/>
  <c r="S217" i="2" s="1"/>
  <c r="R169" i="2" a="1"/>
  <c r="R169" i="2" s="1"/>
  <c r="S169" i="2" s="1"/>
  <c r="R121" i="2" a="1"/>
  <c r="R121" i="2" s="1"/>
  <c r="S121" i="2" s="1"/>
  <c r="R73" i="2" a="1"/>
  <c r="R73" i="2" s="1"/>
  <c r="S73" i="2" s="1"/>
  <c r="R215" i="2" a="1"/>
  <c r="R215" i="2" s="1"/>
  <c r="S215" i="2" s="1"/>
  <c r="R191" i="2" a="1"/>
  <c r="R191" i="2" s="1"/>
  <c r="S191" i="2" s="1"/>
  <c r="R167" i="2" a="1"/>
  <c r="R167" i="2" s="1"/>
  <c r="S167" i="2" s="1"/>
  <c r="R143" i="2" a="1"/>
  <c r="R143" i="2" s="1"/>
  <c r="S143" i="2" s="1"/>
  <c r="R119" i="2" a="1"/>
  <c r="R119" i="2" s="1"/>
  <c r="S119" i="2" s="1"/>
  <c r="R95" i="2" a="1"/>
  <c r="R95" i="2" s="1"/>
  <c r="S95" i="2" s="1"/>
  <c r="R71" i="2" a="1"/>
  <c r="R71" i="2" s="1"/>
  <c r="S71" i="2" s="1"/>
  <c r="R47" i="2" a="1"/>
  <c r="R47" i="2" s="1"/>
  <c r="S47" i="2" s="1"/>
  <c r="R23" i="2" a="1"/>
  <c r="R23" i="2" s="1"/>
  <c r="S23" i="2" s="1"/>
  <c r="R93" i="2" a="1"/>
  <c r="R93" i="2" s="1"/>
  <c r="S93" i="2" s="1"/>
  <c r="R69" i="2" a="1"/>
  <c r="R69" i="2" s="1"/>
  <c r="S69" i="2" s="1"/>
  <c r="R45" i="2" a="1"/>
  <c r="R45" i="2" s="1"/>
  <c r="S45" i="2" s="1"/>
  <c r="R21" i="2" a="1"/>
  <c r="R21" i="2" s="1"/>
  <c r="S21" i="2" s="1"/>
  <c r="R105" i="2" a="1"/>
  <c r="R105" i="2" s="1"/>
  <c r="S105" i="2" s="1"/>
  <c r="R199" i="2" a="1"/>
  <c r="R199" i="2" s="1"/>
  <c r="S199" i="2" s="1"/>
  <c r="R55" i="2" a="1"/>
  <c r="R55" i="2" s="1"/>
  <c r="S55" i="2" s="1"/>
  <c r="R101" i="2" a="1"/>
  <c r="R101" i="2" s="1"/>
  <c r="S101" i="2" s="1"/>
  <c r="R213" i="2" a="1"/>
  <c r="R213" i="2" s="1"/>
  <c r="S213" i="2" s="1"/>
  <c r="R189" i="2" a="1"/>
  <c r="R189" i="2" s="1"/>
  <c r="S189" i="2" s="1"/>
  <c r="R165" i="2" a="1"/>
  <c r="R165" i="2" s="1"/>
  <c r="S165" i="2" s="1"/>
  <c r="R141" i="2" a="1"/>
  <c r="R141" i="2" s="1"/>
  <c r="S141" i="2" s="1"/>
  <c r="R211" i="2" a="1"/>
  <c r="R211" i="2" s="1"/>
  <c r="S211" i="2" s="1"/>
  <c r="R187" i="2" a="1"/>
  <c r="R187" i="2" s="1"/>
  <c r="S187" i="2" s="1"/>
  <c r="R163" i="2" a="1"/>
  <c r="R163" i="2" s="1"/>
  <c r="S163" i="2" s="1"/>
  <c r="R139" i="2" a="1"/>
  <c r="R139" i="2" s="1"/>
  <c r="S139" i="2" s="1"/>
  <c r="R115" i="2" a="1"/>
  <c r="R115" i="2" s="1"/>
  <c r="S115" i="2" s="1"/>
  <c r="R91" i="2" a="1"/>
  <c r="R91" i="2" s="1"/>
  <c r="S91" i="2" s="1"/>
  <c r="R67" i="2" a="1"/>
  <c r="R67" i="2" s="1"/>
  <c r="S67" i="2" s="1"/>
  <c r="R43" i="2" a="1"/>
  <c r="R43" i="2" s="1"/>
  <c r="S43" i="2" s="1"/>
  <c r="R19" i="2" a="1"/>
  <c r="R19" i="2" s="1"/>
  <c r="S19" i="2" s="1"/>
  <c r="R185" i="2" a="1"/>
  <c r="R185" i="2" s="1"/>
  <c r="S185" i="2" s="1"/>
  <c r="R137" i="2" a="1"/>
  <c r="R137" i="2" s="1"/>
  <c r="S137" i="2" s="1"/>
  <c r="R89" i="2" a="1"/>
  <c r="R89" i="2" s="1"/>
  <c r="S89" i="2" s="1"/>
  <c r="R201" i="2" a="1"/>
  <c r="R201" i="2" s="1"/>
  <c r="S201" i="2" s="1"/>
  <c r="R81" i="2" a="1"/>
  <c r="R81" i="2" s="1"/>
  <c r="S81" i="2" s="1"/>
  <c r="R151" i="2" a="1"/>
  <c r="R151" i="2" s="1"/>
  <c r="S151" i="2" s="1"/>
  <c r="R31" i="2" a="1"/>
  <c r="R31" i="2" s="1"/>
  <c r="S31" i="2" s="1"/>
  <c r="R149" i="2" a="1"/>
  <c r="R149" i="2" s="1"/>
  <c r="S149" i="2" s="1"/>
  <c r="R209" i="2" a="1"/>
  <c r="R209" i="2" s="1"/>
  <c r="S209" i="2" s="1"/>
  <c r="R161" i="2" a="1"/>
  <c r="R161" i="2" s="1"/>
  <c r="S161" i="2" s="1"/>
  <c r="R113" i="2" a="1"/>
  <c r="R113" i="2" s="1"/>
  <c r="S113" i="2" s="1"/>
  <c r="R65" i="2" a="1"/>
  <c r="R65" i="2" s="1"/>
  <c r="S65" i="2" s="1"/>
  <c r="R41" i="2" a="1"/>
  <c r="R41" i="2" s="1"/>
  <c r="S41" i="2" s="1"/>
  <c r="R207" i="2" a="1"/>
  <c r="R207" i="2" s="1"/>
  <c r="S207" i="2" s="1"/>
  <c r="R183" i="2" a="1"/>
  <c r="R183" i="2" s="1"/>
  <c r="S183" i="2" s="1"/>
  <c r="R159" i="2" a="1"/>
  <c r="R159" i="2" s="1"/>
  <c r="S159" i="2" s="1"/>
  <c r="R135" i="2" a="1"/>
  <c r="R135" i="2" s="1"/>
  <c r="S135" i="2" s="1"/>
  <c r="R111" i="2" a="1"/>
  <c r="R111" i="2" s="1"/>
  <c r="S111" i="2" s="1"/>
  <c r="R87" i="2" a="1"/>
  <c r="R87" i="2" s="1"/>
  <c r="S87" i="2" s="1"/>
  <c r="R63" i="2" a="1"/>
  <c r="R63" i="2" s="1"/>
  <c r="S63" i="2" s="1"/>
  <c r="R39" i="2" a="1"/>
  <c r="R39" i="2" s="1"/>
  <c r="S39" i="2" s="1"/>
  <c r="R15" i="2" a="1"/>
  <c r="R15" i="2" s="1"/>
  <c r="S15" i="2" s="1"/>
  <c r="R109" i="2" a="1"/>
  <c r="R109" i="2" s="1"/>
  <c r="S109" i="2" s="1"/>
  <c r="R85" i="2" a="1"/>
  <c r="R85" i="2" s="1"/>
  <c r="S85" i="2" s="1"/>
  <c r="R61" i="2" a="1"/>
  <c r="R61" i="2" s="1"/>
  <c r="S61" i="2" s="1"/>
  <c r="R37" i="2" a="1"/>
  <c r="R37" i="2" s="1"/>
  <c r="S37" i="2" s="1"/>
  <c r="R13" i="2" a="1"/>
  <c r="R13" i="2" s="1"/>
  <c r="S13" i="2" s="1"/>
  <c r="R181" i="2" a="1"/>
  <c r="R181" i="2" s="1"/>
  <c r="S181" i="2" s="1"/>
  <c r="R157" i="2" a="1"/>
  <c r="R157" i="2" s="1"/>
  <c r="S157" i="2" s="1"/>
  <c r="R133" i="2" a="1"/>
  <c r="R133" i="2" s="1"/>
  <c r="S133" i="2" s="1"/>
  <c r="R203" i="2" a="1"/>
  <c r="R203" i="2" s="1"/>
  <c r="S203" i="2" s="1"/>
  <c r="R179" i="2" a="1"/>
  <c r="R179" i="2" s="1"/>
  <c r="S179" i="2" s="1"/>
  <c r="R155" i="2" a="1"/>
  <c r="R155" i="2" s="1"/>
  <c r="S155" i="2" s="1"/>
  <c r="R131" i="2" a="1"/>
  <c r="R131" i="2" s="1"/>
  <c r="S131" i="2" s="1"/>
  <c r="R107" i="2" a="1"/>
  <c r="R107" i="2" s="1"/>
  <c r="S107" i="2" s="1"/>
  <c r="R83" i="2" a="1"/>
  <c r="R83" i="2" s="1"/>
  <c r="S83" i="2" s="1"/>
  <c r="R59" i="2" a="1"/>
  <c r="R59" i="2" s="1"/>
  <c r="S59" i="2" s="1"/>
  <c r="R35" i="2" a="1"/>
  <c r="R35" i="2" s="1"/>
  <c r="S35" i="2" s="1"/>
  <c r="R11" i="2" a="1"/>
  <c r="R11" i="2" s="1"/>
  <c r="S11" i="2" s="1"/>
  <c r="S9" i="2"/>
  <c r="S77" i="2"/>
  <c r="S117" i="2"/>
  <c r="S177" i="2"/>
  <c r="S17" i="2"/>
  <c r="S205" i="2"/>
  <c r="F969" i="143" l="1"/>
  <c r="R932" i="143"/>
  <c r="F932" i="143"/>
  <c r="R895" i="143"/>
  <c r="F895" i="143"/>
  <c r="R858" i="143"/>
  <c r="F858" i="143"/>
  <c r="R821" i="143"/>
  <c r="F821" i="143"/>
  <c r="R784" i="143"/>
  <c r="F784" i="143"/>
  <c r="R747" i="143"/>
  <c r="F747" i="143"/>
  <c r="R710" i="143"/>
  <c r="F710" i="143"/>
  <c r="R673" i="143"/>
  <c r="F673" i="143"/>
  <c r="R636" i="143"/>
  <c r="F636" i="143"/>
  <c r="R599" i="143"/>
  <c r="F599" i="143"/>
  <c r="R562" i="143"/>
  <c r="F562" i="143"/>
  <c r="R525" i="143"/>
  <c r="F525" i="143"/>
  <c r="R488" i="143"/>
  <c r="F488" i="143"/>
  <c r="R451" i="143"/>
  <c r="F451" i="143"/>
  <c r="R414" i="143"/>
  <c r="F414" i="143"/>
  <c r="R377" i="143"/>
  <c r="F377" i="143"/>
  <c r="R340" i="143"/>
  <c r="F340" i="143"/>
  <c r="R303" i="143"/>
  <c r="F303" i="143"/>
  <c r="R266" i="143"/>
  <c r="F266" i="143"/>
  <c r="R229" i="143"/>
  <c r="F229" i="143"/>
  <c r="R192" i="143"/>
  <c r="F192" i="143"/>
  <c r="R155" i="143"/>
  <c r="F155" i="143"/>
  <c r="R118" i="143"/>
  <c r="F118" i="143"/>
  <c r="R81" i="143"/>
  <c r="F81" i="143"/>
  <c r="R44" i="143"/>
  <c r="F44" i="143"/>
  <c r="R6" i="143"/>
  <c r="F6" i="143"/>
  <c r="R934" i="143"/>
  <c r="F934" i="143"/>
  <c r="AZ290" i="25" l="1"/>
  <c r="AZ288" i="25"/>
  <c r="AY286" i="25"/>
  <c r="AZ286" i="25" s="1"/>
  <c r="AY284" i="25"/>
  <c r="AZ284" i="25" s="1"/>
  <c r="AY282" i="25"/>
  <c r="AZ282" i="25" s="1"/>
  <c r="AY280" i="25"/>
  <c r="AZ280" i="25" s="1"/>
  <c r="AY278" i="25"/>
  <c r="AZ278" i="25" s="1"/>
  <c r="AY276" i="25"/>
  <c r="AZ276" i="25" s="1"/>
  <c r="AY274" i="25"/>
  <c r="AZ274" i="25" s="1"/>
  <c r="AY272" i="25"/>
  <c r="AZ272" i="25" s="1"/>
  <c r="AY270" i="25"/>
  <c r="AZ270" i="25" s="1"/>
  <c r="G9" i="62" l="1"/>
  <c r="GV3" i="260"/>
  <c r="GU3" i="260"/>
  <c r="GT3" i="260"/>
  <c r="GS3" i="260"/>
  <c r="GR3" i="260"/>
  <c r="GQ3" i="260"/>
  <c r="GP3" i="260"/>
  <c r="GO3" i="260"/>
  <c r="GN3" i="260"/>
  <c r="GJ2" i="260"/>
  <c r="G133" i="62" l="1" a="1"/>
  <c r="G133" i="62" s="1"/>
  <c r="G134" i="62" a="1"/>
  <c r="G134" i="62" s="1"/>
  <c r="AD282" i="25"/>
  <c r="O12" i="143"/>
  <c r="O13" i="143"/>
  <c r="O18" i="143"/>
  <c r="C49" i="143"/>
  <c r="C50" i="143"/>
  <c r="C53" i="143"/>
  <c r="O50" i="143"/>
  <c r="O51" i="143"/>
  <c r="O56" i="143"/>
  <c r="O53" i="143"/>
  <c r="C88" i="143"/>
  <c r="C90" i="143"/>
  <c r="O87" i="143"/>
  <c r="O93" i="143"/>
  <c r="C124" i="143"/>
  <c r="C125" i="143"/>
  <c r="C127" i="143"/>
  <c r="O124" i="143"/>
  <c r="O125" i="143"/>
  <c r="O130" i="143"/>
  <c r="O127" i="143"/>
  <c r="C161" i="143"/>
  <c r="C162" i="143"/>
  <c r="C167" i="143"/>
  <c r="C164" i="143"/>
  <c r="O161" i="143"/>
  <c r="O162" i="143"/>
  <c r="O167" i="143"/>
  <c r="C198" i="143"/>
  <c r="C199" i="143"/>
  <c r="C204" i="143"/>
  <c r="C201" i="143"/>
  <c r="O199" i="143"/>
  <c r="O204" i="143"/>
  <c r="O201" i="143"/>
  <c r="C235" i="143"/>
  <c r="C236" i="143"/>
  <c r="C238" i="143"/>
  <c r="O235" i="143"/>
  <c r="O236" i="143"/>
  <c r="O241" i="143"/>
  <c r="C271" i="143"/>
  <c r="C272" i="143"/>
  <c r="C273" i="143"/>
  <c r="C275" i="143"/>
  <c r="O271" i="143"/>
  <c r="O272" i="143"/>
  <c r="O273" i="143"/>
  <c r="O278" i="143"/>
  <c r="O275" i="143"/>
  <c r="C309" i="143"/>
  <c r="C310" i="143"/>
  <c r="O309" i="143"/>
  <c r="O310" i="143"/>
  <c r="O315" i="143"/>
  <c r="C345" i="143"/>
  <c r="C346" i="143"/>
  <c r="C347" i="143"/>
  <c r="C349" i="143"/>
  <c r="O346" i="143"/>
  <c r="O347" i="143"/>
  <c r="O349" i="143"/>
  <c r="C383" i="143"/>
  <c r="C384" i="143"/>
  <c r="C389" i="143"/>
  <c r="C386" i="143"/>
  <c r="O382" i="143"/>
  <c r="O383" i="143"/>
  <c r="O384" i="143"/>
  <c r="O389" i="143"/>
  <c r="C420" i="143"/>
  <c r="C421" i="143"/>
  <c r="C426" i="143"/>
  <c r="C423" i="143"/>
  <c r="O420" i="143"/>
  <c r="O421" i="143"/>
  <c r="O423" i="143"/>
  <c r="C456" i="143"/>
  <c r="C457" i="143"/>
  <c r="C460" i="143"/>
  <c r="O456" i="143"/>
  <c r="O457" i="143"/>
  <c r="O458" i="143"/>
  <c r="O463" i="143"/>
  <c r="C494" i="143"/>
  <c r="C495" i="143"/>
  <c r="C497" i="143"/>
  <c r="O493" i="143"/>
  <c r="O495" i="143"/>
  <c r="O500" i="143"/>
  <c r="O497" i="143"/>
  <c r="C531" i="143"/>
  <c r="C532" i="143"/>
  <c r="O532" i="143"/>
  <c r="O537" i="143"/>
  <c r="O534" i="143"/>
  <c r="C567" i="143"/>
  <c r="O568" i="143"/>
  <c r="O569" i="143"/>
  <c r="O574" i="143"/>
  <c r="O571" i="143"/>
  <c r="C608" i="143"/>
  <c r="O605" i="143"/>
  <c r="O606" i="143"/>
  <c r="O611" i="143"/>
  <c r="C642" i="143"/>
  <c r="C643" i="143"/>
  <c r="C645" i="143"/>
  <c r="O642" i="143"/>
  <c r="O643" i="143"/>
  <c r="O645" i="143"/>
  <c r="C685" i="143"/>
  <c r="C682" i="143"/>
  <c r="O679" i="143"/>
  <c r="O680" i="143"/>
  <c r="O685" i="143"/>
  <c r="C715" i="143"/>
  <c r="C716" i="143"/>
  <c r="C717" i="143"/>
  <c r="C722" i="143"/>
  <c r="C719" i="143"/>
  <c r="O716" i="143"/>
  <c r="O717" i="143"/>
  <c r="O719" i="143"/>
  <c r="C753" i="143"/>
  <c r="C754" i="143"/>
  <c r="C278" i="143"/>
  <c r="C605" i="143"/>
  <c r="C756" i="143"/>
  <c r="C571" i="143"/>
  <c r="O752" i="143"/>
  <c r="C789" i="143"/>
  <c r="O796" i="143"/>
  <c r="C15" i="143"/>
  <c r="C458" i="143"/>
  <c r="O789" i="143"/>
  <c r="C833" i="143"/>
  <c r="O754" i="143"/>
  <c r="O759" i="143"/>
  <c r="O756" i="143"/>
  <c r="C790" i="143"/>
  <c r="C791" i="143"/>
  <c r="O791" i="143"/>
  <c r="C828" i="143"/>
  <c r="O828" i="143"/>
  <c r="O833" i="143"/>
  <c r="C863" i="143"/>
  <c r="C864" i="143"/>
  <c r="C870" i="143"/>
  <c r="C867" i="143"/>
  <c r="C866" i="143"/>
  <c r="C865" i="143"/>
  <c r="F857" i="143"/>
  <c r="F856" i="143"/>
  <c r="O829" i="143"/>
  <c r="R820" i="143"/>
  <c r="R819" i="143"/>
  <c r="C829" i="143"/>
  <c r="F820" i="143"/>
  <c r="F819" i="143"/>
  <c r="O792" i="143"/>
  <c r="R783" i="143"/>
  <c r="R782" i="143"/>
  <c r="C792" i="143"/>
  <c r="F783" i="143"/>
  <c r="F782" i="143"/>
  <c r="O755" i="143"/>
  <c r="R746" i="143"/>
  <c r="R745" i="143"/>
  <c r="C755" i="143"/>
  <c r="F746" i="143"/>
  <c r="F745" i="143"/>
  <c r="O718" i="143"/>
  <c r="R709" i="143"/>
  <c r="R708" i="143"/>
  <c r="F709" i="143"/>
  <c r="F708" i="143"/>
  <c r="O681" i="143"/>
  <c r="R672" i="143"/>
  <c r="R671" i="143"/>
  <c r="C681" i="143"/>
  <c r="F672" i="143"/>
  <c r="F671" i="143"/>
  <c r="O644" i="143"/>
  <c r="R635" i="143"/>
  <c r="R634" i="143"/>
  <c r="C644" i="143"/>
  <c r="F635" i="143"/>
  <c r="F634" i="143"/>
  <c r="O607" i="143"/>
  <c r="R598" i="143"/>
  <c r="R597" i="143"/>
  <c r="C607" i="143"/>
  <c r="F598" i="143"/>
  <c r="F597" i="143"/>
  <c r="O570" i="143"/>
  <c r="R561" i="143"/>
  <c r="R560" i="143"/>
  <c r="C570" i="143"/>
  <c r="F561" i="143"/>
  <c r="F560" i="143"/>
  <c r="O533" i="143"/>
  <c r="R524" i="143"/>
  <c r="R523" i="143"/>
  <c r="C533" i="143"/>
  <c r="F524" i="143"/>
  <c r="F523" i="143"/>
  <c r="O496" i="143"/>
  <c r="R487" i="143"/>
  <c r="R486" i="143"/>
  <c r="C496" i="143"/>
  <c r="F487" i="143"/>
  <c r="F486" i="143"/>
  <c r="O459" i="143"/>
  <c r="R450" i="143"/>
  <c r="R449" i="143"/>
  <c r="C459" i="143"/>
  <c r="F450" i="143"/>
  <c r="F449" i="143"/>
  <c r="O422" i="143"/>
  <c r="R413" i="143"/>
  <c r="R412" i="143"/>
  <c r="C422" i="143"/>
  <c r="F413" i="143"/>
  <c r="F412" i="143"/>
  <c r="O385" i="143"/>
  <c r="R376" i="143"/>
  <c r="R375" i="143"/>
  <c r="C385" i="143"/>
  <c r="F376" i="143"/>
  <c r="F375" i="143"/>
  <c r="O348" i="143"/>
  <c r="R339" i="143"/>
  <c r="R338" i="143"/>
  <c r="C348" i="143"/>
  <c r="F339" i="143"/>
  <c r="F338" i="143"/>
  <c r="O311" i="143"/>
  <c r="R302" i="143"/>
  <c r="R301" i="143"/>
  <c r="C311" i="143"/>
  <c r="F302" i="143"/>
  <c r="F301" i="143"/>
  <c r="O274" i="143"/>
  <c r="R265" i="143"/>
  <c r="R264" i="143"/>
  <c r="C274" i="143"/>
  <c r="F265" i="143"/>
  <c r="F264" i="143"/>
  <c r="O237" i="143"/>
  <c r="R228" i="143"/>
  <c r="R227" i="143"/>
  <c r="C237" i="143"/>
  <c r="F228" i="143"/>
  <c r="F227" i="143"/>
  <c r="O200" i="143"/>
  <c r="R191" i="143"/>
  <c r="R190" i="143"/>
  <c r="C200" i="143"/>
  <c r="F191" i="143"/>
  <c r="F190" i="143"/>
  <c r="O163" i="143"/>
  <c r="R154" i="143"/>
  <c r="R153" i="143"/>
  <c r="C163" i="143"/>
  <c r="F154" i="143"/>
  <c r="F153" i="143"/>
  <c r="O126" i="143"/>
  <c r="R117" i="143"/>
  <c r="R116" i="143"/>
  <c r="C126" i="143"/>
  <c r="F117" i="143"/>
  <c r="F116" i="143"/>
  <c r="O89" i="143"/>
  <c r="R80" i="143"/>
  <c r="R79" i="143"/>
  <c r="C89" i="143"/>
  <c r="F80" i="143"/>
  <c r="F79" i="143"/>
  <c r="O52" i="143"/>
  <c r="R43" i="143"/>
  <c r="R42" i="143"/>
  <c r="C52" i="143"/>
  <c r="F43" i="143"/>
  <c r="F42" i="143"/>
  <c r="O14" i="143"/>
  <c r="R5" i="143"/>
  <c r="R4" i="143"/>
  <c r="C14" i="143"/>
  <c r="F5" i="143"/>
  <c r="F4" i="143"/>
  <c r="T1180" i="143"/>
  <c r="T1179" i="143"/>
  <c r="T1178" i="143"/>
  <c r="T1177" i="143"/>
  <c r="H1177" i="143"/>
  <c r="T1176" i="143"/>
  <c r="H1176" i="143"/>
  <c r="T1175" i="143"/>
  <c r="H1175" i="143"/>
  <c r="X1163" i="143"/>
  <c r="L1163" i="143"/>
  <c r="X1159" i="143"/>
  <c r="U1159" i="143"/>
  <c r="U1163" i="143" s="1"/>
  <c r="L1159" i="143"/>
  <c r="I1159" i="143"/>
  <c r="T1140" i="143"/>
  <c r="H1140" i="143"/>
  <c r="T1139" i="143"/>
  <c r="H1139" i="143"/>
  <c r="T1138" i="143"/>
  <c r="H1138" i="143"/>
  <c r="X1126" i="143"/>
  <c r="L1126" i="143"/>
  <c r="X1122" i="143"/>
  <c r="U1122" i="143"/>
  <c r="U1126" i="143" s="1"/>
  <c r="L1122" i="143"/>
  <c r="I1122" i="143"/>
  <c r="T1103" i="143"/>
  <c r="H1103" i="143"/>
  <c r="T1102" i="143"/>
  <c r="H1102" i="143"/>
  <c r="T1101" i="143"/>
  <c r="H1101" i="143"/>
  <c r="X1089" i="143"/>
  <c r="L1089" i="143"/>
  <c r="X1085" i="143"/>
  <c r="U1085" i="143"/>
  <c r="U1089" i="143" s="1"/>
  <c r="L1085" i="143"/>
  <c r="I1085" i="143"/>
  <c r="I1089" i="143" s="1"/>
  <c r="T1066" i="143"/>
  <c r="H1066" i="143"/>
  <c r="T1065" i="143"/>
  <c r="H1065" i="143"/>
  <c r="T1064" i="143"/>
  <c r="H1064" i="143"/>
  <c r="X1052" i="143"/>
  <c r="L1052" i="143"/>
  <c r="X1048" i="143"/>
  <c r="U1048" i="143"/>
  <c r="U1047" i="143" s="1"/>
  <c r="L1048" i="143"/>
  <c r="I1048" i="143"/>
  <c r="I1047" i="143" s="1"/>
  <c r="T1029" i="143"/>
  <c r="H1029" i="143"/>
  <c r="T1028" i="143"/>
  <c r="H1028" i="143"/>
  <c r="T1027" i="143"/>
  <c r="H1027" i="143"/>
  <c r="X1015" i="143"/>
  <c r="L1015" i="143"/>
  <c r="X1011" i="143"/>
  <c r="U1011" i="143"/>
  <c r="U1015" i="143" s="1"/>
  <c r="L1011" i="143"/>
  <c r="I1011" i="143"/>
  <c r="I1015" i="143" s="1"/>
  <c r="T992" i="143"/>
  <c r="H992" i="143"/>
  <c r="T991" i="143"/>
  <c r="H991" i="143"/>
  <c r="T990" i="143"/>
  <c r="H990" i="143"/>
  <c r="X978" i="143"/>
  <c r="L978" i="143"/>
  <c r="X974" i="143"/>
  <c r="U974" i="143"/>
  <c r="U973" i="143" s="1"/>
  <c r="L974" i="143"/>
  <c r="I974" i="143"/>
  <c r="I973" i="143" s="1"/>
  <c r="T955" i="143"/>
  <c r="H955" i="143"/>
  <c r="T954" i="143"/>
  <c r="H954" i="143"/>
  <c r="T953" i="143"/>
  <c r="H953" i="143"/>
  <c r="X941" i="143"/>
  <c r="L941" i="143"/>
  <c r="X937" i="143"/>
  <c r="U937" i="143"/>
  <c r="U936" i="143" s="1"/>
  <c r="L937" i="143"/>
  <c r="I937" i="143"/>
  <c r="I936" i="143" s="1"/>
  <c r="T918" i="143"/>
  <c r="H918" i="143"/>
  <c r="T917" i="143"/>
  <c r="H917" i="143"/>
  <c r="T916" i="143"/>
  <c r="H916" i="143"/>
  <c r="U900" i="143"/>
  <c r="U899" i="143" s="1"/>
  <c r="I900" i="143"/>
  <c r="I904" i="143" s="1"/>
  <c r="T881" i="143"/>
  <c r="T880" i="143"/>
  <c r="T879" i="143"/>
  <c r="U863" i="143"/>
  <c r="U862" i="143" s="1"/>
  <c r="AL5" i="25"/>
  <c r="AN5" i="25" s="1"/>
  <c r="AN284" i="25"/>
  <c r="AN285" i="25" s="1"/>
  <c r="I874" i="143"/>
  <c r="I1121" i="143"/>
  <c r="I899" i="143"/>
  <c r="I1126" i="143"/>
  <c r="I1163" i="143"/>
  <c r="I1158" i="143"/>
  <c r="I1084" i="143"/>
  <c r="U1084" i="143"/>
  <c r="C312" i="143"/>
  <c r="C796" i="143"/>
  <c r="O826" i="143"/>
  <c r="C827" i="143"/>
  <c r="O830" i="143"/>
  <c r="C830" i="143"/>
  <c r="O753" i="143"/>
  <c r="O827" i="143"/>
  <c r="U837" i="143"/>
  <c r="O790" i="143"/>
  <c r="C793" i="143"/>
  <c r="C11" i="143"/>
  <c r="O793" i="143"/>
  <c r="O198" i="143"/>
  <c r="C826" i="143"/>
  <c r="U800" i="143"/>
  <c r="U763" i="143"/>
  <c r="I837" i="143"/>
  <c r="I800" i="143"/>
  <c r="C679" i="143"/>
  <c r="C534" i="143"/>
  <c r="C234" i="143"/>
  <c r="O197" i="143"/>
  <c r="O345" i="143"/>
  <c r="P133" i="62" l="1" a="1"/>
  <c r="P133" i="62" s="1"/>
  <c r="U941" i="143"/>
  <c r="I1052" i="143"/>
  <c r="T1031" i="143"/>
  <c r="H1142" i="143"/>
  <c r="T1105" i="143"/>
  <c r="AE282" i="25"/>
  <c r="U904" i="143"/>
  <c r="U867" i="143"/>
  <c r="I978" i="143"/>
  <c r="L1168" i="143"/>
  <c r="I1171" i="143" s="1"/>
  <c r="T883" i="143"/>
  <c r="T920" i="143"/>
  <c r="T957" i="143"/>
  <c r="X1094" i="143"/>
  <c r="U1097" i="143" s="1"/>
  <c r="H1068" i="143"/>
  <c r="L1094" i="143"/>
  <c r="I1097" i="143" s="1"/>
  <c r="U1052" i="143"/>
  <c r="X1057" i="143" s="1"/>
  <c r="U1060" i="143" s="1"/>
  <c r="H994" i="143"/>
  <c r="H1031" i="143"/>
  <c r="U1158" i="143"/>
  <c r="X1131" i="143"/>
  <c r="U1134" i="143" s="1"/>
  <c r="X1168" i="143"/>
  <c r="U1171" i="143" s="1"/>
  <c r="H957" i="143"/>
  <c r="U1121" i="143"/>
  <c r="U1010" i="143"/>
  <c r="I941" i="143"/>
  <c r="L946" i="143" s="1"/>
  <c r="I949" i="143" s="1"/>
  <c r="X946" i="143"/>
  <c r="U949" i="143" s="1"/>
  <c r="T994" i="143"/>
  <c r="H1105" i="143"/>
  <c r="L1131" i="143"/>
  <c r="I1134" i="143" s="1"/>
  <c r="C13" i="143"/>
  <c r="H842" i="143"/>
  <c r="T806" i="143"/>
  <c r="C641" i="143"/>
  <c r="U726" i="143"/>
  <c r="C718" i="143"/>
  <c r="H731" i="143" s="1"/>
  <c r="O567" i="143"/>
  <c r="O312" i="143"/>
  <c r="I60" i="143"/>
  <c r="U652" i="143"/>
  <c r="I245" i="143"/>
  <c r="I689" i="143"/>
  <c r="I652" i="143"/>
  <c r="U615" i="143"/>
  <c r="U541" i="143"/>
  <c r="I430" i="143"/>
  <c r="U319" i="143"/>
  <c r="O641" i="143"/>
  <c r="T658" i="143" s="1"/>
  <c r="C419" i="143"/>
  <c r="I467" i="143"/>
  <c r="U97" i="143"/>
  <c r="C352" i="143"/>
  <c r="C130" i="143"/>
  <c r="I763" i="143"/>
  <c r="U467" i="143"/>
  <c r="U282" i="143"/>
  <c r="I356" i="143"/>
  <c r="C648" i="143"/>
  <c r="C568" i="143"/>
  <c r="O419" i="143"/>
  <c r="C123" i="143"/>
  <c r="H474" i="143"/>
  <c r="C197" i="143"/>
  <c r="I134" i="143"/>
  <c r="I171" i="143"/>
  <c r="O238" i="143"/>
  <c r="H843" i="143"/>
  <c r="I541" i="143"/>
  <c r="H807" i="143"/>
  <c r="O715" i="143"/>
  <c r="C56" i="143"/>
  <c r="U689" i="143"/>
  <c r="U208" i="143"/>
  <c r="C569" i="143"/>
  <c r="U245" i="143"/>
  <c r="O123" i="143"/>
  <c r="T139" i="143" s="1"/>
  <c r="T843" i="143"/>
  <c r="C752" i="143"/>
  <c r="T805" i="143"/>
  <c r="I726" i="143"/>
  <c r="I615" i="143"/>
  <c r="I393" i="143"/>
  <c r="U60" i="143"/>
  <c r="U578" i="143"/>
  <c r="C241" i="143"/>
  <c r="U504" i="143"/>
  <c r="U393" i="143"/>
  <c r="I282" i="143"/>
  <c r="T361" i="143"/>
  <c r="H287" i="143"/>
  <c r="T213" i="143"/>
  <c r="O530" i="143"/>
  <c r="C315" i="143"/>
  <c r="C678" i="143"/>
  <c r="C86" i="143"/>
  <c r="C530" i="143"/>
  <c r="C604" i="143"/>
  <c r="O648" i="143"/>
  <c r="O160" i="143"/>
  <c r="T176" i="143" s="1"/>
  <c r="O234" i="143"/>
  <c r="O86" i="143"/>
  <c r="O386" i="143"/>
  <c r="O90" i="143"/>
  <c r="C759" i="143"/>
  <c r="C463" i="143"/>
  <c r="C93" i="143"/>
  <c r="O722" i="143"/>
  <c r="O678" i="143"/>
  <c r="T695" i="143" s="1"/>
  <c r="O308" i="143"/>
  <c r="C537" i="143"/>
  <c r="O682" i="143"/>
  <c r="C611" i="143"/>
  <c r="C308" i="143"/>
  <c r="C382" i="143"/>
  <c r="O460" i="143"/>
  <c r="O164" i="143"/>
  <c r="H879" i="143"/>
  <c r="T842" i="143"/>
  <c r="T214" i="143"/>
  <c r="H472" i="143"/>
  <c r="H250" i="143"/>
  <c r="T844" i="143"/>
  <c r="T472" i="143"/>
  <c r="H473" i="143"/>
  <c r="H844" i="143"/>
  <c r="T289" i="143"/>
  <c r="T287" i="143"/>
  <c r="T288" i="143"/>
  <c r="T362" i="143"/>
  <c r="H361" i="143"/>
  <c r="O15" i="143"/>
  <c r="U978" i="143"/>
  <c r="X983" i="143" s="1"/>
  <c r="U986" i="143" s="1"/>
  <c r="H880" i="143"/>
  <c r="C12" i="143"/>
  <c r="H806" i="143"/>
  <c r="C500" i="143"/>
  <c r="C18" i="143"/>
  <c r="C680" i="143"/>
  <c r="O608" i="143"/>
  <c r="O604" i="143"/>
  <c r="C606" i="143"/>
  <c r="C493" i="143"/>
  <c r="T473" i="143"/>
  <c r="C160" i="143"/>
  <c r="O88" i="143"/>
  <c r="H920" i="143"/>
  <c r="L983" i="143"/>
  <c r="I986" i="143" s="1"/>
  <c r="T1142" i="143"/>
  <c r="H805" i="143"/>
  <c r="T770" i="143"/>
  <c r="T769" i="143"/>
  <c r="T768" i="143"/>
  <c r="O49" i="143"/>
  <c r="C51" i="143"/>
  <c r="O11" i="143"/>
  <c r="I1010" i="143"/>
  <c r="L1020" i="143"/>
  <c r="I1023" i="143" s="1"/>
  <c r="C574" i="143"/>
  <c r="O426" i="143"/>
  <c r="O352" i="143"/>
  <c r="C87" i="143"/>
  <c r="T363" i="143"/>
  <c r="H288" i="143"/>
  <c r="L1057" i="143"/>
  <c r="I1060" i="143" s="1"/>
  <c r="T1068" i="143"/>
  <c r="H1179" i="143"/>
  <c r="O494" i="143"/>
  <c r="T807" i="143"/>
  <c r="H252" i="143"/>
  <c r="H881" i="143"/>
  <c r="H251" i="143"/>
  <c r="H289" i="143"/>
  <c r="T215" i="143"/>
  <c r="H362" i="143"/>
  <c r="H363" i="143"/>
  <c r="X1020" i="143"/>
  <c r="U1023" i="143" s="1"/>
  <c r="T400" i="143"/>
  <c r="T399" i="143"/>
  <c r="T398" i="143"/>
  <c r="T474" i="143"/>
  <c r="U430" i="143"/>
  <c r="I97" i="143"/>
  <c r="O531" i="143"/>
  <c r="I504" i="143"/>
  <c r="U356" i="143"/>
  <c r="I319" i="143"/>
  <c r="I208" i="143"/>
  <c r="U171" i="143"/>
  <c r="U134" i="143"/>
  <c r="P134" i="62" l="1" a="1"/>
  <c r="P134" i="62" s="1"/>
  <c r="I22" i="143"/>
  <c r="H436" i="143"/>
  <c r="H846" i="143"/>
  <c r="H883" i="143"/>
  <c r="T809" i="143"/>
  <c r="H769" i="143"/>
  <c r="T659" i="143"/>
  <c r="H324" i="143"/>
  <c r="H140" i="143"/>
  <c r="T325" i="143"/>
  <c r="H732" i="143"/>
  <c r="H400" i="143"/>
  <c r="H659" i="143"/>
  <c r="H214" i="143"/>
  <c r="H657" i="143"/>
  <c r="H658" i="143"/>
  <c r="H733" i="143"/>
  <c r="H398" i="143"/>
  <c r="H620" i="143"/>
  <c r="H585" i="143"/>
  <c r="T694" i="143"/>
  <c r="H584" i="143"/>
  <c r="H546" i="143"/>
  <c r="T731" i="143"/>
  <c r="T140" i="143"/>
  <c r="T326" i="143"/>
  <c r="T657" i="143"/>
  <c r="H548" i="143"/>
  <c r="T141" i="143"/>
  <c r="T732" i="143"/>
  <c r="T585" i="143"/>
  <c r="H399" i="143"/>
  <c r="H476" i="143"/>
  <c r="H583" i="143"/>
  <c r="T583" i="143"/>
  <c r="H213" i="143"/>
  <c r="T584" i="143"/>
  <c r="H141" i="143"/>
  <c r="H139" i="143"/>
  <c r="H437" i="143"/>
  <c r="H435" i="143"/>
  <c r="H770" i="143"/>
  <c r="T365" i="143"/>
  <c r="T178" i="143"/>
  <c r="H768" i="143"/>
  <c r="T437" i="143"/>
  <c r="T733" i="143"/>
  <c r="T435" i="143"/>
  <c r="H215" i="143"/>
  <c r="T177" i="143"/>
  <c r="T436" i="143"/>
  <c r="T846" i="143"/>
  <c r="H325" i="143"/>
  <c r="H326" i="143"/>
  <c r="T696" i="143"/>
  <c r="T250" i="143"/>
  <c r="T251" i="143"/>
  <c r="T324" i="143"/>
  <c r="T252" i="143"/>
  <c r="H695" i="143"/>
  <c r="H694" i="143"/>
  <c r="H547" i="143"/>
  <c r="H254" i="143"/>
  <c r="T476" i="143"/>
  <c r="T217" i="143"/>
  <c r="H291" i="143"/>
  <c r="T104" i="143"/>
  <c r="T772" i="143"/>
  <c r="T291" i="143"/>
  <c r="T510" i="143"/>
  <c r="T511" i="143"/>
  <c r="T509" i="143"/>
  <c r="H621" i="143"/>
  <c r="T103" i="143"/>
  <c r="H696" i="143"/>
  <c r="H622" i="143"/>
  <c r="H177" i="143"/>
  <c r="H178" i="143"/>
  <c r="H176" i="143"/>
  <c r="H511" i="143"/>
  <c r="H509" i="143"/>
  <c r="H510" i="143"/>
  <c r="T621" i="143"/>
  <c r="T620" i="143"/>
  <c r="T622" i="143"/>
  <c r="T102" i="143"/>
  <c r="H809" i="143"/>
  <c r="H365" i="143"/>
  <c r="T548" i="143"/>
  <c r="T547" i="143"/>
  <c r="T546" i="143"/>
  <c r="I578" i="143"/>
  <c r="U22" i="143"/>
  <c r="T402" i="143"/>
  <c r="H772" i="143" l="1"/>
  <c r="H550" i="143"/>
  <c r="T661" i="143"/>
  <c r="T698" i="143"/>
  <c r="H587" i="143"/>
  <c r="H735" i="143"/>
  <c r="H661" i="143"/>
  <c r="H217" i="143"/>
  <c r="H143" i="143"/>
  <c r="H402" i="143"/>
  <c r="T143" i="143"/>
  <c r="T587" i="143"/>
  <c r="H328" i="143"/>
  <c r="T328" i="143"/>
  <c r="T180" i="143"/>
  <c r="T735" i="143"/>
  <c r="H439" i="143"/>
  <c r="T439" i="143"/>
  <c r="H698" i="143"/>
  <c r="T254" i="143"/>
  <c r="H624" i="143"/>
  <c r="T624" i="143"/>
  <c r="H180" i="143"/>
  <c r="T513" i="143"/>
  <c r="H513" i="143"/>
  <c r="T106" i="143"/>
  <c r="T550" i="143"/>
  <c r="I306" i="143" l="1"/>
  <c r="I861" i="143"/>
  <c r="I863" i="143" s="1"/>
  <c r="U787" i="143"/>
  <c r="U789" i="143" s="1"/>
  <c r="U269" i="143"/>
  <c r="U750" i="143"/>
  <c r="U793" i="143" l="1"/>
  <c r="I308" i="143"/>
  <c r="I312" i="143"/>
  <c r="U380" i="143"/>
  <c r="I787" i="143"/>
  <c r="U343" i="143"/>
  <c r="U713" i="143"/>
  <c r="U306" i="143"/>
  <c r="I491" i="143"/>
  <c r="U47" i="143"/>
  <c r="U417" i="143"/>
  <c r="I343" i="143"/>
  <c r="I380" i="143"/>
  <c r="U528" i="143"/>
  <c r="I862" i="143"/>
  <c r="I867" i="143"/>
  <c r="U788" i="143"/>
  <c r="I750" i="143"/>
  <c r="I639" i="143"/>
  <c r="U756" i="143"/>
  <c r="U752" i="143"/>
  <c r="U158" i="143"/>
  <c r="X9" i="62" l="1"/>
  <c r="AB280" i="25"/>
  <c r="AB281" i="25" s="1"/>
  <c r="AB283" i="25" s="1"/>
  <c r="Y9" i="62"/>
  <c r="R897" i="143"/>
  <c r="F897" i="143"/>
  <c r="R860" i="143"/>
  <c r="R46" i="143"/>
  <c r="F8" i="143"/>
  <c r="R8" i="143"/>
  <c r="F268" i="143"/>
  <c r="F749" i="143"/>
  <c r="R749" i="143"/>
  <c r="F786" i="143"/>
  <c r="R712" i="143"/>
  <c r="F823" i="143"/>
  <c r="R823" i="143"/>
  <c r="F860" i="143"/>
  <c r="R786" i="143"/>
  <c r="F83" i="143"/>
  <c r="R83" i="143"/>
  <c r="F46" i="143"/>
  <c r="R120" i="143"/>
  <c r="F157" i="143"/>
  <c r="R157" i="143"/>
  <c r="F120" i="143"/>
  <c r="R194" i="143"/>
  <c r="F231" i="143"/>
  <c r="R231" i="143"/>
  <c r="F194" i="143"/>
  <c r="R268" i="143"/>
  <c r="F305" i="143"/>
  <c r="R305" i="143"/>
  <c r="F342" i="143"/>
  <c r="R342" i="143"/>
  <c r="F379" i="143"/>
  <c r="R379" i="143"/>
  <c r="F416" i="143"/>
  <c r="R416" i="143"/>
  <c r="F453" i="143"/>
  <c r="R453" i="143"/>
  <c r="F490" i="143"/>
  <c r="R490" i="143"/>
  <c r="F527" i="143"/>
  <c r="R527" i="143"/>
  <c r="F564" i="143"/>
  <c r="R564" i="143"/>
  <c r="F601" i="143"/>
  <c r="R601" i="143"/>
  <c r="F638" i="143"/>
  <c r="R638" i="143"/>
  <c r="F675" i="143"/>
  <c r="R675" i="143"/>
  <c r="F712" i="143"/>
  <c r="I307" i="143"/>
  <c r="U386" i="143"/>
  <c r="U382" i="143"/>
  <c r="U534" i="143"/>
  <c r="I756" i="143"/>
  <c r="U49" i="143"/>
  <c r="I121" i="143"/>
  <c r="U84" i="143"/>
  <c r="U565" i="143"/>
  <c r="I565" i="143"/>
  <c r="I824" i="143"/>
  <c r="I826" i="143" s="1"/>
  <c r="U454" i="143"/>
  <c r="U824" i="143"/>
  <c r="U826" i="143" s="1"/>
  <c r="U719" i="143"/>
  <c r="I382" i="143"/>
  <c r="U423" i="143"/>
  <c r="U53" i="143"/>
  <c r="I386" i="143"/>
  <c r="U715" i="143"/>
  <c r="U602" i="143"/>
  <c r="U530" i="143"/>
  <c r="I417" i="143"/>
  <c r="I528" i="143"/>
  <c r="I195" i="143"/>
  <c r="U312" i="143"/>
  <c r="U419" i="143"/>
  <c r="I454" i="143"/>
  <c r="I602" i="143"/>
  <c r="I84" i="143"/>
  <c r="I269" i="143"/>
  <c r="I345" i="143"/>
  <c r="U308" i="143"/>
  <c r="I349" i="143"/>
  <c r="I232" i="143"/>
  <c r="I493" i="143"/>
  <c r="U345" i="143"/>
  <c r="U349" i="143"/>
  <c r="I497" i="143"/>
  <c r="U275" i="143"/>
  <c r="U271" i="143"/>
  <c r="I752" i="143"/>
  <c r="I793" i="143"/>
  <c r="I645" i="143"/>
  <c r="I789" i="143"/>
  <c r="I641" i="143"/>
  <c r="U751" i="143"/>
  <c r="U160" i="143"/>
  <c r="U164" i="143"/>
  <c r="Y133" i="62" l="1" a="1"/>
  <c r="Y133" i="62" s="1"/>
  <c r="Y134" i="62" a="1"/>
  <c r="Y134" i="62" s="1"/>
  <c r="Z133" i="62" a="1"/>
  <c r="Z133" i="62" s="1"/>
  <c r="Z134" i="62" a="1"/>
  <c r="Z134" i="62" s="1"/>
  <c r="X133" i="62" a="1"/>
  <c r="X133" i="62" s="1"/>
  <c r="X134" i="62" a="1"/>
  <c r="X134" i="62" s="1"/>
  <c r="AB284" i="25"/>
  <c r="X645" i="143"/>
  <c r="X641" i="143"/>
  <c r="X423" i="143"/>
  <c r="X419" i="143"/>
  <c r="X201" i="143"/>
  <c r="X197" i="143"/>
  <c r="X719" i="143"/>
  <c r="X715" i="143"/>
  <c r="L423" i="143"/>
  <c r="L419" i="143"/>
  <c r="L127" i="143"/>
  <c r="L123" i="143"/>
  <c r="L793" i="143"/>
  <c r="L789" i="143"/>
  <c r="X608" i="143"/>
  <c r="X604" i="143"/>
  <c r="X382" i="143"/>
  <c r="X386" i="143"/>
  <c r="X164" i="143"/>
  <c r="X160" i="143"/>
  <c r="X756" i="143"/>
  <c r="X752" i="143"/>
  <c r="L608" i="143"/>
  <c r="L604" i="143"/>
  <c r="L386" i="143"/>
  <c r="L382" i="143"/>
  <c r="L164" i="143"/>
  <c r="L160" i="143"/>
  <c r="L756" i="143"/>
  <c r="L752" i="143"/>
  <c r="X571" i="143"/>
  <c r="X567" i="143"/>
  <c r="X349" i="143"/>
  <c r="X345" i="143"/>
  <c r="X127" i="143"/>
  <c r="X123" i="143"/>
  <c r="L271" i="143"/>
  <c r="L275" i="143"/>
  <c r="L567" i="143"/>
  <c r="L571" i="143"/>
  <c r="L345" i="143"/>
  <c r="L349" i="143"/>
  <c r="L49" i="143"/>
  <c r="L53" i="143"/>
  <c r="H65" i="143"/>
  <c r="H66" i="143"/>
  <c r="H67" i="143"/>
  <c r="T29" i="143"/>
  <c r="T28" i="143"/>
  <c r="T27" i="143"/>
  <c r="X15" i="143"/>
  <c r="X11" i="143"/>
  <c r="X534" i="143"/>
  <c r="X530" i="143"/>
  <c r="X312" i="143"/>
  <c r="X308" i="143"/>
  <c r="X90" i="143"/>
  <c r="X86" i="143"/>
  <c r="I1160" i="143"/>
  <c r="U1013" i="143"/>
  <c r="U1051" i="143"/>
  <c r="I1018" i="143"/>
  <c r="U866" i="143"/>
  <c r="I1161" i="143"/>
  <c r="I790" i="143"/>
  <c r="U273" i="143"/>
  <c r="I200" i="143"/>
  <c r="I458" i="143"/>
  <c r="I309" i="143"/>
  <c r="U237" i="143"/>
  <c r="I754" i="143"/>
  <c r="U161" i="143"/>
  <c r="I459" i="143"/>
  <c r="U495" i="143"/>
  <c r="U569" i="143"/>
  <c r="U605" i="143"/>
  <c r="I901" i="143"/>
  <c r="U52" i="143"/>
  <c r="I1051" i="143"/>
  <c r="U1049" i="143"/>
  <c r="I1014" i="143"/>
  <c r="U14" i="143"/>
  <c r="I1166" i="143"/>
  <c r="I722" i="143"/>
  <c r="I273" i="143"/>
  <c r="I274" i="143"/>
  <c r="L15" i="143"/>
  <c r="I272" i="143"/>
  <c r="U311" i="143"/>
  <c r="I716" i="143"/>
  <c r="I161" i="143"/>
  <c r="I533" i="143"/>
  <c r="I494" i="143"/>
  <c r="U716" i="143"/>
  <c r="I347" i="143"/>
  <c r="I605" i="143"/>
  <c r="U458" i="143"/>
  <c r="U383" i="143"/>
  <c r="U235" i="143"/>
  <c r="I938" i="143"/>
  <c r="I1088" i="143"/>
  <c r="U1166" i="143"/>
  <c r="I1013" i="143"/>
  <c r="I1012" i="143"/>
  <c r="U827" i="143"/>
  <c r="U126" i="143"/>
  <c r="U685" i="143"/>
  <c r="U236" i="143"/>
  <c r="I348" i="143"/>
  <c r="I278" i="143"/>
  <c r="I204" i="143"/>
  <c r="U385" i="143"/>
  <c r="U679" i="143"/>
  <c r="U124" i="143"/>
  <c r="I607" i="143"/>
  <c r="I426" i="143"/>
  <c r="U717" i="143"/>
  <c r="I421" i="143"/>
  <c r="U1012" i="143"/>
  <c r="I1162" i="143"/>
  <c r="U1162" i="143"/>
  <c r="I976" i="143"/>
  <c r="I981" i="143"/>
  <c r="I827" i="143"/>
  <c r="U200" i="143"/>
  <c r="I685" i="143"/>
  <c r="I235" i="143"/>
  <c r="I422" i="143"/>
  <c r="I717" i="143"/>
  <c r="U162" i="143"/>
  <c r="U459" i="143"/>
  <c r="U643" i="143"/>
  <c r="U93" i="143"/>
  <c r="I681" i="143"/>
  <c r="U384" i="143"/>
  <c r="U87" i="143"/>
  <c r="I50" i="143"/>
  <c r="U1018" i="143"/>
  <c r="U790" i="143"/>
  <c r="U1160" i="143"/>
  <c r="U939" i="143"/>
  <c r="I977" i="143"/>
  <c r="U977" i="143"/>
  <c r="U274" i="143"/>
  <c r="U606" i="143"/>
  <c r="U167" i="143"/>
  <c r="I496" i="143"/>
  <c r="U680" i="143"/>
  <c r="I162" i="143"/>
  <c r="U533" i="143"/>
  <c r="I642" i="143"/>
  <c r="U13" i="143"/>
  <c r="U718" i="143"/>
  <c r="I389" i="143"/>
  <c r="I1049" i="143"/>
  <c r="I796" i="143"/>
  <c r="U1129" i="143"/>
  <c r="U902" i="143"/>
  <c r="I975" i="143"/>
  <c r="U1014" i="143"/>
  <c r="U348" i="143"/>
  <c r="U574" i="143"/>
  <c r="I167" i="143"/>
  <c r="I570" i="143"/>
  <c r="I643" i="143"/>
  <c r="U125" i="143"/>
  <c r="U607" i="143"/>
  <c r="U532" i="143"/>
  <c r="I679" i="143"/>
  <c r="U792" i="143"/>
  <c r="U278" i="143"/>
  <c r="I753" i="143"/>
  <c r="U309" i="143"/>
  <c r="I1125" i="143"/>
  <c r="I1123" i="143"/>
  <c r="I902" i="143"/>
  <c r="U1125" i="143"/>
  <c r="U870" i="143"/>
  <c r="U944" i="143"/>
  <c r="I1050" i="143"/>
  <c r="U422" i="143"/>
  <c r="I531" i="143"/>
  <c r="U130" i="143"/>
  <c r="I644" i="143"/>
  <c r="U537" i="143"/>
  <c r="I124" i="143"/>
  <c r="U681" i="143"/>
  <c r="U500" i="143"/>
  <c r="I14" i="143"/>
  <c r="U833" i="143"/>
  <c r="U241" i="143"/>
  <c r="I865" i="143"/>
  <c r="U457" i="143"/>
  <c r="I346" i="143"/>
  <c r="U865" i="143"/>
  <c r="I907" i="143"/>
  <c r="U1123" i="143"/>
  <c r="U864" i="143"/>
  <c r="U940" i="143"/>
  <c r="I1055" i="143"/>
  <c r="U496" i="143"/>
  <c r="U463" i="143"/>
  <c r="I125" i="143"/>
  <c r="U755" i="143"/>
  <c r="I457" i="143"/>
  <c r="I88" i="143"/>
  <c r="I755" i="143"/>
  <c r="I495" i="143"/>
  <c r="I89" i="143"/>
  <c r="I791" i="143"/>
  <c r="I236" i="143"/>
  <c r="I903" i="143"/>
  <c r="I939" i="143"/>
  <c r="U1092" i="143"/>
  <c r="U1161" i="143"/>
  <c r="U938" i="143"/>
  <c r="I1087" i="143"/>
  <c r="U570" i="143"/>
  <c r="U421" i="143"/>
  <c r="U51" i="143"/>
  <c r="U829" i="143"/>
  <c r="U420" i="143"/>
  <c r="U50" i="143"/>
  <c r="I829" i="143"/>
  <c r="U389" i="143"/>
  <c r="I163" i="143"/>
  <c r="U754" i="143"/>
  <c r="U199" i="143"/>
  <c r="U272" i="143"/>
  <c r="I940" i="143"/>
  <c r="I944" i="143"/>
  <c r="U1088" i="143"/>
  <c r="U1124" i="143"/>
  <c r="U907" i="143"/>
  <c r="I1092" i="143"/>
  <c r="U644" i="143"/>
  <c r="I384" i="143"/>
  <c r="U198" i="143"/>
  <c r="I866" i="143"/>
  <c r="I420" i="143"/>
  <c r="U18" i="143"/>
  <c r="U791" i="143"/>
  <c r="U310" i="143"/>
  <c r="I237" i="143"/>
  <c r="I833" i="143"/>
  <c r="I198" i="143"/>
  <c r="U568" i="143"/>
  <c r="U976" i="143"/>
  <c r="U975" i="143"/>
  <c r="U1086" i="143"/>
  <c r="U1087" i="143"/>
  <c r="U903" i="143"/>
  <c r="I1124" i="143"/>
  <c r="I792" i="143"/>
  <c r="U346" i="143"/>
  <c r="I52" i="143"/>
  <c r="I870" i="143"/>
  <c r="I383" i="143"/>
  <c r="U89" i="143"/>
  <c r="U759" i="143"/>
  <c r="U204" i="143"/>
  <c r="I311" i="143"/>
  <c r="U642" i="143"/>
  <c r="U56" i="143"/>
  <c r="U347" i="143"/>
  <c r="I864" i="143"/>
  <c r="I532" i="143"/>
  <c r="I1086" i="143"/>
  <c r="U981" i="143"/>
  <c r="U1055" i="143"/>
  <c r="U1050" i="143"/>
  <c r="U901" i="143"/>
  <c r="I1129" i="143"/>
  <c r="U828" i="143"/>
  <c r="I310" i="143"/>
  <c r="I126" i="143"/>
  <c r="I828" i="143"/>
  <c r="U315" i="143"/>
  <c r="U163" i="143"/>
  <c r="U796" i="143"/>
  <c r="I199" i="143"/>
  <c r="I385" i="143"/>
  <c r="U611" i="143"/>
  <c r="U12" i="143"/>
  <c r="U753" i="143"/>
  <c r="L11" i="143"/>
  <c r="I574" i="143"/>
  <c r="I606" i="143"/>
  <c r="U722" i="143"/>
  <c r="I463" i="143"/>
  <c r="U426" i="143"/>
  <c r="I718" i="143"/>
  <c r="H28" i="143"/>
  <c r="I51" i="143"/>
  <c r="I315" i="143"/>
  <c r="I56" i="143"/>
  <c r="H29" i="143"/>
  <c r="I87" i="143"/>
  <c r="I648" i="143"/>
  <c r="I569" i="143"/>
  <c r="I352" i="143"/>
  <c r="I611" i="143"/>
  <c r="U88" i="143"/>
  <c r="I537" i="143"/>
  <c r="I13" i="143"/>
  <c r="I568" i="143"/>
  <c r="U494" i="143"/>
  <c r="I130" i="143"/>
  <c r="U648" i="143"/>
  <c r="U352" i="143"/>
  <c r="H27" i="143"/>
  <c r="U531" i="143"/>
  <c r="I680" i="143"/>
  <c r="I18" i="143"/>
  <c r="I500" i="143"/>
  <c r="I93" i="143"/>
  <c r="I12" i="143"/>
  <c r="I241" i="143"/>
  <c r="I759" i="143"/>
  <c r="L645" i="143"/>
  <c r="L641" i="143"/>
  <c r="L534" i="143"/>
  <c r="L530" i="143"/>
  <c r="L312" i="143"/>
  <c r="L308" i="143"/>
  <c r="L90" i="143"/>
  <c r="H102" i="143"/>
  <c r="H103" i="143"/>
  <c r="L86" i="143"/>
  <c r="H104" i="143"/>
  <c r="X53" i="143"/>
  <c r="T66" i="143"/>
  <c r="X49" i="143"/>
  <c r="T65" i="143"/>
  <c r="T67" i="143"/>
  <c r="X493" i="143"/>
  <c r="X497" i="143"/>
  <c r="X275" i="143"/>
  <c r="X271" i="143"/>
  <c r="X793" i="143"/>
  <c r="X789" i="143"/>
  <c r="X867" i="143"/>
  <c r="X863" i="143"/>
  <c r="L719" i="143"/>
  <c r="L715" i="143"/>
  <c r="L497" i="143"/>
  <c r="L493" i="143"/>
  <c r="L201" i="143"/>
  <c r="L197" i="143"/>
  <c r="L863" i="143"/>
  <c r="L867" i="143"/>
  <c r="L900" i="143"/>
  <c r="L904" i="143"/>
  <c r="X682" i="143"/>
  <c r="X678" i="143"/>
  <c r="X456" i="143"/>
  <c r="X460" i="143"/>
  <c r="X234" i="143"/>
  <c r="X238" i="143"/>
  <c r="X826" i="143"/>
  <c r="X830" i="143"/>
  <c r="X900" i="143"/>
  <c r="X904" i="143"/>
  <c r="L682" i="143"/>
  <c r="L678" i="143"/>
  <c r="L460" i="143"/>
  <c r="L456" i="143"/>
  <c r="L234" i="143"/>
  <c r="L238" i="143"/>
  <c r="L830" i="143"/>
  <c r="L826" i="143"/>
  <c r="I15" i="143"/>
  <c r="I11" i="143"/>
  <c r="I10" i="143" s="1"/>
  <c r="I9" i="143"/>
  <c r="I751" i="143"/>
  <c r="U418" i="143"/>
  <c r="U48" i="143"/>
  <c r="U270" i="143"/>
  <c r="U344" i="143"/>
  <c r="U825" i="143"/>
  <c r="I492" i="143"/>
  <c r="U307" i="143"/>
  <c r="I344" i="143"/>
  <c r="U714" i="143"/>
  <c r="I381" i="143"/>
  <c r="I830" i="143"/>
  <c r="U381" i="143"/>
  <c r="U604" i="143"/>
  <c r="I825" i="143"/>
  <c r="I571" i="143"/>
  <c r="U830" i="143"/>
  <c r="I604" i="143"/>
  <c r="U456" i="143"/>
  <c r="U571" i="143"/>
  <c r="U567" i="143"/>
  <c r="I567" i="143"/>
  <c r="U86" i="143"/>
  <c r="I608" i="143"/>
  <c r="U608" i="143"/>
  <c r="U529" i="143"/>
  <c r="I86" i="143"/>
  <c r="I201" i="143"/>
  <c r="I423" i="143"/>
  <c r="I90" i="143"/>
  <c r="I456" i="143"/>
  <c r="U90" i="143"/>
  <c r="I271" i="143"/>
  <c r="I460" i="143"/>
  <c r="I197" i="143"/>
  <c r="I419" i="143"/>
  <c r="I275" i="143"/>
  <c r="I530" i="143"/>
  <c r="I534" i="143"/>
  <c r="U460" i="143"/>
  <c r="I123" i="143"/>
  <c r="I127" i="143"/>
  <c r="I234" i="143"/>
  <c r="I238" i="143"/>
  <c r="I788" i="143"/>
  <c r="I640" i="143"/>
  <c r="U159" i="143"/>
  <c r="AB134" i="62" l="1" a="1"/>
  <c r="AB134" i="62" s="1"/>
  <c r="AG134" i="62" s="1"/>
  <c r="AG135" i="62" s="1"/>
  <c r="AB133" i="62" a="1"/>
  <c r="AB133" i="62" s="1"/>
  <c r="X428" i="143"/>
  <c r="U431" i="143" s="1"/>
  <c r="T432" i="143" s="1"/>
  <c r="T440" i="143" s="1"/>
  <c r="X539" i="143"/>
  <c r="U542" i="143" s="1"/>
  <c r="T543" i="143" s="1"/>
  <c r="T551" i="143" s="1"/>
  <c r="L354" i="143"/>
  <c r="I357" i="143" s="1"/>
  <c r="L761" i="143"/>
  <c r="I764" i="143" s="1"/>
  <c r="X391" i="143"/>
  <c r="U394" i="143" s="1"/>
  <c r="T395" i="143" s="1"/>
  <c r="T403" i="143" s="1"/>
  <c r="L391" i="143"/>
  <c r="I394" i="143" s="1"/>
  <c r="H395" i="143" s="1"/>
  <c r="H403" i="143" s="1"/>
  <c r="L798" i="143"/>
  <c r="I801" i="143" s="1"/>
  <c r="H802" i="143" s="1"/>
  <c r="H810" i="143" s="1"/>
  <c r="X798" i="143"/>
  <c r="U801" i="143" s="1"/>
  <c r="T802" i="143" s="1"/>
  <c r="T810" i="143" s="1"/>
  <c r="X354" i="143"/>
  <c r="U357" i="143" s="1"/>
  <c r="T358" i="143" s="1"/>
  <c r="T366" i="143" s="1"/>
  <c r="X761" i="143"/>
  <c r="U764" i="143" s="1"/>
  <c r="T765" i="143" s="1"/>
  <c r="T773" i="143" s="1"/>
  <c r="L502" i="143"/>
  <c r="I505" i="143" s="1"/>
  <c r="H506" i="143" s="1"/>
  <c r="H514" i="143" s="1"/>
  <c r="X280" i="143"/>
  <c r="U283" i="143" s="1"/>
  <c r="T284" i="143" s="1"/>
  <c r="T292" i="143" s="1"/>
  <c r="H31" i="143"/>
  <c r="X58" i="143"/>
  <c r="U61" i="143" s="1"/>
  <c r="T62" i="143" s="1"/>
  <c r="X317" i="143"/>
  <c r="U320" i="143" s="1"/>
  <c r="T321" i="143" s="1"/>
  <c r="T329" i="143" s="1"/>
  <c r="X169" i="143"/>
  <c r="U172" i="143" s="1"/>
  <c r="T173" i="143" s="1"/>
  <c r="T181" i="143" s="1"/>
  <c r="T1024" i="143"/>
  <c r="T1032" i="143" s="1"/>
  <c r="L650" i="143"/>
  <c r="I653" i="143" s="1"/>
  <c r="H654" i="143" s="1"/>
  <c r="H662" i="143" s="1"/>
  <c r="X724" i="143"/>
  <c r="U727" i="143" s="1"/>
  <c r="T728" i="143" s="1"/>
  <c r="T736" i="143" s="1"/>
  <c r="H1061" i="143"/>
  <c r="H1069" i="143" s="1"/>
  <c r="X909" i="143"/>
  <c r="U912" i="143" s="1"/>
  <c r="T913" i="143" s="1"/>
  <c r="T921" i="143" s="1"/>
  <c r="T950" i="143"/>
  <c r="T958" i="143" s="1"/>
  <c r="H1172" i="143"/>
  <c r="H1180" i="143" s="1"/>
  <c r="T69" i="143"/>
  <c r="T1098" i="143"/>
  <c r="T1106" i="143" s="1"/>
  <c r="T987" i="143"/>
  <c r="T995" i="143" s="1"/>
  <c r="H69" i="143"/>
  <c r="T1172" i="143"/>
  <c r="H1024" i="143"/>
  <c r="H1032" i="143" s="1"/>
  <c r="T1061" i="143"/>
  <c r="T1069" i="143" s="1"/>
  <c r="L835" i="143"/>
  <c r="I838" i="143" s="1"/>
  <c r="H839" i="143" s="1"/>
  <c r="H847" i="143" s="1"/>
  <c r="X872" i="143"/>
  <c r="U875" i="143" s="1"/>
  <c r="T876" i="143" s="1"/>
  <c r="T884" i="143" s="1"/>
  <c r="H1135" i="143"/>
  <c r="H1143" i="143" s="1"/>
  <c r="T1135" i="143"/>
  <c r="T1143" i="143" s="1"/>
  <c r="X835" i="143"/>
  <c r="U838" i="143" s="1"/>
  <c r="T839" i="143" s="1"/>
  <c r="T847" i="143" s="1"/>
  <c r="L909" i="143"/>
  <c r="I912" i="143" s="1"/>
  <c r="H913" i="143" s="1"/>
  <c r="H921" i="143" s="1"/>
  <c r="H1098" i="143"/>
  <c r="H1106" i="143" s="1"/>
  <c r="H950" i="143"/>
  <c r="H958" i="143" s="1"/>
  <c r="H106" i="143"/>
  <c r="H987" i="143"/>
  <c r="H995" i="143" s="1"/>
  <c r="L872" i="143"/>
  <c r="I875" i="143" s="1"/>
  <c r="H876" i="143" s="1"/>
  <c r="H884" i="143" s="1"/>
  <c r="T31" i="143"/>
  <c r="L317" i="143"/>
  <c r="I320" i="143" s="1"/>
  <c r="H321" i="143" s="1"/>
  <c r="H329" i="143" s="1"/>
  <c r="L20" i="143"/>
  <c r="I23" i="143" s="1"/>
  <c r="H24" i="143" s="1"/>
  <c r="I122" i="143"/>
  <c r="I603" i="143"/>
  <c r="U603" i="143"/>
  <c r="I566" i="143"/>
  <c r="I233" i="143"/>
  <c r="U566" i="143"/>
  <c r="H358" i="143"/>
  <c r="H366" i="143" s="1"/>
  <c r="H765" i="143"/>
  <c r="H773" i="143" s="1"/>
  <c r="U85" i="143"/>
  <c r="X613" i="143"/>
  <c r="U616" i="143" s="1"/>
  <c r="L613" i="143"/>
  <c r="I616" i="143" s="1"/>
  <c r="H617" i="143" s="1"/>
  <c r="H625" i="143" s="1"/>
  <c r="X95" i="143"/>
  <c r="U98" i="143" s="1"/>
  <c r="X465" i="143"/>
  <c r="U468" i="143" s="1"/>
  <c r="T469" i="143" s="1"/>
  <c r="U455" i="143"/>
  <c r="X576" i="143"/>
  <c r="U579" i="143" s="1"/>
  <c r="L576" i="143"/>
  <c r="I579" i="143" s="1"/>
  <c r="H580" i="143" s="1"/>
  <c r="I196" i="143"/>
  <c r="L206" i="143"/>
  <c r="I209" i="143" s="1"/>
  <c r="I270" i="143"/>
  <c r="L280" i="143"/>
  <c r="I283" i="143" s="1"/>
  <c r="I455" i="143"/>
  <c r="L465" i="143"/>
  <c r="I468" i="143" s="1"/>
  <c r="H469" i="143" s="1"/>
  <c r="I85" i="143"/>
  <c r="L95" i="143"/>
  <c r="I98" i="143" s="1"/>
  <c r="H99" i="143" s="1"/>
  <c r="I529" i="143"/>
  <c r="L539" i="143"/>
  <c r="I542" i="143" s="1"/>
  <c r="H543" i="143" s="1"/>
  <c r="I418" i="143"/>
  <c r="L428" i="143"/>
  <c r="I431" i="143" s="1"/>
  <c r="L132" i="143"/>
  <c r="I135" i="143" s="1"/>
  <c r="H136" i="143" s="1"/>
  <c r="L243" i="143"/>
  <c r="I246" i="143" s="1"/>
  <c r="H247" i="143" s="1"/>
  <c r="AE133" i="62" l="1" a="1"/>
  <c r="AE133" i="62" s="1"/>
  <c r="AE134" i="62" a="1"/>
  <c r="AE134" i="62" s="1"/>
  <c r="AL134" i="62" a="1"/>
  <c r="AL134" i="62" s="1"/>
  <c r="AH134" i="62" s="1"/>
  <c r="AH135" i="62" s="1"/>
  <c r="H32" i="143"/>
  <c r="T70" i="143"/>
  <c r="H255" i="143"/>
  <c r="H551" i="143"/>
  <c r="H477" i="143"/>
  <c r="T580" i="143"/>
  <c r="T588" i="143" s="1"/>
  <c r="H144" i="143"/>
  <c r="T477" i="143"/>
  <c r="H107" i="143"/>
  <c r="H588" i="143"/>
  <c r="T99" i="143"/>
  <c r="T107" i="143" s="1"/>
  <c r="H210" i="143"/>
  <c r="H218" i="143" s="1"/>
  <c r="H432" i="143"/>
  <c r="H440" i="143" s="1"/>
  <c r="H284" i="143"/>
  <c r="H292" i="143" s="1"/>
  <c r="T617" i="143"/>
  <c r="T625" i="143" s="1"/>
  <c r="I713" i="143" l="1"/>
  <c r="U639" i="143"/>
  <c r="J136" i="62" a="1"/>
  <c r="J136" i="62" l="1"/>
  <c r="U645" i="143"/>
  <c r="I719" i="143"/>
  <c r="U641" i="143"/>
  <c r="I676" i="143"/>
  <c r="I715" i="143"/>
  <c r="U640" i="143" l="1"/>
  <c r="I714" i="143"/>
  <c r="X650" i="143"/>
  <c r="U653" i="143" s="1"/>
  <c r="T654" i="143" s="1"/>
  <c r="I678" i="143"/>
  <c r="I682" i="143"/>
  <c r="I158" i="143"/>
  <c r="L724" i="143"/>
  <c r="I727" i="143" s="1"/>
  <c r="H728" i="143" s="1"/>
  <c r="I677" i="143" l="1"/>
  <c r="H736" i="143"/>
  <c r="T662" i="143"/>
  <c r="L687" i="143"/>
  <c r="I690" i="143" s="1"/>
  <c r="H691" i="143" s="1"/>
  <c r="I164" i="143"/>
  <c r="I160" i="143"/>
  <c r="H699" i="143" l="1"/>
  <c r="I159" i="143"/>
  <c r="L169" i="143"/>
  <c r="I172" i="143" s="1"/>
  <c r="H173" i="143" l="1"/>
  <c r="H181" i="143" s="1"/>
  <c r="U232" i="143" l="1"/>
  <c r="U234" i="143" l="1"/>
  <c r="U238" i="143"/>
  <c r="U676" i="143" l="1"/>
  <c r="X243" i="143"/>
  <c r="U246" i="143" s="1"/>
  <c r="U233" i="143"/>
  <c r="T247" i="143" l="1"/>
  <c r="T255" i="143" s="1"/>
  <c r="U682" i="143"/>
  <c r="U678" i="143"/>
  <c r="U677" i="143" l="1"/>
  <c r="X687" i="143"/>
  <c r="U690" i="143" s="1"/>
  <c r="T691" i="143" s="1"/>
  <c r="T699" i="143" l="1"/>
  <c r="I47" i="143"/>
  <c r="U195" i="143"/>
  <c r="I53" i="143" l="1"/>
  <c r="I49" i="143"/>
  <c r="U197" i="143"/>
  <c r="U201" i="143"/>
  <c r="U196" i="143" l="1"/>
  <c r="I48" i="143"/>
  <c r="L58" i="143"/>
  <c r="I61" i="143" s="1"/>
  <c r="H62" i="143" s="1"/>
  <c r="X206" i="143"/>
  <c r="U209" i="143" s="1"/>
  <c r="T210" i="143" l="1"/>
  <c r="T218" i="143" s="1"/>
  <c r="H70" i="143"/>
  <c r="U491" i="143" l="1"/>
  <c r="U497" i="143" l="1"/>
  <c r="U493" i="143"/>
  <c r="U9" i="143" l="1"/>
  <c r="U121" i="143"/>
  <c r="X502" i="143"/>
  <c r="U505" i="143" s="1"/>
  <c r="U492" i="143"/>
  <c r="T506" i="143" l="1"/>
  <c r="T514" i="143" s="1"/>
  <c r="U15" i="143"/>
  <c r="U123" i="143"/>
  <c r="U11" i="143"/>
  <c r="U127" i="143"/>
  <c r="U122" i="143" l="1"/>
  <c r="X132" i="143"/>
  <c r="U135" i="143" s="1"/>
  <c r="U10" i="143"/>
  <c r="X20" i="143"/>
  <c r="U23" i="143" s="1"/>
  <c r="T136" i="143" l="1"/>
  <c r="T144" i="143" s="1"/>
  <c r="T24" i="143"/>
  <c r="T32" i="14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<sst xmlns="http://schemas.openxmlformats.org/spreadsheetml/2006/main" count="7322" uniqueCount="246">
  <si>
    <t>Mã</t>
  </si>
  <si>
    <t>SL</t>
  </si>
  <si>
    <t>TT</t>
  </si>
  <si>
    <t>Họ và Tên</t>
  </si>
  <si>
    <t>Mã số</t>
  </si>
  <si>
    <t>Tổng giây</t>
  </si>
  <si>
    <t>Bộ phận</t>
  </si>
  <si>
    <t>Ký nhận</t>
  </si>
  <si>
    <t>Họ và tên</t>
  </si>
  <si>
    <t>Công LĐ</t>
  </si>
  <si>
    <t>Người lập biểu</t>
  </si>
  <si>
    <t>Giây</t>
  </si>
  <si>
    <t xml:space="preserve">Mã số </t>
  </si>
  <si>
    <t>CÔNG TY TNHH 888</t>
  </si>
  <si>
    <t>Tổng giám đốc</t>
  </si>
  <si>
    <t>Tổng 
giây</t>
  </si>
  <si>
    <t>ĐĐ</t>
  </si>
  <si>
    <t>Stt</t>
  </si>
  <si>
    <t>BHXH, BHYT, BHTN</t>
  </si>
  <si>
    <t>Cộng</t>
  </si>
  <si>
    <t>Lãnh đạo công ty</t>
  </si>
  <si>
    <t>GT</t>
  </si>
  <si>
    <t>STT</t>
  </si>
  <si>
    <t>Bù lương</t>
  </si>
  <si>
    <t xml:space="preserve">  Tổng giây </t>
  </si>
  <si>
    <t>20% Đ Đ</t>
  </si>
  <si>
    <t xml:space="preserve"> </t>
  </si>
  <si>
    <t>bï l­¬ng SP</t>
  </si>
  <si>
    <t>bï l­¬ng Thªm giê</t>
  </si>
  <si>
    <t>BẢNG CHI TIẾT THANH TOÁN LƯƠNG</t>
  </si>
  <si>
    <t>Mã Số</t>
  </si>
  <si>
    <t>Ngày tiếp nhận/ Mức lương CB</t>
  </si>
  <si>
    <t>Tổng cộng</t>
  </si>
  <si>
    <t>Thực lĩnh</t>
  </si>
  <si>
    <t>Phép</t>
  </si>
  <si>
    <t>Lễ, tết</t>
  </si>
  <si>
    <t>Học, họp</t>
  </si>
  <si>
    <t>Lập biểu</t>
  </si>
  <si>
    <t xml:space="preserve">PC mã hàng </t>
  </si>
  <si>
    <t>PHIẾU CHI TIẾT LƯƠNG</t>
  </si>
  <si>
    <t xml:space="preserve">(01) Họ Và Tên </t>
  </si>
  <si>
    <t>:</t>
  </si>
  <si>
    <t>(02) Mã số cá nhân</t>
  </si>
  <si>
    <t>(03) Tổ / Bộ phận</t>
  </si>
  <si>
    <t>(04) Chức danh: Công nhân vận hành máy may công nghiệp</t>
  </si>
  <si>
    <t>(05) Lương cơ bản</t>
  </si>
  <si>
    <t>vnd</t>
  </si>
  <si>
    <t xml:space="preserve">(06) Giây chế tạo </t>
  </si>
  <si>
    <t>(07) Lương 1 giờ:</t>
  </si>
  <si>
    <t>(08) Công SP</t>
  </si>
  <si>
    <t>ngày</t>
  </si>
  <si>
    <t>Lương SP</t>
  </si>
  <si>
    <t>(09) Phép</t>
  </si>
  <si>
    <t>Lương Phép</t>
  </si>
  <si>
    <t>(10) Lễ, tết</t>
  </si>
  <si>
    <t>Lương lễ tết</t>
  </si>
  <si>
    <t>(11) Học, họp</t>
  </si>
  <si>
    <t>Lương học họp</t>
  </si>
  <si>
    <t>(12) Thêm giờ</t>
  </si>
  <si>
    <t>Giờ</t>
  </si>
  <si>
    <t>Lương thêm giờ</t>
  </si>
  <si>
    <t>(13) Thêm ngày CN</t>
  </si>
  <si>
    <t>Lương thêm ngày</t>
  </si>
  <si>
    <t xml:space="preserve">(14) Chờ Việc </t>
  </si>
  <si>
    <t>Lương chờ việc</t>
  </si>
  <si>
    <t>(15) Con nhỏ, thai 7 tháng</t>
  </si>
  <si>
    <t>Lương giờ con nhỏ</t>
  </si>
  <si>
    <t>(16) Ca ba</t>
  </si>
  <si>
    <t>Lương giờ ca ba</t>
  </si>
  <si>
    <t>(17) Nóng, độc hại</t>
  </si>
  <si>
    <t>%</t>
  </si>
  <si>
    <t>Tiền nóng, độc hại</t>
  </si>
  <si>
    <t>(18) Công ăn ca</t>
  </si>
  <si>
    <t>Tiền ăn ca</t>
  </si>
  <si>
    <t>(19) Lương khác</t>
  </si>
  <si>
    <t>(20) Bù lương</t>
  </si>
  <si>
    <t>-------&gt;</t>
  </si>
  <si>
    <t>(21) Tổng cộng lương</t>
  </si>
  <si>
    <t>(22) Khấu trừ</t>
  </si>
  <si>
    <t>BHXH (8%)</t>
  </si>
  <si>
    <t>BHYT (1.5%)</t>
  </si>
  <si>
    <t>BHTN (1%)</t>
  </si>
  <si>
    <t>(23) Thuế</t>
  </si>
  <si>
    <t>(24) Tổng khấu trừ</t>
  </si>
  <si>
    <t>(25) Thực lĩnh</t>
  </si>
  <si>
    <t>Phụ trách đơn vị</t>
  </si>
  <si>
    <t>Đã duyệt</t>
  </si>
  <si>
    <t>STT : 01</t>
  </si>
  <si>
    <t>STT : 02</t>
  </si>
  <si>
    <t>STT : 03</t>
  </si>
  <si>
    <t>STT : 04</t>
  </si>
  <si>
    <t>STT : 05</t>
  </si>
  <si>
    <t>STT : 06</t>
  </si>
  <si>
    <t>STT : 07</t>
  </si>
  <si>
    <t>STT : 08</t>
  </si>
  <si>
    <t>STT : 09</t>
  </si>
  <si>
    <t>STT : 10</t>
  </si>
  <si>
    <t>STT : 11</t>
  </si>
  <si>
    <t>STT : 12</t>
  </si>
  <si>
    <t>STT : 13</t>
  </si>
  <si>
    <t>STT : 14</t>
  </si>
  <si>
    <t>STT : 15</t>
  </si>
  <si>
    <t>STT : 16</t>
  </si>
  <si>
    <t>STT : 17</t>
  </si>
  <si>
    <t>STT : 18</t>
  </si>
  <si>
    <t>STT : 19</t>
  </si>
  <si>
    <t>STT : 20</t>
  </si>
  <si>
    <t>STT : 21</t>
  </si>
  <si>
    <t>STT : 22</t>
  </si>
  <si>
    <t>STT : 23</t>
  </si>
  <si>
    <t>STT : 24</t>
  </si>
  <si>
    <t>STT : 25</t>
  </si>
  <si>
    <t>STT : 26</t>
  </si>
  <si>
    <t>STT : 27</t>
  </si>
  <si>
    <t>STT : 28</t>
  </si>
  <si>
    <t>STT : 29</t>
  </si>
  <si>
    <t>STT : 30</t>
  </si>
  <si>
    <t>STT : 31</t>
  </si>
  <si>
    <t>STT : 32</t>
  </si>
  <si>
    <t>STT : 33</t>
  </si>
  <si>
    <t>STT : 34</t>
  </si>
  <si>
    <t>STT : 35</t>
  </si>
  <si>
    <t>STT : 36</t>
  </si>
  <si>
    <t>STT : 37</t>
  </si>
  <si>
    <t>STT : 38</t>
  </si>
  <si>
    <t>STT : 39</t>
  </si>
  <si>
    <t>STT : 40</t>
  </si>
  <si>
    <t>STT : 41</t>
  </si>
  <si>
    <t>STT : 42</t>
  </si>
  <si>
    <t>STT : 43</t>
  </si>
  <si>
    <t>STT : 44</t>
  </si>
  <si>
    <t>STT : 45</t>
  </si>
  <si>
    <t>STT : 46</t>
  </si>
  <si>
    <t>STT : 47</t>
  </si>
  <si>
    <t>STT : 48</t>
  </si>
  <si>
    <t>STT : 49</t>
  </si>
  <si>
    <t>STT : 50</t>
  </si>
  <si>
    <t>STT : 51</t>
  </si>
  <si>
    <t>STT : 52</t>
  </si>
  <si>
    <t>STT : 53</t>
  </si>
  <si>
    <t>STT : 54</t>
  </si>
  <si>
    <t xml:space="preserve">STT : 55 </t>
  </si>
  <si>
    <t>STT : 56</t>
  </si>
  <si>
    <t>STT : 57</t>
  </si>
  <si>
    <t>STT : 58</t>
  </si>
  <si>
    <t>STT : 59</t>
  </si>
  <si>
    <t>STT : 60</t>
  </si>
  <si>
    <t>STT : 61</t>
  </si>
  <si>
    <t>STT : 62</t>
  </si>
  <si>
    <t>STT : 63</t>
  </si>
  <si>
    <t>STT : 64</t>
  </si>
  <si>
    <t>Tổ 10</t>
  </si>
  <si>
    <t>Giây phát sinh</t>
  </si>
  <si>
    <t>Mức lương</t>
  </si>
  <si>
    <t>Công</t>
  </si>
  <si>
    <t>Thêm giờ</t>
  </si>
  <si>
    <t>Tiền con nhỏ</t>
  </si>
  <si>
    <t xml:space="preserve"> Tổng giây </t>
  </si>
  <si>
    <t>Ngày vào</t>
  </si>
  <si>
    <t>Giờ nghỉ ngắn</t>
  </si>
  <si>
    <t>Tổng ngày công trong tháng</t>
  </si>
  <si>
    <t>Giây BQ CN trong tháng</t>
  </si>
  <si>
    <t>Giây TT</t>
  </si>
  <si>
    <t>Tổng giây thanh toán có TT TP</t>
  </si>
  <si>
    <t>(18) Khuyến công</t>
  </si>
  <si>
    <t>Tiền khuyến công</t>
  </si>
  <si>
    <t>(19) Lương giờ nghỉ ngắn, giờ phụ nữ, chạy thoát hiểm</t>
  </si>
  <si>
    <t>(16) Ăn ca</t>
  </si>
  <si>
    <t>Khuyến công</t>
  </si>
  <si>
    <t xml:space="preserve">Tổ  </t>
  </si>
  <si>
    <t>(13) Trực xưởng</t>
  </si>
  <si>
    <t>Hỗ trợ trực xưởng</t>
  </si>
  <si>
    <t>CN CÔNG TY TNHH S&amp;D TẠI THANH HOÁ</t>
  </si>
  <si>
    <t>Cắt</t>
  </si>
  <si>
    <t>Xăng xe</t>
  </si>
  <si>
    <t>Là TP</t>
  </si>
  <si>
    <t>Kiểm hoá</t>
  </si>
  <si>
    <t>Giây PS làm thêm ngày…giờ..</t>
  </si>
  <si>
    <t>BQ giây</t>
  </si>
  <si>
    <t>Công sản phẩm</t>
  </si>
  <si>
    <t>Giờ kinh nguyệt</t>
  </si>
  <si>
    <t>KN+NN</t>
  </si>
  <si>
    <t>Hệ số NN</t>
  </si>
  <si>
    <t>Thai 7 tháng+Con nhỏ</t>
  </si>
  <si>
    <t>Tổng giây thanh toán chưa có TT</t>
  </si>
  <si>
    <t>Nhóm trưởng</t>
  </si>
  <si>
    <t>So sánh</t>
  </si>
  <si>
    <t>Bằng chữ:</t>
  </si>
  <si>
    <t>Tổng lương thực tế</t>
  </si>
  <si>
    <t xml:space="preserve">Tổ may: </t>
  </si>
  <si>
    <t>Phân loại lđ</t>
  </si>
  <si>
    <t>Hoàn thiện</t>
  </si>
  <si>
    <t>A</t>
  </si>
  <si>
    <t>B</t>
  </si>
  <si>
    <t>C</t>
  </si>
  <si>
    <t>Vắt sữa</t>
  </si>
  <si>
    <t>Chủ nhật</t>
  </si>
  <si>
    <t>Trừ tiền phân loại</t>
  </si>
  <si>
    <t>ATV</t>
  </si>
  <si>
    <t>PC:</t>
  </si>
  <si>
    <t>Giây phụ cấp ngày công 130</t>
  </si>
  <si>
    <t>Ăn ca</t>
  </si>
  <si>
    <t>Lễ tết</t>
  </si>
  <si>
    <t>Tổ 6</t>
  </si>
  <si>
    <t>Lê Thị Linh</t>
  </si>
  <si>
    <t>Khấu trừ</t>
  </si>
  <si>
    <t>Tổ 9</t>
  </si>
  <si>
    <t>CĐ</t>
  </si>
  <si>
    <t>Lê Văn Bắc</t>
  </si>
  <si>
    <t>Khám sức khỏe</t>
  </si>
  <si>
    <t>Tiền lương</t>
  </si>
  <si>
    <t>Các khoản hỗ trợ</t>
  </si>
  <si>
    <t>Chuyên cần</t>
  </si>
  <si>
    <t>Đi lại</t>
  </si>
  <si>
    <t>Nuôi con nhỏ+ATV</t>
  </si>
  <si>
    <t>Trừ PLLĐ</t>
  </si>
  <si>
    <t>Thưởng HTCV</t>
  </si>
  <si>
    <t>Thưởng theo KQKD</t>
  </si>
  <si>
    <t>Sản phẩm HC</t>
  </si>
  <si>
    <t>32=31/30</t>
  </si>
  <si>
    <t>33=35/29</t>
  </si>
  <si>
    <t>34=33/32</t>
  </si>
  <si>
    <t>35=25-9</t>
  </si>
  <si>
    <t>Tổ 1</t>
  </si>
  <si>
    <t>Tổ 2</t>
  </si>
  <si>
    <t>Tổ 4</t>
  </si>
  <si>
    <t>Tổ 8</t>
  </si>
  <si>
    <t>Mang thai + Con nhỏ</t>
  </si>
  <si>
    <t>Thâm niên</t>
  </si>
  <si>
    <t>Tổ 3</t>
  </si>
  <si>
    <t>Tổ 11</t>
  </si>
  <si>
    <t>Tổ 12</t>
  </si>
  <si>
    <t>Nghỉ ngắn+Phụ nữ</t>
  </si>
  <si>
    <t>Cơ động</t>
  </si>
  <si>
    <t xml:space="preserve">BẢNG LƯƠNG THÁNG 02 NĂM 2026 TỔ </t>
  </si>
  <si>
    <t>BQT02</t>
  </si>
  <si>
    <t xml:space="preserve">BẢNG TỔNG HỢP GIÂY THÁNG 03/2026 - TỔ </t>
  </si>
  <si>
    <t xml:space="preserve">BẢNG TỔNG HỢP GIÂY THÁNG 03/2026- TỔ </t>
  </si>
  <si>
    <t>Ngày  15  tháng 04 năm 2026</t>
  </si>
  <si>
    <t>Tháng 03 năm 2026</t>
  </si>
  <si>
    <t>Công T02</t>
  </si>
  <si>
    <t>Lương T02</t>
  </si>
  <si>
    <t>BQT03</t>
  </si>
  <si>
    <t>Tái chế</t>
  </si>
  <si>
    <t>Tổ 5</t>
  </si>
  <si>
    <t>Tổ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</si>
</sst>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\ &quot;?&quot;;\-#,##0\ &quot;?&quot;"/>
    <numFmt numFmtId="165" formatCode="_(* #,##0.00_);_(* \(#,##0.00\);_(* &quot;-&quot;&quot;?&quot;&quot;?&quot;_);_(@_)"/>
    <numFmt numFmtId="166" formatCode="_-* #,##0.00\ _₫_-;\-* #,##0.00\ _₫_-;_-* &quot;-&quot;&quot;?&quot;&quot;?&quot;\ _₫_-;_-@_-"/>
    <numFmt numFmtId="167" formatCode="#,##0\ &quot;$&quot;_);[Red]\(#,##0\ &quot;$&quot;\)"/>
    <numFmt numFmtId="168" formatCode="&quot;$&quot;###,0&quot;.&quot;00_);[Red]\(&quot;$&quot;###,0&quot;.&quot;00\)"/>
    <numFmt numFmtId="169" formatCode="&quot;VND&quot;#,##0_);[Red]\(&quot;VND&quot;#,##0\)"/>
    <numFmt numFmtId="170" formatCode="_(* #,##0.0_);_(* \(#,##0.0\);_(* &quot;-&quot;&quot;?&quot;&quot;?&quot;_);_(@_)"/>
    <numFmt numFmtId="171" formatCode="_(* #,##0_);_(* \(#,##0\);_(* &quot;-&quot;&quot;?&quot;&quot;?&quot;_);_(@_)"/>
    <numFmt numFmtId="172" formatCode="#,##0.0"/>
    <numFmt numFmtId="173" formatCode="0.0"/>
    <numFmt numFmtId="174" formatCode="0.000"/>
    <numFmt numFmtId="175" formatCode="#,##0;[Red]#,##0"/>
    <numFmt numFmtId="176" formatCode="_-* #,##0_-;\-* #,##0_-;_-* &quot;-&quot;&quot;?&quot;&quot;?&quot;_-;_-@_-"/>
  </numFmts>
  <fonts count="61">
    <font>
      <sz val="11"/>
      <name val=".VnTime"/>
    </font>
    <font>
      <sz val="11"/>
      <name val=".VnTime"/>
      <family val="2"/>
    </font>
    <font>
      <sz val="12"/>
      <name val=".VnTime"/>
      <family val="2"/>
    </font>
    <font>
      <sz val="10"/>
      <name val=".VnTime"/>
      <family val="2"/>
    </font>
    <font>
      <sz val="11"/>
      <name val=".VnTime"/>
      <family val="2"/>
    </font>
    <font>
      <sz val="10"/>
      <name val="Arial"/>
      <family val="2"/>
    </font>
    <font>
      <sz val="12"/>
      <name val=".VnTime"/>
      <family val="1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10"/>
      <name val="VNtimes new roman"/>
      <family val="2"/>
    </font>
    <font>
      <sz val="12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color indexed="8"/>
      <name val="Times New Roman"/>
      <family val="1"/>
    </font>
    <font>
      <sz val="8"/>
      <name val=".VnTime"/>
      <family val="2"/>
    </font>
    <font>
      <b/>
      <i/>
      <sz val="11"/>
      <name val="Times New Roman"/>
      <family val="1"/>
    </font>
    <font>
      <b/>
      <sz val="8"/>
      <name val="Times New Roman"/>
      <family val="1"/>
    </font>
    <font>
      <sz val="11"/>
      <color indexed="8"/>
      <name val="Calibri"/>
      <family val="2"/>
    </font>
    <font>
      <sz val="8"/>
      <name val="VNI-Helve-Condense"/>
    </font>
    <font>
      <i/>
      <sz val="9"/>
      <name val="Times New Roman"/>
      <family val="1"/>
    </font>
    <font>
      <b/>
      <u/>
      <sz val="9"/>
      <name val="Times New Roman"/>
      <family val="1"/>
    </font>
    <font>
      <sz val="9"/>
      <name val=".VnArial Narrow"/>
      <family val="2"/>
    </font>
    <font>
      <b/>
      <sz val="12"/>
      <name val=".VnArial Narrow"/>
      <family val="2"/>
    </font>
    <font>
      <b/>
      <sz val="10"/>
      <name val=".VnArial Narrow"/>
      <family val="2"/>
    </font>
    <font>
      <b/>
      <sz val="10"/>
      <name val=".VnTime"/>
      <family val="2"/>
    </font>
    <font>
      <b/>
      <sz val="9"/>
      <name val=".VnArial Narrow"/>
      <family val="2"/>
    </font>
    <font>
      <b/>
      <sz val="10"/>
      <color rgb="FFFF0000"/>
      <name val="Times New Roman"/>
      <family val="1"/>
    </font>
    <font>
      <sz val="11"/>
      <color theme="0"/>
      <name val="Times New Roman"/>
      <family val="1"/>
    </font>
    <font>
      <b/>
      <sz val="6"/>
      <name val="Times New Roman"/>
      <family val="1"/>
    </font>
    <font>
      <b/>
      <sz val="12"/>
      <color indexed="60"/>
      <name val="Times New Roman"/>
      <family val="1"/>
    </font>
    <font>
      <b/>
      <sz val="12"/>
      <color indexed="10"/>
      <name val="Times New Roman"/>
      <family val="1"/>
    </font>
    <font>
      <sz val="12"/>
      <color indexed="10"/>
      <name val="Times New Roman"/>
      <family val="1"/>
    </font>
    <font>
      <sz val="10"/>
      <name val=".VnArial Narrow"/>
      <family val="2"/>
    </font>
    <font>
      <sz val="8"/>
      <color indexed="10"/>
      <name val="Times New Roman"/>
      <family val="1"/>
    </font>
    <font>
      <sz val="11"/>
      <name val=".VnTime"/>
      <family val="2"/>
    </font>
    <font>
      <b/>
      <sz val="12"/>
      <color rgb="FFFF0000"/>
      <name val="Times New Roman"/>
      <family val="1"/>
    </font>
    <font>
      <b/>
      <sz val="12"/>
      <name val="Times  New Roman"/>
    </font>
    <font>
      <sz val="11"/>
      <name val="Times  New Roman"/>
    </font>
    <font>
      <sz val="12"/>
      <name val="Times  New Roman"/>
    </font>
    <font>
      <b/>
      <sz val="14"/>
      <name val="Times  New Roman"/>
    </font>
    <font>
      <sz val="10"/>
      <name val="Times  New Roman"/>
    </font>
    <font>
      <sz val="8"/>
      <name val="Times  New Roman"/>
    </font>
    <font>
      <b/>
      <sz val="10"/>
      <name val="Times  New Roman"/>
    </font>
    <font>
      <b/>
      <sz val="9"/>
      <name val="Times  New Roman"/>
    </font>
    <font>
      <sz val="9"/>
      <name val="Times  New Roman"/>
    </font>
    <font>
      <b/>
      <i/>
      <u val="singleAccounting"/>
      <sz val="11"/>
      <name val="Times  New Roman"/>
    </font>
    <font>
      <b/>
      <i/>
      <u/>
      <sz val="11"/>
      <name val="Times  New Roman"/>
    </font>
    <font>
      <i/>
      <sz val="12"/>
      <name val="Times  New Roman"/>
    </font>
    <font>
      <b/>
      <i/>
      <sz val="12"/>
      <name val="Times  New Roman"/>
    </font>
    <font>
      <b/>
      <sz val="11"/>
      <color rgb="FFFF0000"/>
      <name val="Times New Roman"/>
      <family val="1"/>
    </font>
    <font>
      <b/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8">
    <xf numFmtId="0" fontId="0" fillId="0" borderId="0"/>
    <xf numFmtId="0" fontId="5" fillId="0" borderId="0" xfId="0" applyFont="1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9" fontId="10" fillId="0" borderId="0"/>
    <xf numFmtId="0" fontId="11" fillId="0" borderId="0"/>
    <xf numFmtId="0" fontId="11" fillId="0" borderId="0"/>
    <xf numFmtId="0" fontId="4" fillId="0" borderId="0"/>
    <xf numFmtId="0" fontId="28" fillId="0" borderId="0"/>
    <xf numFmtId="0" fontId="5" fillId="0" borderId="0"/>
    <xf numFmtId="9" fontId="1" fillId="0" borderId="0" applyFont="0" applyFill="0" applyBorder="0" applyAlignment="0" applyProtection="0"/>
    <xf numFmtId="0" fontId="5" fillId="0" borderId="4" applyNumberFormat="0" applyFont="0" applyFill="0" applyAlignment="0" applyProtection="0"/>
    <xf numFmtId="0" fontId="5" fillId="0" borderId="4" applyNumberFormat="0" applyFont="0" applyFill="0" applyAlignment="0" applyProtection="0"/>
    <xf numFmtId="2" fontId="16" fillId="5" borderId="0" xfId="0" applyNumberFormat="1" applyFont="1" applyFill="1"/>
    <xf numFmtId="165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494">
    <xf numFmtId="0" fontId="0" fillId="0" borderId="0" xfId="0"/>
    <xf numFmtId="0" fontId="5" fillId="0" borderId="0" xfId="1"/>
    <xf numFmtId="0" fontId="0" fillId="0" borderId="0" xfId="0" applyProtection="1">
      <protection locked="0" hidden="1"/>
    </xf>
    <xf numFmtId="0" fontId="5" fillId="0" borderId="0" xfId="31" applyNumberFormat="1" applyFont="1" applyFill="1"/>
    <xf numFmtId="0" fontId="0" fillId="0" borderId="0" xfId="0" applyProtection="1">
      <protection hidden="1"/>
    </xf>
    <xf numFmtId="1" fontId="16" fillId="2" borderId="3" xfId="0" applyNumberFormat="1" applyFont="1" applyFill="1" applyBorder="1" applyAlignment="1">
      <alignment horizontal="center" vertical="center" wrapText="1"/>
    </xf>
    <xf numFmtId="1" fontId="17" fillId="3" borderId="6" xfId="0" applyNumberFormat="1" applyFont="1" applyFill="1" applyBorder="1"/>
    <xf numFmtId="1" fontId="17" fillId="0" borderId="6" xfId="0" applyNumberFormat="1" applyFont="1" applyBorder="1"/>
    <xf numFmtId="1" fontId="17" fillId="0" borderId="7" xfId="0" applyNumberFormat="1" applyFont="1" applyBorder="1"/>
    <xf numFmtId="1" fontId="17" fillId="0" borderId="0" xfId="0" applyNumberFormat="1" applyFont="1"/>
    <xf numFmtId="1" fontId="2" fillId="2" borderId="0" xfId="0" applyNumberFormat="1" applyFont="1" applyFill="1"/>
    <xf numFmtId="1" fontId="16" fillId="2" borderId="3" xfId="0" applyNumberFormat="1" applyFont="1" applyFill="1" applyBorder="1" applyAlignment="1">
      <alignment horizontal="left" vertical="center" wrapText="1"/>
    </xf>
    <xf numFmtId="1" fontId="16" fillId="2" borderId="3" xfId="0" applyNumberFormat="1" applyFont="1" applyFill="1" applyBorder="1" applyAlignment="1">
      <alignment vertical="center"/>
    </xf>
    <xf numFmtId="1" fontId="12" fillId="2" borderId="0" xfId="0" applyNumberFormat="1" applyFont="1" applyFill="1"/>
    <xf numFmtId="1" fontId="12" fillId="2" borderId="0" xfId="0" applyNumberFormat="1" applyFont="1" applyFill="1" applyAlignment="1">
      <alignment horizontal="center"/>
    </xf>
    <xf numFmtId="1" fontId="16" fillId="2" borderId="3" xfId="0" quotePrefix="1" applyNumberFormat="1" applyFont="1" applyFill="1" applyBorder="1" applyAlignment="1">
      <alignment horizontal="center" vertical="center"/>
    </xf>
    <xf numFmtId="1" fontId="17" fillId="2" borderId="6" xfId="0" applyNumberFormat="1" applyFont="1" applyFill="1" applyBorder="1" applyAlignment="1">
      <alignment horizontal="center"/>
    </xf>
    <xf numFmtId="1" fontId="13" fillId="2" borderId="3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/>
    </xf>
    <xf numFmtId="9" fontId="14" fillId="2" borderId="0" xfId="28" applyFont="1" applyFill="1" applyAlignment="1">
      <alignment horizontal="center" vertical="center"/>
    </xf>
    <xf numFmtId="1" fontId="0" fillId="2" borderId="0" xfId="0" applyNumberFormat="1" applyFill="1"/>
    <xf numFmtId="1" fontId="15" fillId="2" borderId="11" xfId="0" applyNumberFormat="1" applyFont="1" applyFill="1" applyBorder="1" applyAlignment="1">
      <alignment horizontal="center" vertical="center"/>
    </xf>
    <xf numFmtId="1" fontId="18" fillId="2" borderId="0" xfId="0" applyNumberFormat="1" applyFont="1" applyFill="1"/>
    <xf numFmtId="1" fontId="18" fillId="2" borderId="13" xfId="0" applyNumberFormat="1" applyFont="1" applyFill="1" applyBorder="1"/>
    <xf numFmtId="1" fontId="4" fillId="2" borderId="3" xfId="0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/>
    </xf>
    <xf numFmtId="9" fontId="17" fillId="2" borderId="0" xfId="28" applyFont="1" applyFill="1" applyBorder="1" applyAlignment="1">
      <alignment horizontal="center"/>
    </xf>
    <xf numFmtId="0" fontId="16" fillId="5" borderId="0" xfId="0" applyFont="1" applyFill="1"/>
    <xf numFmtId="2" fontId="16" fillId="5" borderId="0" xfId="0" applyNumberFormat="1" applyFont="1" applyFill="1"/>
    <xf numFmtId="0" fontId="12" fillId="5" borderId="0" xfId="0" applyFont="1" applyFill="1"/>
    <xf numFmtId="171" fontId="12" fillId="5" borderId="0" xfId="2" applyNumberFormat="1" applyFont="1" applyFill="1"/>
    <xf numFmtId="0" fontId="18" fillId="5" borderId="0" xfId="0" applyFont="1" applyFill="1"/>
    <xf numFmtId="171" fontId="16" fillId="5" borderId="0" xfId="2" applyNumberFormat="1" applyFont="1" applyFill="1"/>
    <xf numFmtId="0" fontId="18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0" fillId="5" borderId="0" xfId="0" applyFont="1" applyFill="1"/>
    <xf numFmtId="0" fontId="12" fillId="5" borderId="0" xfId="2" applyNumberFormat="1" applyFont="1" applyFill="1"/>
    <xf numFmtId="0" fontId="20" fillId="5" borderId="0" xfId="0" applyFont="1" applyFill="1" applyAlignment="1">
      <alignment wrapText="1"/>
    </xf>
    <xf numFmtId="171" fontId="20" fillId="5" borderId="0" xfId="2" applyNumberFormat="1" applyFont="1" applyFill="1"/>
    <xf numFmtId="0" fontId="25" fillId="5" borderId="0" xfId="0" applyFont="1" applyFill="1"/>
    <xf numFmtId="2" fontId="25" fillId="5" borderId="0" xfId="0" applyNumberFormat="1" applyFont="1" applyFill="1"/>
    <xf numFmtId="1" fontId="18" fillId="5" borderId="0" xfId="0" applyNumberFormat="1" applyFont="1" applyFill="1"/>
    <xf numFmtId="1" fontId="18" fillId="5" borderId="13" xfId="0" applyNumberFormat="1" applyFont="1" applyFill="1" applyBorder="1"/>
    <xf numFmtId="1" fontId="18" fillId="5" borderId="10" xfId="0" applyNumberFormat="1" applyFont="1" applyFill="1" applyBorder="1"/>
    <xf numFmtId="1" fontId="3" fillId="5" borderId="0" xfId="0" applyNumberFormat="1" applyFont="1" applyFill="1"/>
    <xf numFmtId="0" fontId="22" fillId="0" borderId="0" xfId="26" applyFont="1"/>
    <xf numFmtId="0" fontId="21" fillId="6" borderId="18" xfId="27" applyFont="1" applyFill="1" applyBorder="1" applyAlignment="1">
      <alignment horizontal="center"/>
    </xf>
    <xf numFmtId="0" fontId="21" fillId="0" borderId="0" xfId="27" applyFont="1" applyAlignment="1">
      <alignment horizontal="center"/>
    </xf>
    <xf numFmtId="0" fontId="21" fillId="0" borderId="19" xfId="27" applyFont="1" applyBorder="1" applyAlignment="1">
      <alignment horizontal="center"/>
    </xf>
    <xf numFmtId="0" fontId="22" fillId="0" borderId="0" xfId="27" applyFont="1"/>
    <xf numFmtId="0" fontId="21" fillId="0" borderId="0" xfId="27" applyFont="1" applyAlignment="1">
      <alignment horizontal="left"/>
    </xf>
    <xf numFmtId="0" fontId="22" fillId="0" borderId="20" xfId="27" applyFont="1" applyBorder="1"/>
    <xf numFmtId="0" fontId="21" fillId="0" borderId="18" xfId="27" applyFont="1" applyBorder="1"/>
    <xf numFmtId="2" fontId="22" fillId="0" borderId="21" xfId="27" applyNumberFormat="1" applyFont="1" applyBorder="1" applyAlignment="1">
      <alignment horizontal="right"/>
    </xf>
    <xf numFmtId="0" fontId="29" fillId="0" borderId="0" xfId="27" applyFont="1"/>
    <xf numFmtId="0" fontId="22" fillId="0" borderId="0" xfId="27" applyFont="1" applyAlignment="1">
      <alignment horizontal="left"/>
    </xf>
    <xf numFmtId="3" fontId="12" fillId="5" borderId="0" xfId="26" applyNumberFormat="1" applyFont="1" applyFill="1" applyAlignment="1">
      <alignment vertical="center" shrinkToFit="1"/>
    </xf>
    <xf numFmtId="175" fontId="13" fillId="0" borderId="0" xfId="7" applyNumberFormat="1" applyFont="1" applyBorder="1" applyAlignment="1">
      <alignment horizontal="right"/>
    </xf>
    <xf numFmtId="0" fontId="29" fillId="0" borderId="20" xfId="27" applyFont="1" applyBorder="1"/>
    <xf numFmtId="176" fontId="22" fillId="0" borderId="0" xfId="6" applyNumberFormat="1" applyFont="1"/>
    <xf numFmtId="2" fontId="22" fillId="0" borderId="0" xfId="27" applyNumberFormat="1" applyFont="1"/>
    <xf numFmtId="0" fontId="26" fillId="0" borderId="18" xfId="27" applyFont="1" applyBorder="1"/>
    <xf numFmtId="0" fontId="21" fillId="0" borderId="22" xfId="27" applyFont="1" applyBorder="1"/>
    <xf numFmtId="0" fontId="22" fillId="0" borderId="21" xfId="27" applyFont="1" applyBorder="1"/>
    <xf numFmtId="0" fontId="22" fillId="0" borderId="23" xfId="27" applyFont="1" applyBorder="1"/>
    <xf numFmtId="0" fontId="22" fillId="0" borderId="11" xfId="27" applyFont="1" applyBorder="1"/>
    <xf numFmtId="0" fontId="29" fillId="0" borderId="24" xfId="27" applyFont="1" applyBorder="1"/>
    <xf numFmtId="0" fontId="22" fillId="0" borderId="25" xfId="27" applyFont="1" applyBorder="1"/>
    <xf numFmtId="2" fontId="22" fillId="0" borderId="26" xfId="27" applyNumberFormat="1" applyFont="1" applyBorder="1"/>
    <xf numFmtId="0" fontId="22" fillId="0" borderId="27" xfId="27" applyFont="1" applyBorder="1"/>
    <xf numFmtId="0" fontId="22" fillId="0" borderId="18" xfId="27" applyFont="1" applyBorder="1"/>
    <xf numFmtId="0" fontId="22" fillId="0" borderId="0" xfId="27" applyFont="1" applyAlignment="1">
      <alignment horizontal="center"/>
    </xf>
    <xf numFmtId="0" fontId="22" fillId="0" borderId="28" xfId="27" applyFont="1" applyBorder="1"/>
    <xf numFmtId="0" fontId="22" fillId="0" borderId="29" xfId="27" applyFont="1" applyBorder="1"/>
    <xf numFmtId="170" fontId="17" fillId="3" borderId="6" xfId="5" applyNumberFormat="1" applyFont="1" applyFill="1" applyBorder="1"/>
    <xf numFmtId="9" fontId="36" fillId="5" borderId="0" xfId="28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/>
    </xf>
    <xf numFmtId="0" fontId="16" fillId="2" borderId="3" xfId="0" quotePrefix="1" applyFont="1" applyFill="1" applyBorder="1" applyAlignment="1">
      <alignment horizontal="center" vertical="center"/>
    </xf>
    <xf numFmtId="1" fontId="17" fillId="5" borderId="32" xfId="0" applyNumberFormat="1" applyFont="1" applyFill="1" applyBorder="1" applyAlignment="1">
      <alignment horizontal="center" vertical="center"/>
    </xf>
    <xf numFmtId="1" fontId="16" fillId="5" borderId="10" xfId="0" applyNumberFormat="1" applyFont="1" applyFill="1" applyBorder="1" applyAlignment="1">
      <alignment horizontal="left" vertical="center" wrapText="1"/>
    </xf>
    <xf numFmtId="1" fontId="16" fillId="5" borderId="10" xfId="0" applyNumberFormat="1" applyFont="1" applyFill="1" applyBorder="1" applyAlignment="1">
      <alignment horizontal="center" vertical="center" wrapText="1"/>
    </xf>
    <xf numFmtId="0" fontId="21" fillId="5" borderId="32" xfId="0" applyFont="1" applyFill="1" applyBorder="1" applyAlignment="1">
      <alignment horizontal="center" vertical="center" wrapText="1"/>
    </xf>
    <xf numFmtId="3" fontId="21" fillId="5" borderId="32" xfId="0" applyNumberFormat="1" applyFont="1" applyFill="1" applyBorder="1" applyAlignment="1">
      <alignment horizontal="center" vertical="center" wrapText="1"/>
    </xf>
    <xf numFmtId="1" fontId="16" fillId="5" borderId="10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shrinkToFit="1"/>
    </xf>
    <xf numFmtId="1" fontId="16" fillId="5" borderId="5" xfId="0" applyNumberFormat="1" applyFont="1" applyFill="1" applyBorder="1" applyAlignment="1">
      <alignment horizontal="left" vertical="center" wrapText="1"/>
    </xf>
    <xf numFmtId="1" fontId="16" fillId="5" borderId="13" xfId="0" applyNumberFormat="1" applyFont="1" applyFill="1" applyBorder="1" applyAlignment="1">
      <alignment horizontal="center" vertical="center"/>
    </xf>
    <xf numFmtId="1" fontId="17" fillId="5" borderId="0" xfId="0" applyNumberFormat="1" applyFont="1" applyFill="1" applyAlignment="1">
      <alignment horizontal="center" vertical="center"/>
    </xf>
    <xf numFmtId="1" fontId="16" fillId="2" borderId="3" xfId="0" applyNumberFormat="1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 wrapText="1"/>
    </xf>
    <xf numFmtId="1" fontId="13" fillId="3" borderId="3" xfId="0" applyNumberFormat="1" applyFont="1" applyFill="1" applyBorder="1" applyAlignment="1">
      <alignment horizontal="center" wrapText="1"/>
    </xf>
    <xf numFmtId="1" fontId="15" fillId="2" borderId="0" xfId="0" applyNumberFormat="1" applyFont="1" applyFill="1" applyAlignment="1">
      <alignment vertical="center"/>
    </xf>
    <xf numFmtId="0" fontId="16" fillId="5" borderId="3" xfId="0" applyFont="1" applyFill="1" applyBorder="1" applyAlignment="1">
      <alignment horizontal="center" vertical="center" wrapText="1"/>
    </xf>
    <xf numFmtId="1" fontId="14" fillId="2" borderId="0" xfId="0" applyNumberFormat="1" applyFont="1" applyFill="1"/>
    <xf numFmtId="1" fontId="17" fillId="2" borderId="3" xfId="0" applyNumberFormat="1" applyFont="1" applyFill="1" applyBorder="1" applyAlignment="1">
      <alignment horizontal="center" vertical="center"/>
    </xf>
    <xf numFmtId="1" fontId="18" fillId="0" borderId="0" xfId="0" applyNumberFormat="1" applyFont="1"/>
    <xf numFmtId="170" fontId="13" fillId="2" borderId="3" xfId="5" applyNumberFormat="1" applyFont="1" applyFill="1" applyBorder="1"/>
    <xf numFmtId="170" fontId="13" fillId="2" borderId="3" xfId="5" applyNumberFormat="1" applyFont="1" applyFill="1" applyBorder="1" applyAlignment="1">
      <alignment horizontal="center"/>
    </xf>
    <xf numFmtId="171" fontId="13" fillId="2" borderId="3" xfId="5" applyNumberFormat="1" applyFont="1" applyFill="1" applyBorder="1"/>
    <xf numFmtId="1" fontId="39" fillId="4" borderId="3" xfId="5" applyNumberFormat="1" applyFont="1" applyFill="1" applyBorder="1"/>
    <xf numFmtId="1" fontId="12" fillId="3" borderId="3" xfId="0" applyNumberFormat="1" applyFont="1" applyFill="1" applyBorder="1"/>
    <xf numFmtId="1" fontId="12" fillId="3" borderId="0" xfId="0" applyNumberFormat="1" applyFont="1" applyFill="1"/>
    <xf numFmtId="1" fontId="13" fillId="3" borderId="6" xfId="0" applyNumberFormat="1" applyFont="1" applyFill="1" applyBorder="1"/>
    <xf numFmtId="1" fontId="13" fillId="5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2" fillId="0" borderId="0" xfId="0" applyNumberFormat="1" applyFont="1"/>
    <xf numFmtId="1" fontId="13" fillId="2" borderId="11" xfId="0" applyNumberFormat="1" applyFont="1" applyFill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/>
    </xf>
    <xf numFmtId="2" fontId="40" fillId="0" borderId="6" xfId="0" applyNumberFormat="1" applyFont="1" applyBorder="1"/>
    <xf numFmtId="1" fontId="13" fillId="0" borderId="8" xfId="0" applyNumberFormat="1" applyFont="1" applyBorder="1" applyAlignment="1">
      <alignment horizontal="center"/>
    </xf>
    <xf numFmtId="174" fontId="40" fillId="0" borderId="8" xfId="0" applyNumberFormat="1" applyFont="1" applyBorder="1"/>
    <xf numFmtId="1" fontId="13" fillId="0" borderId="3" xfId="0" applyNumberFormat="1" applyFont="1" applyBorder="1" applyAlignment="1">
      <alignment horizontal="center"/>
    </xf>
    <xf numFmtId="1" fontId="40" fillId="0" borderId="3" xfId="0" applyNumberFormat="1" applyFont="1" applyBorder="1"/>
    <xf numFmtId="1" fontId="13" fillId="3" borderId="6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" fontId="12" fillId="2" borderId="10" xfId="0" applyNumberFormat="1" applyFont="1" applyFill="1" applyBorder="1" applyAlignment="1">
      <alignment horizontal="left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39" fillId="4" borderId="8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/>
    <xf numFmtId="1" fontId="41" fillId="2" borderId="3" xfId="0" applyNumberFormat="1" applyFont="1" applyFill="1" applyBorder="1"/>
    <xf numFmtId="1" fontId="12" fillId="2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1" fontId="13" fillId="3" borderId="8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vertical="center"/>
    </xf>
    <xf numFmtId="1" fontId="12" fillId="2" borderId="5" xfId="0" applyNumberFormat="1" applyFont="1" applyFill="1" applyBorder="1"/>
    <xf numFmtId="1" fontId="12" fillId="2" borderId="3" xfId="0" quotePrefix="1" applyNumberFormat="1" applyFont="1" applyFill="1" applyBorder="1" applyAlignment="1">
      <alignment horizontal="center" vertical="center"/>
    </xf>
    <xf numFmtId="1" fontId="12" fillId="3" borderId="8" xfId="0" applyNumberFormat="1" applyFont="1" applyFill="1" applyBorder="1"/>
    <xf numFmtId="1" fontId="12" fillId="2" borderId="5" xfId="0" quotePrefix="1" applyNumberFormat="1" applyFont="1" applyFill="1" applyBorder="1" applyAlignment="1">
      <alignment horizontal="center" vertical="center"/>
    </xf>
    <xf numFmtId="0" fontId="12" fillId="2" borderId="5" xfId="0" quotePrefix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1" fontId="12" fillId="2" borderId="8" xfId="0" applyNumberFormat="1" applyFont="1" applyFill="1" applyBorder="1"/>
    <xf numFmtId="1" fontId="41" fillId="2" borderId="8" xfId="0" applyNumberFormat="1" applyFont="1" applyFill="1" applyBorder="1"/>
    <xf numFmtId="0" fontId="12" fillId="2" borderId="3" xfId="0" quotePrefix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 vertical="center" wrapText="1"/>
    </xf>
    <xf numFmtId="1" fontId="12" fillId="5" borderId="5" xfId="0" applyNumberFormat="1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left" vertical="center" wrapText="1"/>
    </xf>
    <xf numFmtId="1" fontId="12" fillId="2" borderId="5" xfId="0" applyNumberFormat="1" applyFont="1" applyFill="1" applyBorder="1" applyAlignment="1">
      <alignment vertical="center"/>
    </xf>
    <xf numFmtId="1" fontId="12" fillId="2" borderId="12" xfId="0" applyNumberFormat="1" applyFont="1" applyFill="1" applyBorder="1" applyAlignment="1">
      <alignment horizontal="left" vertical="center"/>
    </xf>
    <xf numFmtId="1" fontId="12" fillId="2" borderId="10" xfId="0" applyNumberFormat="1" applyFont="1" applyFill="1" applyBorder="1" applyAlignment="1">
      <alignment horizontal="center" vertical="center" wrapText="1"/>
    </xf>
    <xf numFmtId="1" fontId="12" fillId="2" borderId="12" xfId="0" applyNumberFormat="1" applyFont="1" applyFill="1" applyBorder="1" applyAlignment="1">
      <alignment horizontal="center" vertical="center" wrapText="1"/>
    </xf>
    <xf numFmtId="1" fontId="41" fillId="2" borderId="0" xfId="0" applyNumberFormat="1" applyFont="1" applyFill="1"/>
    <xf numFmtId="1" fontId="12" fillId="2" borderId="9" xfId="0" applyNumberFormat="1" applyFont="1" applyFill="1" applyBorder="1"/>
    <xf numFmtId="1" fontId="12" fillId="0" borderId="0" xfId="0" applyNumberFormat="1" applyFont="1" applyAlignment="1">
      <alignment horizontal="center"/>
    </xf>
    <xf numFmtId="1" fontId="41" fillId="0" borderId="0" xfId="0" applyNumberFormat="1" applyFont="1"/>
    <xf numFmtId="1" fontId="17" fillId="2" borderId="3" xfId="0" applyNumberFormat="1" applyFont="1" applyFill="1" applyBorder="1" applyAlignment="1">
      <alignment horizontal="center"/>
    </xf>
    <xf numFmtId="170" fontId="18" fillId="3" borderId="3" xfId="5" applyNumberFormat="1" applyFont="1" applyFill="1" applyBorder="1"/>
    <xf numFmtId="170" fontId="18" fillId="2" borderId="14" xfId="5" applyNumberFormat="1" applyFont="1" applyFill="1" applyBorder="1"/>
    <xf numFmtId="170" fontId="18" fillId="2" borderId="0" xfId="5" applyNumberFormat="1" applyFont="1" applyFill="1"/>
    <xf numFmtId="1" fontId="13" fillId="0" borderId="5" xfId="0" applyNumberFormat="1" applyFont="1" applyBorder="1" applyAlignment="1">
      <alignment wrapText="1"/>
    </xf>
    <xf numFmtId="1" fontId="13" fillId="0" borderId="5" xfId="5" applyNumberFormat="1" applyFont="1" applyFill="1" applyBorder="1" applyAlignment="1">
      <alignment vertical="center"/>
    </xf>
    <xf numFmtId="1" fontId="12" fillId="2" borderId="3" xfId="0" applyNumberFormat="1" applyFont="1" applyFill="1" applyBorder="1" applyAlignment="1">
      <alignment horizontal="left" vertical="center"/>
    </xf>
    <xf numFmtId="1" fontId="12" fillId="2" borderId="8" xfId="0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left" vertical="center" wrapText="1"/>
    </xf>
    <xf numFmtId="1" fontId="12" fillId="2" borderId="8" xfId="0" quotePrefix="1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3" xfId="0" applyNumberFormat="1" applyFont="1" applyFill="1" applyBorder="1" applyAlignment="1">
      <alignment horizontal="center" vertical="center"/>
    </xf>
    <xf numFmtId="1" fontId="40" fillId="6" borderId="6" xfId="0" applyNumberFormat="1" applyFont="1" applyFill="1" applyBorder="1" applyAlignment="1">
      <alignment horizontal="center" vertical="center" wrapText="1"/>
    </xf>
    <xf numFmtId="1" fontId="39" fillId="0" borderId="0" xfId="5" applyNumberFormat="1" applyFont="1" applyFill="1" applyBorder="1"/>
    <xf numFmtId="1" fontId="2" fillId="2" borderId="0" xfId="0" applyNumberFormat="1" applyFont="1" applyFill="1" applyAlignment="1">
      <alignment vertical="center"/>
    </xf>
    <xf numFmtId="1" fontId="16" fillId="0" borderId="3" xfId="0" applyNumberFormat="1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1" fontId="18" fillId="0" borderId="10" xfId="0" applyNumberFormat="1" applyFont="1" applyBorder="1"/>
    <xf numFmtId="1" fontId="17" fillId="2" borderId="33" xfId="0" applyNumberFormat="1" applyFont="1" applyFill="1" applyBorder="1" applyAlignment="1">
      <alignment horizontal="center" vertical="center"/>
    </xf>
    <xf numFmtId="1" fontId="14" fillId="5" borderId="3" xfId="0" applyNumberFormat="1" applyFon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/>
    </xf>
    <xf numFmtId="1" fontId="13" fillId="5" borderId="3" xfId="0" applyNumberFormat="1" applyFont="1" applyFill="1" applyBorder="1" applyAlignment="1">
      <alignment horizontal="center" vertical="center"/>
    </xf>
    <xf numFmtId="1" fontId="0" fillId="2" borderId="3" xfId="0" applyNumberFormat="1" applyFill="1" applyBorder="1"/>
    <xf numFmtId="1" fontId="16" fillId="2" borderId="33" xfId="0" applyNumberFormat="1" applyFont="1" applyFill="1" applyBorder="1" applyAlignment="1">
      <alignment horizontal="left" vertical="center" wrapText="1"/>
    </xf>
    <xf numFmtId="1" fontId="16" fillId="2" borderId="33" xfId="0" applyNumberFormat="1" applyFont="1" applyFill="1" applyBorder="1" applyAlignment="1">
      <alignment horizontal="center" vertical="center" wrapText="1"/>
    </xf>
    <xf numFmtId="1" fontId="23" fillId="5" borderId="3" xfId="0" applyNumberFormat="1" applyFont="1" applyFill="1" applyBorder="1" applyAlignment="1">
      <alignment horizontal="center" vertical="center"/>
    </xf>
    <xf numFmtId="1" fontId="17" fillId="5" borderId="3" xfId="0" applyNumberFormat="1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/>
    </xf>
    <xf numFmtId="1" fontId="16" fillId="2" borderId="3" xfId="0" applyNumberFormat="1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171" fontId="21" fillId="6" borderId="3" xfId="2" applyNumberFormat="1" applyFont="1" applyFill="1" applyBorder="1" applyAlignment="1">
      <alignment horizontal="center" vertical="center" wrapText="1"/>
    </xf>
    <xf numFmtId="1" fontId="26" fillId="6" borderId="3" xfId="0" applyNumberFormat="1" applyFont="1" applyFill="1" applyBorder="1" applyAlignment="1">
      <alignment horizontal="center" vertical="center" wrapText="1"/>
    </xf>
    <xf numFmtId="3" fontId="21" fillId="6" borderId="3" xfId="0" applyNumberFormat="1" applyFont="1" applyFill="1" applyBorder="1" applyAlignment="1">
      <alignment horizontal="center" vertical="center" wrapText="1"/>
    </xf>
    <xf numFmtId="3" fontId="13" fillId="6" borderId="3" xfId="0" applyNumberFormat="1" applyFont="1" applyFill="1" applyBorder="1" applyAlignment="1">
      <alignment horizontal="center" vertical="center" wrapText="1"/>
    </xf>
    <xf numFmtId="173" fontId="3" fillId="5" borderId="13" xfId="0" applyNumberFormat="1" applyFont="1" applyFill="1" applyBorder="1" applyAlignment="1">
      <alignment horizontal="center" vertical="center" shrinkToFit="1"/>
    </xf>
    <xf numFmtId="3" fontId="14" fillId="5" borderId="13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" fontId="16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71" fontId="15" fillId="5" borderId="0" xfId="2" applyNumberFormat="1" applyFont="1" applyFill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3" fontId="13" fillId="5" borderId="0" xfId="0" applyNumberFormat="1" applyFont="1" applyFill="1" applyAlignment="1">
      <alignment horizontal="center" vertical="center"/>
    </xf>
    <xf numFmtId="0" fontId="21" fillId="5" borderId="32" xfId="2" applyNumberFormat="1" applyFont="1" applyFill="1" applyBorder="1" applyAlignment="1">
      <alignment horizontal="center" vertical="center"/>
    </xf>
    <xf numFmtId="3" fontId="22" fillId="5" borderId="10" xfId="2" applyNumberFormat="1" applyFont="1" applyFill="1" applyBorder="1" applyAlignment="1">
      <alignment horizontal="center" vertical="center"/>
    </xf>
    <xf numFmtId="3" fontId="22" fillId="5" borderId="10" xfId="28" applyNumberFormat="1" applyFont="1" applyFill="1" applyBorder="1" applyAlignment="1">
      <alignment horizontal="center" vertical="center"/>
    </xf>
    <xf numFmtId="3" fontId="22" fillId="5" borderId="13" xfId="28" applyNumberFormat="1" applyFont="1" applyFill="1" applyBorder="1" applyAlignment="1">
      <alignment horizontal="center" vertical="center"/>
    </xf>
    <xf numFmtId="3" fontId="37" fillId="5" borderId="10" xfId="2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" fontId="14" fillId="5" borderId="13" xfId="2" applyNumberFormat="1" applyFont="1" applyFill="1" applyBorder="1" applyAlignment="1">
      <alignment horizontal="center" vertical="center"/>
    </xf>
    <xf numFmtId="3" fontId="22" fillId="5" borderId="13" xfId="2" applyNumberFormat="1" applyFont="1" applyFill="1" applyBorder="1" applyAlignment="1">
      <alignment horizontal="center" vertical="center"/>
    </xf>
    <xf numFmtId="3" fontId="18" fillId="0" borderId="13" xfId="28" applyNumberFormat="1" applyFont="1" applyFill="1" applyBorder="1" applyAlignment="1">
      <alignment horizontal="center" vertical="center"/>
    </xf>
    <xf numFmtId="3" fontId="14" fillId="5" borderId="13" xfId="0" applyNumberFormat="1" applyFont="1" applyFill="1" applyBorder="1" applyAlignment="1">
      <alignment horizontal="center" vertical="center"/>
    </xf>
    <xf numFmtId="0" fontId="5" fillId="5" borderId="0" xfId="3" applyNumberFormat="1" applyFont="1" applyFill="1" applyAlignment="1">
      <alignment horizontal="center" vertical="center"/>
    </xf>
    <xf numFmtId="0" fontId="4" fillId="5" borderId="0" xfId="3" applyNumberFormat="1" applyFont="1" applyFill="1" applyAlignment="1">
      <alignment horizontal="center" vertical="center"/>
    </xf>
    <xf numFmtId="0" fontId="32" fillId="5" borderId="0" xfId="3" applyNumberFormat="1" applyFont="1" applyFill="1" applyAlignment="1">
      <alignment horizontal="center" vertical="center"/>
    </xf>
    <xf numFmtId="3" fontId="13" fillId="5" borderId="0" xfId="3" applyNumberFormat="1" applyFont="1" applyFill="1" applyAlignment="1">
      <alignment horizontal="center" vertical="center"/>
    </xf>
    <xf numFmtId="3" fontId="13" fillId="5" borderId="0" xfId="2" applyNumberFormat="1" applyFont="1" applyFill="1" applyAlignment="1">
      <alignment horizontal="center" vertical="center"/>
    </xf>
    <xf numFmtId="3" fontId="26" fillId="5" borderId="0" xfId="3" applyNumberFormat="1" applyFont="1" applyFill="1" applyBorder="1" applyAlignment="1">
      <alignment horizontal="center" vertical="center"/>
    </xf>
    <xf numFmtId="3" fontId="13" fillId="5" borderId="0" xfId="3" applyNumberFormat="1" applyFont="1" applyFill="1" applyBorder="1" applyAlignment="1">
      <alignment horizontal="center" vertical="center"/>
    </xf>
    <xf numFmtId="3" fontId="13" fillId="5" borderId="0" xfId="2" applyNumberFormat="1" applyFont="1" applyFill="1" applyBorder="1" applyAlignment="1">
      <alignment horizontal="center" vertical="center"/>
    </xf>
    <xf numFmtId="171" fontId="16" fillId="5" borderId="0" xfId="2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center" vertical="center"/>
    </xf>
    <xf numFmtId="3" fontId="21" fillId="5" borderId="32" xfId="0" applyNumberFormat="1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171" fontId="16" fillId="5" borderId="3" xfId="2" applyNumberFormat="1" applyFont="1" applyFill="1" applyBorder="1" applyAlignment="1">
      <alignment horizontal="center" vertical="center"/>
    </xf>
    <xf numFmtId="3" fontId="16" fillId="5" borderId="3" xfId="0" applyNumberFormat="1" applyFont="1" applyFill="1" applyBorder="1" applyAlignment="1">
      <alignment horizontal="center" vertical="center"/>
    </xf>
    <xf numFmtId="3" fontId="13" fillId="5" borderId="3" xfId="0" applyNumberFormat="1" applyFont="1" applyFill="1" applyBorder="1" applyAlignment="1">
      <alignment horizontal="center" vertical="center"/>
    </xf>
    <xf numFmtId="4" fontId="16" fillId="5" borderId="0" xfId="0" applyNumberFormat="1" applyFont="1" applyFill="1" applyAlignment="1">
      <alignment horizontal="center" vertical="center"/>
    </xf>
    <xf numFmtId="1" fontId="22" fillId="5" borderId="13" xfId="0" applyNumberFormat="1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171" fontId="16" fillId="5" borderId="0" xfId="2" applyNumberFormat="1" applyFont="1" applyFill="1" applyBorder="1" applyAlignment="1">
      <alignment horizontal="center" vertical="center"/>
    </xf>
    <xf numFmtId="3" fontId="26" fillId="5" borderId="0" xfId="0" applyNumberFormat="1" applyFont="1" applyFill="1" applyAlignment="1">
      <alignment horizontal="center" vertical="center"/>
    </xf>
    <xf numFmtId="171" fontId="4" fillId="5" borderId="0" xfId="2" applyNumberFormat="1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5" borderId="0" xfId="3" applyNumberFormat="1" applyFont="1" applyFill="1" applyBorder="1" applyAlignment="1">
      <alignment horizontal="center" vertical="center"/>
    </xf>
    <xf numFmtId="3" fontId="17" fillId="5" borderId="0" xfId="2" applyNumberFormat="1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3" fontId="21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1" fontId="14" fillId="5" borderId="0" xfId="2" applyNumberFormat="1" applyFont="1" applyFill="1" applyBorder="1" applyAlignment="1">
      <alignment horizontal="center" vertical="center"/>
    </xf>
    <xf numFmtId="3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3" xfId="0" applyFont="1" applyFill="1" applyBorder="1" applyAlignment="1">
      <alignment horizontal="left" vertical="center"/>
    </xf>
    <xf numFmtId="0" fontId="5" fillId="5" borderId="0" xfId="3" applyNumberFormat="1" applyFont="1" applyFill="1" applyAlignment="1">
      <alignment horizontal="left" vertical="center"/>
    </xf>
    <xf numFmtId="0" fontId="32" fillId="5" borderId="0" xfId="3" applyNumberFormat="1" applyFont="1" applyFill="1" applyAlignment="1">
      <alignment horizontal="left" vertical="center"/>
    </xf>
    <xf numFmtId="4" fontId="16" fillId="5" borderId="12" xfId="0" applyNumberFormat="1" applyFont="1" applyFill="1" applyBorder="1" applyAlignment="1">
      <alignment horizontal="center" vertical="center"/>
    </xf>
    <xf numFmtId="2" fontId="16" fillId="5" borderId="12" xfId="0" applyNumberFormat="1" applyFont="1" applyFill="1" applyBorder="1" applyAlignment="1">
      <alignment horizontal="center" vertical="center"/>
    </xf>
    <xf numFmtId="173" fontId="16" fillId="5" borderId="12" xfId="0" applyNumberFormat="1" applyFont="1" applyFill="1" applyBorder="1" applyAlignment="1">
      <alignment horizontal="center" vertical="center"/>
    </xf>
    <xf numFmtId="14" fontId="16" fillId="5" borderId="12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 applyProtection="1">
      <alignment horizontal="center" vertical="center" wrapText="1"/>
      <protection locked="0"/>
    </xf>
    <xf numFmtId="0" fontId="12" fillId="5" borderId="3" xfId="0" applyFont="1" applyFill="1" applyBorder="1" applyAlignment="1">
      <alignment horizontal="center" vertical="center" wrapText="1"/>
    </xf>
    <xf numFmtId="4" fontId="16" fillId="5" borderId="3" xfId="0" applyNumberFormat="1" applyFont="1" applyFill="1" applyBorder="1" applyAlignment="1">
      <alignment horizontal="center" vertical="center"/>
    </xf>
    <xf numFmtId="4" fontId="16" fillId="5" borderId="3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71" fontId="12" fillId="5" borderId="0" xfId="2" applyNumberFormat="1" applyFont="1" applyFill="1" applyAlignment="1">
      <alignment horizontal="center" vertical="center"/>
    </xf>
    <xf numFmtId="2" fontId="16" fillId="5" borderId="0" xfId="0" applyNumberFormat="1" applyFont="1" applyFill="1" applyAlignment="1">
      <alignment horizontal="center" vertical="center"/>
    </xf>
    <xf numFmtId="0" fontId="16" fillId="5" borderId="36" xfId="0" applyFont="1" applyFill="1" applyBorder="1" applyAlignment="1">
      <alignment horizontal="center" vertical="center"/>
    </xf>
    <xf numFmtId="0" fontId="34" fillId="5" borderId="0" xfId="2" applyNumberFormat="1" applyFont="1" applyFill="1" applyBorder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0" fontId="33" fillId="5" borderId="0" xfId="3" applyNumberFormat="1" applyFont="1" applyFill="1" applyAlignment="1">
      <alignment horizontal="left" vertical="center"/>
    </xf>
    <xf numFmtId="0" fontId="33" fillId="5" borderId="0" xfId="3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17" fillId="5" borderId="0" xfId="3" applyNumberFormat="1" applyFont="1" applyFill="1" applyAlignment="1">
      <alignment horizontal="center" vertical="center"/>
    </xf>
    <xf numFmtId="3" fontId="18" fillId="5" borderId="0" xfId="0" applyNumberFormat="1" applyFont="1" applyFill="1" applyAlignment="1">
      <alignment horizontal="center" vertical="center"/>
    </xf>
    <xf numFmtId="0" fontId="42" fillId="5" borderId="0" xfId="0" applyFont="1" applyFill="1" applyAlignment="1">
      <alignment horizontal="center" vertical="center"/>
    </xf>
    <xf numFmtId="4" fontId="18" fillId="5" borderId="0" xfId="0" applyNumberFormat="1" applyFont="1" applyFill="1" applyAlignment="1">
      <alignment horizontal="center" vertical="center"/>
    </xf>
    <xf numFmtId="0" fontId="33" fillId="5" borderId="34" xfId="3" applyNumberFormat="1" applyFont="1" applyFill="1" applyBorder="1" applyAlignment="1">
      <alignment horizontal="left" vertical="center"/>
    </xf>
    <xf numFmtId="0" fontId="33" fillId="5" borderId="34" xfId="3" applyNumberFormat="1" applyFont="1" applyFill="1" applyBorder="1" applyAlignment="1">
      <alignment horizontal="center" vertical="center"/>
    </xf>
    <xf numFmtId="3" fontId="17" fillId="5" borderId="34" xfId="3" applyNumberFormat="1" applyFont="1" applyFill="1" applyBorder="1" applyAlignment="1">
      <alignment horizontal="center" vertical="center"/>
    </xf>
    <xf numFmtId="3" fontId="17" fillId="5" borderId="34" xfId="2" applyNumberFormat="1" applyFont="1" applyFill="1" applyBorder="1" applyAlignment="1">
      <alignment horizontal="center" vertical="center"/>
    </xf>
    <xf numFmtId="2" fontId="18" fillId="5" borderId="0" xfId="0" applyNumberFormat="1" applyFont="1" applyFill="1" applyAlignment="1">
      <alignment horizontal="center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center" vertical="center"/>
    </xf>
    <xf numFmtId="0" fontId="33" fillId="5" borderId="0" xfId="3" applyNumberFormat="1" applyFont="1" applyFill="1" applyBorder="1" applyAlignment="1">
      <alignment horizontal="center" vertical="center"/>
    </xf>
    <xf numFmtId="3" fontId="17" fillId="5" borderId="35" xfId="3" applyNumberFormat="1" applyFont="1" applyFill="1" applyBorder="1" applyAlignment="1">
      <alignment horizontal="center" vertical="center"/>
    </xf>
    <xf numFmtId="3" fontId="17" fillId="5" borderId="35" xfId="2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3" fontId="17" fillId="5" borderId="0" xfId="3" applyNumberFormat="1" applyFont="1" applyFill="1" applyBorder="1" applyAlignment="1">
      <alignment horizontal="center" vertical="center"/>
    </xf>
    <xf numFmtId="172" fontId="17" fillId="5" borderId="0" xfId="3" applyNumberFormat="1" applyFont="1" applyFill="1" applyBorder="1" applyAlignment="1">
      <alignment horizontal="center" vertical="center"/>
    </xf>
    <xf numFmtId="3" fontId="17" fillId="5" borderId="0" xfId="2" applyNumberFormat="1" applyFont="1" applyFill="1" applyBorder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0" fontId="17" fillId="5" borderId="34" xfId="3" applyNumberFormat="1" applyFont="1" applyFill="1" applyBorder="1" applyAlignment="1">
      <alignment horizontal="center" vertical="center"/>
    </xf>
    <xf numFmtId="0" fontId="42" fillId="5" borderId="34" xfId="0" applyFont="1" applyFill="1" applyBorder="1" applyAlignment="1">
      <alignment horizontal="center" vertical="center"/>
    </xf>
    <xf numFmtId="1" fontId="13" fillId="3" borderId="8" xfId="0" applyNumberFormat="1" applyFont="1" applyFill="1" applyBorder="1"/>
    <xf numFmtId="170" fontId="19" fillId="3" borderId="3" xfId="5" applyNumberFormat="1" applyFont="1" applyFill="1" applyBorder="1"/>
    <xf numFmtId="1" fontId="19" fillId="0" borderId="3" xfId="0" applyNumberFormat="1" applyFont="1" applyBorder="1" applyAlignment="1">
      <alignment horizontal="center" vertical="center"/>
    </xf>
    <xf numFmtId="1" fontId="19" fillId="2" borderId="3" xfId="0" applyNumberFormat="1" applyFont="1" applyFill="1" applyBorder="1" applyAlignment="1">
      <alignment horizontal="center" vertical="center"/>
    </xf>
    <xf numFmtId="1" fontId="43" fillId="2" borderId="3" xfId="0" applyNumberFormat="1" applyFont="1" applyFill="1" applyBorder="1" applyAlignment="1">
      <alignment horizontal="center" vertical="center"/>
    </xf>
    <xf numFmtId="1" fontId="19" fillId="2" borderId="3" xfId="0" applyNumberFormat="1" applyFont="1" applyFill="1" applyBorder="1"/>
    <xf numFmtId="1" fontId="43" fillId="2" borderId="3" xfId="0" applyNumberFormat="1" applyFont="1" applyFill="1" applyBorder="1"/>
    <xf numFmtId="1" fontId="19" fillId="2" borderId="5" xfId="0" applyNumberFormat="1" applyFont="1" applyFill="1" applyBorder="1"/>
    <xf numFmtId="1" fontId="19" fillId="2" borderId="0" xfId="0" applyNumberFormat="1" applyFont="1" applyFill="1"/>
    <xf numFmtId="1" fontId="19" fillId="2" borderId="8" xfId="0" applyNumberFormat="1" applyFont="1" applyFill="1" applyBorder="1"/>
    <xf numFmtId="1" fontId="43" fillId="2" borderId="8" xfId="0" applyNumberFormat="1" applyFont="1" applyFill="1" applyBorder="1"/>
    <xf numFmtId="1" fontId="43" fillId="2" borderId="5" xfId="0" applyNumberFormat="1" applyFont="1" applyFill="1" applyBorder="1"/>
    <xf numFmtId="1" fontId="13" fillId="3" borderId="8" xfId="0" applyNumberFormat="1" applyFont="1" applyFill="1" applyBorder="1" applyAlignment="1">
      <alignment horizontal="center" vertical="center" wrapText="1"/>
    </xf>
    <xf numFmtId="171" fontId="26" fillId="6" borderId="3" xfId="2" applyNumberFormat="1" applyFont="1" applyFill="1" applyBorder="1" applyAlignment="1">
      <alignment horizontal="center" vertical="center" wrapText="1"/>
    </xf>
    <xf numFmtId="0" fontId="16" fillId="5" borderId="8" xfId="0" applyFont="1" applyFill="1" applyBorder="1" applyAlignment="1">
      <alignment horizontal="center" vertical="center"/>
    </xf>
    <xf numFmtId="3" fontId="33" fillId="5" borderId="0" xfId="3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 wrapText="1"/>
    </xf>
    <xf numFmtId="170" fontId="16" fillId="5" borderId="0" xfId="2" applyNumberFormat="1" applyFont="1" applyFill="1"/>
    <xf numFmtId="170" fontId="25" fillId="5" borderId="0" xfId="2" applyNumberFormat="1" applyFont="1" applyFill="1"/>
    <xf numFmtId="1" fontId="13" fillId="3" borderId="30" xfId="0" applyNumberFormat="1" applyFont="1" applyFill="1" applyBorder="1" applyAlignment="1">
      <alignment horizontal="center" vertical="center" wrapText="1"/>
    </xf>
    <xf numFmtId="1" fontId="17" fillId="2" borderId="12" xfId="0" applyNumberFormat="1" applyFont="1" applyFill="1" applyBorder="1" applyAlignment="1">
      <alignment horizontal="center" vertical="center"/>
    </xf>
    <xf numFmtId="1" fontId="13" fillId="2" borderId="12" xfId="0" applyNumberFormat="1" applyFont="1" applyFill="1" applyBorder="1" applyAlignment="1">
      <alignment horizontal="center" vertical="center"/>
    </xf>
    <xf numFmtId="1" fontId="13" fillId="3" borderId="3" xfId="0" applyNumberFormat="1" applyFont="1" applyFill="1" applyBorder="1" applyAlignment="1">
      <alignment horizontal="center" vertical="center"/>
    </xf>
    <xf numFmtId="1" fontId="16" fillId="5" borderId="53" xfId="0" applyNumberFormat="1" applyFont="1" applyFill="1" applyBorder="1" applyAlignment="1">
      <alignment horizontal="center" vertical="center" wrapText="1"/>
    </xf>
    <xf numFmtId="0" fontId="46" fillId="5" borderId="0" xfId="0" applyFont="1" applyFill="1"/>
    <xf numFmtId="171" fontId="46" fillId="5" borderId="0" xfId="2" applyNumberFormat="1" applyFont="1" applyFill="1"/>
    <xf numFmtId="170" fontId="47" fillId="5" borderId="0" xfId="2" applyNumberFormat="1" applyFont="1" applyFill="1"/>
    <xf numFmtId="0" fontId="47" fillId="5" borderId="0" xfId="0" applyFont="1" applyFill="1"/>
    <xf numFmtId="2" fontId="47" fillId="5" borderId="0" xfId="0" applyNumberFormat="1" applyFont="1" applyFill="1"/>
    <xf numFmtId="0" fontId="48" fillId="5" borderId="0" xfId="0" applyFont="1" applyFill="1"/>
    <xf numFmtId="171" fontId="48" fillId="5" borderId="0" xfId="2" applyNumberFormat="1" applyFont="1" applyFill="1"/>
    <xf numFmtId="0" fontId="49" fillId="5" borderId="0" xfId="0" applyFont="1" applyFill="1" applyAlignment="1">
      <alignment horizontal="center"/>
    </xf>
    <xf numFmtId="171" fontId="50" fillId="5" borderId="0" xfId="2" applyNumberFormat="1" applyFont="1" applyFill="1"/>
    <xf numFmtId="3" fontId="48" fillId="5" borderId="0" xfId="0" applyNumberFormat="1" applyFont="1" applyFill="1"/>
    <xf numFmtId="171" fontId="51" fillId="5" borderId="0" xfId="0" applyNumberFormat="1" applyFont="1" applyFill="1"/>
    <xf numFmtId="3" fontId="48" fillId="5" borderId="0" xfId="2" applyNumberFormat="1" applyFont="1" applyFill="1"/>
    <xf numFmtId="170" fontId="48" fillId="5" borderId="0" xfId="2" applyNumberFormat="1" applyFont="1" applyFill="1"/>
    <xf numFmtId="0" fontId="52" fillId="5" borderId="3" xfId="0" applyFont="1" applyFill="1" applyBorder="1" applyAlignment="1">
      <alignment horizontal="center" vertical="center" wrapText="1"/>
    </xf>
    <xf numFmtId="0" fontId="52" fillId="5" borderId="8" xfId="0" applyFont="1" applyFill="1" applyBorder="1" applyAlignment="1">
      <alignment horizontal="center" vertical="center" wrapText="1"/>
    </xf>
    <xf numFmtId="171" fontId="53" fillId="5" borderId="8" xfId="5" applyNumberFormat="1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vertical="center" wrapText="1"/>
    </xf>
    <xf numFmtId="0" fontId="54" fillId="5" borderId="8" xfId="36" applyFont="1" applyFill="1" applyBorder="1" applyAlignment="1">
      <alignment horizontal="center" vertical="center" wrapText="1"/>
    </xf>
    <xf numFmtId="171" fontId="54" fillId="5" borderId="8" xfId="37" applyNumberFormat="1" applyFont="1" applyFill="1" applyBorder="1" applyAlignment="1">
      <alignment horizontal="center" vertical="center" wrapText="1"/>
    </xf>
    <xf numFmtId="170" fontId="54" fillId="5" borderId="8" xfId="2" applyNumberFormat="1" applyFont="1" applyFill="1" applyBorder="1" applyAlignment="1">
      <alignment horizontal="center" vertical="center" wrapText="1"/>
    </xf>
    <xf numFmtId="0" fontId="54" fillId="6" borderId="8" xfId="36" applyFont="1" applyFill="1" applyBorder="1" applyAlignment="1">
      <alignment horizontal="center" vertical="center" wrapText="1"/>
    </xf>
    <xf numFmtId="171" fontId="54" fillId="7" borderId="8" xfId="37" applyNumberFormat="1" applyFont="1" applyFill="1" applyBorder="1" applyAlignment="1">
      <alignment horizontal="center" vertical="center" wrapText="1"/>
    </xf>
    <xf numFmtId="0" fontId="54" fillId="7" borderId="8" xfId="36" applyFont="1" applyFill="1" applyBorder="1" applyAlignment="1">
      <alignment horizontal="center" vertical="center" wrapText="1"/>
    </xf>
    <xf numFmtId="171" fontId="54" fillId="7" borderId="8" xfId="32" applyNumberFormat="1" applyFont="1" applyFill="1" applyBorder="1" applyAlignment="1">
      <alignment horizontal="center" vertical="center" wrapText="1"/>
    </xf>
    <xf numFmtId="0" fontId="54" fillId="0" borderId="8" xfId="23" applyFont="1" applyBorder="1" applyAlignment="1">
      <alignment horizontal="center" vertical="center"/>
    </xf>
    <xf numFmtId="3" fontId="50" fillId="5" borderId="3" xfId="0" applyNumberFormat="1" applyFont="1" applyFill="1" applyBorder="1" applyAlignment="1">
      <alignment vertical="center" shrinkToFit="1"/>
    </xf>
    <xf numFmtId="0" fontId="50" fillId="5" borderId="3" xfId="0" applyFont="1" applyFill="1" applyBorder="1" applyAlignment="1">
      <alignment vertical="center" shrinkToFit="1"/>
    </xf>
    <xf numFmtId="173" fontId="50" fillId="5" borderId="3" xfId="0" applyNumberFormat="1" applyFont="1" applyFill="1" applyBorder="1" applyAlignment="1">
      <alignment vertical="center" shrinkToFit="1"/>
    </xf>
    <xf numFmtId="173" fontId="50" fillId="5" borderId="3" xfId="2" applyNumberFormat="1" applyFont="1" applyFill="1" applyBorder="1" applyAlignment="1">
      <alignment vertical="center" shrinkToFit="1"/>
    </xf>
    <xf numFmtId="3" fontId="50" fillId="5" borderId="3" xfId="5" applyNumberFormat="1" applyFont="1" applyFill="1" applyBorder="1" applyAlignment="1">
      <alignment vertical="center" shrinkToFit="1"/>
    </xf>
    <xf numFmtId="2" fontId="50" fillId="5" borderId="3" xfId="2" applyNumberFormat="1" applyFont="1" applyFill="1" applyBorder="1" applyAlignment="1">
      <alignment vertical="center" shrinkToFit="1"/>
    </xf>
    <xf numFmtId="171" fontId="50" fillId="5" borderId="3" xfId="2" applyNumberFormat="1" applyFont="1" applyFill="1" applyBorder="1" applyAlignment="1">
      <alignment vertical="center" shrinkToFit="1"/>
    </xf>
    <xf numFmtId="170" fontId="50" fillId="5" borderId="3" xfId="2" applyNumberFormat="1" applyFont="1" applyFill="1" applyBorder="1" applyAlignment="1">
      <alignment vertical="center" shrinkToFit="1"/>
    </xf>
    <xf numFmtId="170" fontId="47" fillId="6" borderId="3" xfId="2" applyNumberFormat="1" applyFont="1" applyFill="1" applyBorder="1"/>
    <xf numFmtId="0" fontId="47" fillId="6" borderId="3" xfId="0" applyFont="1" applyFill="1" applyBorder="1"/>
    <xf numFmtId="0" fontId="47" fillId="7" borderId="3" xfId="0" applyFont="1" applyFill="1" applyBorder="1"/>
    <xf numFmtId="2" fontId="47" fillId="7" borderId="3" xfId="0" applyNumberFormat="1" applyFont="1" applyFill="1" applyBorder="1"/>
    <xf numFmtId="0" fontId="47" fillId="0" borderId="3" xfId="23" applyFont="1" applyBorder="1"/>
    <xf numFmtId="4" fontId="50" fillId="5" borderId="3" xfId="0" applyNumberFormat="1" applyFont="1" applyFill="1" applyBorder="1" applyAlignment="1">
      <alignment vertical="center" shrinkToFit="1"/>
    </xf>
    <xf numFmtId="171" fontId="47" fillId="6" borderId="3" xfId="5" applyNumberFormat="1" applyFont="1" applyFill="1" applyBorder="1"/>
    <xf numFmtId="171" fontId="47" fillId="7" borderId="3" xfId="3" applyNumberFormat="1" applyFont="1" applyFill="1" applyBorder="1"/>
    <xf numFmtId="9" fontId="47" fillId="7" borderId="3" xfId="33" applyFont="1" applyFill="1" applyBorder="1"/>
    <xf numFmtId="3" fontId="47" fillId="0" borderId="3" xfId="23" applyNumberFormat="1" applyFont="1" applyBorder="1"/>
    <xf numFmtId="170" fontId="50" fillId="5" borderId="5" xfId="2" applyNumberFormat="1" applyFont="1" applyFill="1" applyBorder="1" applyAlignment="1">
      <alignment vertical="center" shrinkToFit="1"/>
    </xf>
    <xf numFmtId="3" fontId="50" fillId="5" borderId="8" xfId="0" applyNumberFormat="1" applyFont="1" applyFill="1" applyBorder="1" applyAlignment="1">
      <alignment vertical="center" shrinkToFit="1"/>
    </xf>
    <xf numFmtId="0" fontId="50" fillId="5" borderId="8" xfId="0" applyFont="1" applyFill="1" applyBorder="1" applyAlignment="1">
      <alignment vertical="center" shrinkToFit="1"/>
    </xf>
    <xf numFmtId="173" fontId="50" fillId="5" borderId="8" xfId="0" applyNumberFormat="1" applyFont="1" applyFill="1" applyBorder="1" applyAlignment="1">
      <alignment vertical="center" shrinkToFit="1"/>
    </xf>
    <xf numFmtId="173" fontId="50" fillId="5" borderId="8" xfId="2" applyNumberFormat="1" applyFont="1" applyFill="1" applyBorder="1" applyAlignment="1">
      <alignment vertical="center" shrinkToFit="1"/>
    </xf>
    <xf numFmtId="173" fontId="50" fillId="5" borderId="31" xfId="0" applyNumberFormat="1" applyFont="1" applyFill="1" applyBorder="1" applyAlignment="1">
      <alignment vertical="center" shrinkToFit="1"/>
    </xf>
    <xf numFmtId="2" fontId="50" fillId="5" borderId="8" xfId="2" applyNumberFormat="1" applyFont="1" applyFill="1" applyBorder="1" applyAlignment="1">
      <alignment vertical="center" shrinkToFit="1"/>
    </xf>
    <xf numFmtId="171" fontId="50" fillId="5" borderId="8" xfId="2" applyNumberFormat="1" applyFont="1" applyFill="1" applyBorder="1" applyAlignment="1">
      <alignment vertical="center" shrinkToFit="1"/>
    </xf>
    <xf numFmtId="171" fontId="47" fillId="5" borderId="0" xfId="0" applyNumberFormat="1" applyFont="1" applyFill="1"/>
    <xf numFmtId="1" fontId="47" fillId="5" borderId="0" xfId="0" applyNumberFormat="1" applyFont="1" applyFill="1"/>
    <xf numFmtId="0" fontId="50" fillId="5" borderId="5" xfId="0" applyFont="1" applyFill="1" applyBorder="1" applyAlignment="1">
      <alignment horizontal="center" vertical="center"/>
    </xf>
    <xf numFmtId="0" fontId="50" fillId="5" borderId="5" xfId="0" applyFont="1" applyFill="1" applyBorder="1" applyAlignment="1">
      <alignment horizontal="left" vertical="center" wrapText="1"/>
    </xf>
    <xf numFmtId="0" fontId="50" fillId="5" borderId="16" xfId="0" applyFont="1" applyFill="1" applyBorder="1" applyAlignment="1">
      <alignment vertical="center" shrinkToFit="1"/>
    </xf>
    <xf numFmtId="0" fontId="50" fillId="5" borderId="17" xfId="0" applyFont="1" applyFill="1" applyBorder="1" applyAlignment="1">
      <alignment vertical="center" shrinkToFit="1"/>
    </xf>
    <xf numFmtId="172" fontId="52" fillId="5" borderId="3" xfId="2" applyNumberFormat="1" applyFont="1" applyFill="1" applyBorder="1" applyAlignment="1">
      <alignment vertical="center" shrinkToFit="1"/>
    </xf>
    <xf numFmtId="3" fontId="52" fillId="5" borderId="3" xfId="2" applyNumberFormat="1" applyFont="1" applyFill="1" applyBorder="1" applyAlignment="1">
      <alignment vertical="center" shrinkToFit="1"/>
    </xf>
    <xf numFmtId="0" fontId="52" fillId="5" borderId="12" xfId="2" applyNumberFormat="1" applyFont="1" applyFill="1" applyBorder="1" applyAlignment="1">
      <alignment horizontal="center" vertical="center" shrinkToFit="1"/>
    </xf>
    <xf numFmtId="0" fontId="52" fillId="5" borderId="0" xfId="2" applyNumberFormat="1" applyFont="1" applyFill="1" applyAlignment="1">
      <alignment horizontal="center" vertical="center"/>
    </xf>
    <xf numFmtId="171" fontId="55" fillId="5" borderId="0" xfId="2" applyNumberFormat="1" applyFont="1" applyFill="1" applyAlignment="1">
      <alignment horizontal="center" vertical="center"/>
    </xf>
    <xf numFmtId="0" fontId="56" fillId="5" borderId="0" xfId="0" applyFont="1" applyFill="1"/>
    <xf numFmtId="0" fontId="52" fillId="5" borderId="0" xfId="0" applyFont="1" applyFill="1" applyAlignment="1">
      <alignment horizontal="center" vertical="center"/>
    </xf>
    <xf numFmtId="0" fontId="52" fillId="5" borderId="0" xfId="0" applyFont="1" applyFill="1" applyAlignment="1">
      <alignment horizontal="center" vertical="center" wrapText="1"/>
    </xf>
    <xf numFmtId="173" fontId="52" fillId="5" borderId="0" xfId="2" applyNumberFormat="1" applyFont="1" applyFill="1" applyBorder="1" applyAlignment="1">
      <alignment vertical="center" shrinkToFit="1"/>
    </xf>
    <xf numFmtId="171" fontId="52" fillId="5" borderId="0" xfId="2" applyNumberFormat="1" applyFont="1" applyFill="1" applyBorder="1" applyAlignment="1">
      <alignment vertical="center" shrinkToFit="1"/>
    </xf>
    <xf numFmtId="170" fontId="52" fillId="5" borderId="0" xfId="2" applyNumberFormat="1" applyFont="1" applyFill="1" applyBorder="1" applyAlignment="1">
      <alignment vertical="center" shrinkToFit="1"/>
    </xf>
    <xf numFmtId="0" fontId="47" fillId="5" borderId="0" xfId="2" applyNumberFormat="1" applyFont="1" applyFill="1" applyAlignment="1">
      <alignment horizontal="center" vertical="center"/>
    </xf>
    <xf numFmtId="0" fontId="57" fillId="5" borderId="0" xfId="0" applyFont="1" applyFill="1" applyAlignment="1">
      <alignment horizontal="right"/>
    </xf>
    <xf numFmtId="0" fontId="58" fillId="5" borderId="0" xfId="0" applyFont="1" applyFill="1"/>
    <xf numFmtId="171" fontId="50" fillId="5" borderId="0" xfId="2" applyNumberFormat="1" applyFont="1" applyFill="1" applyBorder="1" applyAlignment="1">
      <alignment vertical="center"/>
    </xf>
    <xf numFmtId="0" fontId="46" fillId="5" borderId="0" xfId="0" applyFont="1" applyFill="1" applyAlignment="1">
      <alignment horizontal="center" vertical="center"/>
    </xf>
    <xf numFmtId="0" fontId="5" fillId="0" borderId="0" xfId="1"/>
    <xf numFmtId="0" fontId="14" fillId="5" borderId="0" xfId="0" applyFont="1" applyFill="1" applyAlignment="1">
      <alignment horizontal="left" vertical="center"/>
    </xf>
    <xf numFmtId="2" fontId="59" fillId="6" borderId="3" xfId="0" applyNumberFormat="1" applyFont="1" applyFill="1" applyBorder="1" applyAlignment="1">
      <alignment horizontal="center" vertical="center" wrapText="1"/>
    </xf>
    <xf numFmtId="0" fontId="60" fillId="6" borderId="3" xfId="0" applyFont="1" applyFill="1" applyBorder="1" applyAlignment="1">
      <alignment horizontal="center" vertical="center" wrapText="1"/>
    </xf>
    <xf numFmtId="0" fontId="36" fillId="6" borderId="3" xfId="1" applyFont="1" applyFill="1" applyBorder="1" applyAlignment="1">
      <alignment horizontal="center" vertical="center" wrapText="1"/>
    </xf>
    <xf numFmtId="1" fontId="45" fillId="6" borderId="3" xfId="0" applyNumberFormat="1" applyFont="1" applyFill="1" applyBorder="1" applyAlignment="1">
      <alignment horizontal="center" vertical="center" wrapText="1"/>
    </xf>
    <xf numFmtId="1" fontId="13" fillId="6" borderId="8" xfId="0" applyNumberFormat="1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 vertical="center"/>
    </xf>
    <xf numFmtId="0" fontId="50" fillId="5" borderId="3" xfId="0" applyFont="1" applyFill="1" applyBorder="1" applyAlignment="1">
      <alignment horizontal="center" vertical="center" shrinkToFit="1"/>
    </xf>
    <xf numFmtId="14" fontId="50" fillId="2" borderId="3" xfId="0" applyNumberFormat="1" applyFont="1" applyFill="1" applyBorder="1"/>
    <xf numFmtId="0" fontId="50" fillId="0" borderId="3" xfId="1" applyFont="1" applyBorder="1"/>
    <xf numFmtId="0" fontId="53" fillId="5" borderId="8" xfId="0" applyFont="1" applyFill="1" applyBorder="1" applyAlignment="1">
      <alignment horizontal="center" vertical="center" wrapText="1"/>
    </xf>
    <xf numFmtId="0" fontId="53" fillId="5" borderId="53" xfId="0" applyFont="1" applyFill="1" applyBorder="1" applyAlignment="1">
      <alignment horizontal="center" vertical="center" wrapText="1"/>
    </xf>
    <xf numFmtId="0" fontId="46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47" fillId="8" borderId="8" xfId="23" applyFont="1" applyFill="1" applyBorder="1" applyAlignment="1">
      <alignment horizontal="center" vertical="center" wrapText="1"/>
    </xf>
    <xf numFmtId="0" fontId="47" fillId="8" borderId="12" xfId="23" applyFont="1" applyFill="1" applyBorder="1" applyAlignment="1">
      <alignment horizontal="center" vertical="center" wrapText="1"/>
    </xf>
    <xf numFmtId="170" fontId="47" fillId="6" borderId="8" xfId="2" applyNumberFormat="1" applyFont="1" applyFill="1" applyBorder="1" applyAlignment="1">
      <alignment horizontal="center" vertical="center"/>
    </xf>
    <xf numFmtId="170" fontId="47" fillId="6" borderId="53" xfId="2" applyNumberFormat="1" applyFont="1" applyFill="1" applyBorder="1" applyAlignment="1">
      <alignment horizontal="center" vertical="center"/>
    </xf>
    <xf numFmtId="0" fontId="47" fillId="6" borderId="8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2" fontId="47" fillId="7" borderId="8" xfId="0" applyNumberFormat="1" applyFont="1" applyFill="1" applyBorder="1" applyAlignment="1">
      <alignment horizontal="center" vertical="center"/>
    </xf>
    <xf numFmtId="2" fontId="47" fillId="7" borderId="53" xfId="0" applyNumberFormat="1" applyFont="1" applyFill="1" applyBorder="1" applyAlignment="1">
      <alignment horizontal="center" vertical="center"/>
    </xf>
    <xf numFmtId="0" fontId="52" fillId="5" borderId="30" xfId="0" applyFont="1" applyFill="1" applyBorder="1" applyAlignment="1">
      <alignment horizontal="center" vertical="center" wrapText="1"/>
    </xf>
    <xf numFmtId="0" fontId="52" fillId="5" borderId="31" xfId="0" applyFont="1" applyFill="1" applyBorder="1" applyAlignment="1">
      <alignment horizontal="center" vertical="center" wrapText="1"/>
    </xf>
    <xf numFmtId="0" fontId="52" fillId="5" borderId="14" xfId="0" applyFont="1" applyFill="1" applyBorder="1" applyAlignment="1">
      <alignment horizontal="center" vertical="center" wrapText="1"/>
    </xf>
    <xf numFmtId="0" fontId="52" fillId="5" borderId="36" xfId="0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center" vertical="center" wrapText="1"/>
    </xf>
    <xf numFmtId="0" fontId="54" fillId="5" borderId="30" xfId="36" applyFont="1" applyFill="1" applyBorder="1" applyAlignment="1">
      <alignment horizontal="center" vertical="center" wrapText="1"/>
    </xf>
    <xf numFmtId="0" fontId="54" fillId="5" borderId="31" xfId="36" applyFont="1" applyFill="1" applyBorder="1" applyAlignment="1">
      <alignment horizontal="center" vertical="center" wrapText="1"/>
    </xf>
    <xf numFmtId="1" fontId="47" fillId="2" borderId="8" xfId="0" applyNumberFormat="1" applyFont="1" applyFill="1" applyBorder="1"/>
    <xf numFmtId="1" fontId="47" fillId="2" borderId="53" xfId="0" applyNumberFormat="1" applyFont="1" applyFill="1" applyBorder="1"/>
    <xf numFmtId="170" fontId="52" fillId="5" borderId="3" xfId="2" applyNumberFormat="1" applyFont="1" applyFill="1" applyBorder="1" applyAlignment="1">
      <alignment horizontal="center" vertical="center" wrapText="1"/>
    </xf>
    <xf numFmtId="1" fontId="47" fillId="2" borderId="0" xfId="0" applyNumberFormat="1" applyFont="1" applyFill="1"/>
    <xf numFmtId="0" fontId="50" fillId="0" borderId="0" xfId="1" applyFont="1"/>
    <xf numFmtId="1" fontId="50" fillId="5" borderId="3" xfId="0" applyNumberFormat="1" applyFont="1" applyFill="1" applyBorder="1" applyAlignment="1">
      <alignment horizontal="center" vertical="center" wrapText="1"/>
    </xf>
    <xf numFmtId="171" fontId="52" fillId="5" borderId="3" xfId="2" applyNumberFormat="1" applyFont="1" applyFill="1" applyBorder="1" applyAlignment="1">
      <alignment horizontal="center" vertical="center" wrapText="1"/>
    </xf>
    <xf numFmtId="0" fontId="52" fillId="5" borderId="8" xfId="0" applyFont="1" applyFill="1" applyBorder="1" applyAlignment="1">
      <alignment horizontal="center" vertical="center" wrapText="1"/>
    </xf>
    <xf numFmtId="0" fontId="52" fillId="5" borderId="12" xfId="0" applyFont="1" applyFill="1" applyBorder="1" applyAlignment="1">
      <alignment horizontal="center" vertical="center" wrapText="1"/>
    </xf>
    <xf numFmtId="0" fontId="52" fillId="5" borderId="15" xfId="0" applyFont="1" applyFill="1" applyBorder="1" applyAlignment="1">
      <alignment horizontal="center" vertical="center" wrapText="1"/>
    </xf>
    <xf numFmtId="0" fontId="52" fillId="5" borderId="2" xfId="0" applyFont="1" applyFill="1" applyBorder="1" applyAlignment="1">
      <alignment horizontal="center" vertical="center" wrapText="1"/>
    </xf>
    <xf numFmtId="0" fontId="52" fillId="5" borderId="39" xfId="0" applyFont="1" applyFill="1" applyBorder="1" applyAlignment="1">
      <alignment horizontal="center" vertical="center" wrapText="1"/>
    </xf>
    <xf numFmtId="0" fontId="52" fillId="5" borderId="53" xfId="0" applyFont="1" applyFill="1" applyBorder="1" applyAlignment="1">
      <alignment horizontal="center" vertical="center" wrapText="1"/>
    </xf>
    <xf numFmtId="0" fontId="57" fillId="5" borderId="0" xfId="0" applyFont="1" applyFill="1" applyAlignment="1">
      <alignment horizontal="center"/>
    </xf>
    <xf numFmtId="0" fontId="58" fillId="5" borderId="0" xfId="0" applyFont="1" applyFill="1" applyAlignment="1">
      <alignment horizontal="right" vertical="center"/>
    </xf>
    <xf numFmtId="0" fontId="52" fillId="5" borderId="37" xfId="0" applyFont="1" applyFill="1" applyBorder="1" applyAlignment="1">
      <alignment horizontal="center" vertical="center"/>
    </xf>
    <xf numFmtId="0" fontId="52" fillId="5" borderId="38" xfId="0" applyFont="1" applyFill="1" applyBorder="1" applyAlignment="1">
      <alignment horizontal="center" vertical="center"/>
    </xf>
    <xf numFmtId="0" fontId="52" fillId="5" borderId="9" xfId="0" applyFont="1" applyFill="1" applyBorder="1" applyAlignment="1">
      <alignment horizontal="center" vertical="center" wrapText="1"/>
    </xf>
    <xf numFmtId="0" fontId="52" fillId="5" borderId="11" xfId="0" applyFont="1" applyFill="1" applyBorder="1" applyAlignment="1">
      <alignment horizontal="center" vertical="center" wrapText="1"/>
    </xf>
    <xf numFmtId="0" fontId="21" fillId="0" borderId="18" xfId="27" applyFont="1" applyBorder="1" applyAlignment="1">
      <alignment horizontal="left"/>
    </xf>
    <xf numFmtId="0" fontId="21" fillId="0" borderId="0" xfId="27" applyFont="1" applyAlignment="1">
      <alignment horizontal="left"/>
    </xf>
    <xf numFmtId="1" fontId="21" fillId="0" borderId="0" xfId="27" applyNumberFormat="1" applyFont="1" applyAlignment="1">
      <alignment horizontal="left"/>
    </xf>
    <xf numFmtId="1" fontId="21" fillId="0" borderId="19" xfId="27" applyNumberFormat="1" applyFont="1" applyBorder="1" applyAlignment="1">
      <alignment horizontal="left"/>
    </xf>
    <xf numFmtId="0" fontId="21" fillId="0" borderId="19" xfId="27" applyFont="1" applyBorder="1" applyAlignment="1">
      <alignment horizontal="left"/>
    </xf>
    <xf numFmtId="0" fontId="21" fillId="0" borderId="49" xfId="27" applyFont="1" applyBorder="1" applyAlignment="1">
      <alignment horizontal="center"/>
    </xf>
    <xf numFmtId="0" fontId="21" fillId="0" borderId="50" xfId="27" applyFont="1" applyBorder="1" applyAlignment="1">
      <alignment horizontal="center"/>
    </xf>
    <xf numFmtId="0" fontId="21" fillId="0" borderId="51" xfId="27" applyFont="1" applyBorder="1" applyAlignment="1">
      <alignment horizontal="center"/>
    </xf>
    <xf numFmtId="0" fontId="21" fillId="0" borderId="18" xfId="27" applyFont="1" applyBorder="1" applyAlignment="1">
      <alignment horizontal="center"/>
    </xf>
    <xf numFmtId="0" fontId="21" fillId="0" borderId="0" xfId="27" applyFont="1" applyAlignment="1">
      <alignment horizontal="center"/>
    </xf>
    <xf numFmtId="0" fontId="21" fillId="0" borderId="19" xfId="27" applyFont="1" applyBorder="1" applyAlignment="1">
      <alignment horizontal="center"/>
    </xf>
    <xf numFmtId="0" fontId="21" fillId="5" borderId="0" xfId="27" applyFont="1" applyFill="1" applyAlignment="1">
      <alignment horizontal="left"/>
    </xf>
    <xf numFmtId="175" fontId="21" fillId="0" borderId="45" xfId="7" applyNumberFormat="1" applyFont="1" applyBorder="1" applyAlignment="1">
      <alignment horizontal="right"/>
    </xf>
    <xf numFmtId="0" fontId="21" fillId="0" borderId="47" xfId="27" applyFont="1" applyBorder="1" applyAlignment="1">
      <alignment horizontal="left"/>
    </xf>
    <xf numFmtId="175" fontId="21" fillId="0" borderId="21" xfId="7" applyNumberFormat="1" applyFont="1" applyBorder="1" applyAlignment="1">
      <alignment horizontal="right"/>
    </xf>
    <xf numFmtId="175" fontId="21" fillId="0" borderId="0" xfId="27" applyNumberFormat="1" applyFont="1" applyAlignment="1">
      <alignment horizontal="left"/>
    </xf>
    <xf numFmtId="0" fontId="30" fillId="0" borderId="46" xfId="27" applyFont="1" applyBorder="1" applyAlignment="1">
      <alignment horizontal="left"/>
    </xf>
    <xf numFmtId="0" fontId="30" fillId="0" borderId="47" xfId="27" applyFont="1" applyBorder="1" applyAlignment="1">
      <alignment horizontal="left"/>
    </xf>
    <xf numFmtId="0" fontId="21" fillId="0" borderId="48" xfId="7" applyNumberFormat="1" applyFont="1" applyBorder="1" applyAlignment="1">
      <alignment horizontal="right"/>
    </xf>
    <xf numFmtId="175" fontId="21" fillId="0" borderId="48" xfId="7" applyNumberFormat="1" applyFont="1" applyBorder="1" applyAlignment="1">
      <alignment horizontal="right"/>
    </xf>
    <xf numFmtId="0" fontId="38" fillId="0" borderId="46" xfId="27" applyFont="1" applyBorder="1" applyAlignment="1">
      <alignment horizontal="left" wrapText="1"/>
    </xf>
    <xf numFmtId="0" fontId="38" fillId="0" borderId="47" xfId="27" applyFont="1" applyBorder="1" applyAlignment="1">
      <alignment horizontal="left" wrapText="1"/>
    </xf>
    <xf numFmtId="0" fontId="21" fillId="0" borderId="18" xfId="27" applyFont="1" applyBorder="1"/>
    <xf numFmtId="0" fontId="21" fillId="0" borderId="0" xfId="27" applyFont="1"/>
    <xf numFmtId="175" fontId="21" fillId="0" borderId="42" xfId="7" applyNumberFormat="1" applyFont="1" applyBorder="1" applyAlignment="1">
      <alignment horizontal="right"/>
    </xf>
    <xf numFmtId="0" fontId="30" fillId="0" borderId="18" xfId="27" applyFont="1" applyBorder="1"/>
    <xf numFmtId="0" fontId="30" fillId="0" borderId="0" xfId="27" applyFont="1"/>
    <xf numFmtId="175" fontId="21" fillId="0" borderId="43" xfId="7" applyNumberFormat="1" applyFont="1" applyBorder="1" applyAlignment="1">
      <alignment horizontal="right"/>
    </xf>
    <xf numFmtId="0" fontId="30" fillId="0" borderId="44" xfId="27" applyFont="1" applyBorder="1"/>
    <xf numFmtId="0" fontId="30" fillId="0" borderId="9" xfId="27" applyFont="1" applyBorder="1"/>
    <xf numFmtId="175" fontId="21" fillId="0" borderId="41" xfId="7" applyNumberFormat="1" applyFont="1" applyBorder="1" applyAlignment="1">
      <alignment horizontal="right"/>
    </xf>
    <xf numFmtId="0" fontId="22" fillId="0" borderId="0" xfId="27" quotePrefix="1" applyFont="1" applyAlignment="1">
      <alignment horizontal="center"/>
    </xf>
    <xf numFmtId="0" fontId="22" fillId="0" borderId="0" xfId="27" applyFont="1" applyAlignment="1">
      <alignment horizontal="center"/>
    </xf>
    <xf numFmtId="0" fontId="22" fillId="0" borderId="29" xfId="27" applyFont="1" applyBorder="1" applyAlignment="1">
      <alignment horizontal="center"/>
    </xf>
    <xf numFmtId="0" fontId="22" fillId="0" borderId="40" xfId="27" applyFont="1" applyBorder="1" applyAlignment="1">
      <alignment horizontal="center"/>
    </xf>
    <xf numFmtId="37" fontId="21" fillId="0" borderId="11" xfId="7" applyNumberFormat="1" applyFont="1" applyBorder="1" applyAlignment="1">
      <alignment horizontal="right"/>
    </xf>
    <xf numFmtId="0" fontId="22" fillId="0" borderId="20" xfId="27" applyFont="1" applyBorder="1" applyAlignment="1">
      <alignment horizontal="center"/>
    </xf>
    <xf numFmtId="0" fontId="21" fillId="0" borderId="46" xfId="27" applyFont="1" applyBorder="1" applyAlignment="1">
      <alignment horizontal="left"/>
    </xf>
    <xf numFmtId="37" fontId="21" fillId="0" borderId="52" xfId="7" applyNumberFormat="1" applyFont="1" applyBorder="1" applyAlignment="1">
      <alignment horizontal="right"/>
    </xf>
    <xf numFmtId="1" fontId="14" fillId="6" borderId="3" xfId="0" applyNumberFormat="1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1" fontId="0" fillId="2" borderId="0" xfId="0" applyNumberFormat="1" applyFill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2" fillId="0" borderId="0" xfId="1" applyFont="1"/>
    <xf numFmtId="1" fontId="13" fillId="0" borderId="0" xfId="0" applyNumberFormat="1" applyFont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" fontId="12" fillId="2" borderId="3" xfId="0" applyNumberFormat="1" applyFont="1" applyFill="1" applyBorder="1"/>
    <xf numFmtId="1" fontId="12" fillId="0" borderId="0" xfId="0" applyNumberFormat="1" applyFont="1"/>
  </cellXfs>
  <cellStyles count="36">
    <cellStyle name="Comma" xfId="2" builtinId="3"/>
    <cellStyle name="Comma 2" xfId="3" xr:uid="{00000000-0005-0000-0000-000001000000}"/>
    <cellStyle name="Comma 2 2" xfId="32" xr:uid="{2CF383CC-61FF-4D06-ABD1-5B676D650A91}"/>
    <cellStyle name="Comma 3" xfId="4" xr:uid="{00000000-0005-0000-0000-000002000000}"/>
    <cellStyle name="Comma 4" xfId="5" xr:uid="{00000000-0005-0000-0000-000003000000}"/>
    <cellStyle name="Comma 4 2" xfId="37" xr:uid="{CCA3A8E2-DE24-47CC-AC0F-379747975E1F}"/>
    <cellStyle name="Comma 5" xfId="6" xr:uid="{00000000-0005-0000-0000-000004000000}"/>
    <cellStyle name="Comma 6" xfId="35" xr:uid="{243D1F71-B44C-45F8-96FF-F278453DCFEF}"/>
    <cellStyle name="Comma_Sheet1" xfId="7" xr:uid="{00000000-0005-0000-0000-000005000000}"/>
    <cellStyle name="Comma0" xfId="8" xr:uid="{00000000-0005-0000-0000-000006000000}"/>
    <cellStyle name="Currency0" xfId="9" xr:uid="{00000000-0005-0000-0000-000007000000}"/>
    <cellStyle name="Date" xfId="10" xr:uid="{00000000-0005-0000-0000-000008000000}"/>
    <cellStyle name="Fixed" xfId="11" xr:uid="{00000000-0005-0000-0000-000009000000}"/>
    <cellStyle name="Header1" xfId="12" xr:uid="{00000000-0005-0000-0000-00000A000000}"/>
    <cellStyle name="Header2" xfId="13" xr:uid="{00000000-0005-0000-0000-00000B000000}"/>
    <cellStyle name="Heading 1" xfId="14" builtinId="16" customBuiltin="1"/>
    <cellStyle name="Heading 1 2" xfId="15" xr:uid="{00000000-0005-0000-0000-00000D000000}"/>
    <cellStyle name="Heading 2" xfId="16" builtinId="17" customBuiltin="1"/>
    <cellStyle name="Heading 2 2" xfId="17" xr:uid="{00000000-0005-0000-0000-00000F000000}"/>
    <cellStyle name="Millares [0]_Well Timing" xfId="18" xr:uid="{00000000-0005-0000-0000-000010000000}"/>
    <cellStyle name="Millares_Well Timing" xfId="19" xr:uid="{00000000-0005-0000-0000-000011000000}"/>
    <cellStyle name="Moneda [0]_Well Timing" xfId="20" xr:uid="{00000000-0005-0000-0000-000012000000}"/>
    <cellStyle name="Moneda_Well Timing" xfId="21" xr:uid="{00000000-0005-0000-0000-000013000000}"/>
    <cellStyle name="Normal" xfId="0" builtinId="0"/>
    <cellStyle name="Normal - Style1" xfId="22" xr:uid="{00000000-0005-0000-0000-000015000000}"/>
    <cellStyle name="Normal 2" xfId="23" xr:uid="{00000000-0005-0000-0000-000016000000}"/>
    <cellStyle name="Normal 2 10" xfId="24" xr:uid="{00000000-0005-0000-0000-000017000000}"/>
    <cellStyle name="Normal 2 2" xfId="25" xr:uid="{00000000-0005-0000-0000-000018000000}"/>
    <cellStyle name="Normal 3" xfId="26" xr:uid="{00000000-0005-0000-0000-000019000000}"/>
    <cellStyle name="Normal 4" xfId="36" xr:uid="{5572FA61-AB63-4AB9-8946-3266B8BBF719}"/>
    <cellStyle name="Normal_Sheet1 2" xfId="27" xr:uid="{00000000-0005-0000-0000-00001B000000}"/>
    <cellStyle name="Percent" xfId="28" builtinId="5"/>
    <cellStyle name="Percent 2" xfId="33" xr:uid="{78956032-7076-438D-98AA-E62A2F7C50A6}"/>
    <cellStyle name="Percent 3" xfId="34" xr:uid="{6EFCBC01-65D6-4202-ADAF-955A6CBF01DF}"/>
    <cellStyle name="Total" xfId="29" builtinId="25" customBuiltin="1"/>
    <cellStyle name="Total 2" xfId="30" xr:uid="{00000000-0005-0000-0000-00001E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41"/>
  <sheetViews>
    <sheetView workbookViewId="0">
      <selection activeCell="C1" sqref="C1"/>
    </sheetView>
  </sheetViews>
  <sheetFormatPr defaultColWidth="11" defaultRowHeight="12.75"/>
  <cols>
    <col min="1" max="1" width="26.125" style="1" customWidth="1"/>
    <col min="2" max="2" width="1.125" style="1" customWidth="1"/>
    <col min="3" max="3" width="28.125" style="1" customWidth="1"/>
    <col min="4" max="16384" width="11" style="1"/>
  </cols>
  <sheetData>
    <row r="1" spans="1:3" ht="14.25">
      <c r="A1" s="2"/>
      <c r="C1" s="2"/>
    </row>
    <row r="2" spans="1:3" ht="15" thickBot="1">
      <c r="A2" s="2"/>
    </row>
    <row r="3" spans="1:3" ht="15" thickBot="1">
      <c r="A3" s="2"/>
      <c r="C3" s="2"/>
    </row>
    <row r="4" spans="1:3" ht="14.25">
      <c r="A4" s="2"/>
      <c r="C4" s="2"/>
    </row>
    <row r="5" spans="1:3" ht="14.25">
      <c r="C5" s="2"/>
    </row>
    <row r="6" spans="1:3" ht="15" thickBot="1">
      <c r="C6" s="2"/>
    </row>
    <row r="7" spans="1:3" ht="14.25">
      <c r="A7" s="2"/>
      <c r="C7" s="2"/>
    </row>
    <row r="8" spans="1:3" ht="14.25">
      <c r="A8" s="2"/>
      <c r="C8" s="2"/>
    </row>
    <row r="9" spans="1:3" ht="14.25">
      <c r="A9" s="2"/>
      <c r="C9" s="2"/>
    </row>
    <row r="10" spans="1:3" ht="14.25">
      <c r="A10" s="2"/>
      <c r="C10" s="2"/>
    </row>
    <row r="11" spans="1:3" ht="15" thickBot="1">
      <c r="A11" s="2"/>
      <c r="C11" s="2"/>
    </row>
    <row r="12" spans="1:3" ht="14.25">
      <c r="C12" s="2"/>
    </row>
    <row r="13" spans="1:3" ht="15" thickBot="1">
      <c r="C13" s="2"/>
    </row>
    <row r="14" spans="1:3" ht="15" thickBot="1">
      <c r="A14" s="2"/>
      <c r="C14" s="2"/>
    </row>
    <row r="15" spans="1:3" ht="14.25">
      <c r="A15" s="2"/>
    </row>
    <row r="16" spans="1:3" ht="15" thickBot="1">
      <c r="A16" s="2"/>
    </row>
    <row r="17" spans="1:3" ht="15" thickBot="1">
      <c r="A17" s="2"/>
      <c r="C17" s="2"/>
    </row>
    <row r="18" spans="1:3" ht="14.25">
      <c r="C18" s="2"/>
    </row>
    <row r="19" spans="1:3" ht="14.25">
      <c r="C19" s="2"/>
    </row>
    <row r="20" spans="1:3" ht="14.25">
      <c r="A20" s="2"/>
      <c r="C20" s="2"/>
    </row>
    <row r="21" spans="1:3" ht="14.25">
      <c r="A21" s="2"/>
      <c r="C21" s="2"/>
    </row>
    <row r="22" spans="1:3" ht="14.25">
      <c r="A22" s="2"/>
      <c r="C22" s="2"/>
    </row>
    <row r="23" spans="1:3" ht="14.25">
      <c r="A23" s="2"/>
      <c r="C23" s="2"/>
    </row>
    <row r="24" spans="1:3" ht="14.25">
      <c r="A24" s="2"/>
    </row>
    <row r="25" spans="1:3" ht="14.25">
      <c r="A25" s="2"/>
    </row>
    <row r="26" spans="1:3" ht="15" thickBot="1">
      <c r="A26" s="2"/>
      <c r="C26" s="2"/>
    </row>
    <row r="27" spans="1:3" ht="14.25">
      <c r="A27" s="2"/>
      <c r="C27" s="2"/>
    </row>
    <row r="28" spans="1:3" ht="14.25">
      <c r="A28" s="2"/>
      <c r="C28" s="2"/>
    </row>
    <row r="29" spans="1:3" ht="14.25">
      <c r="A29" s="2"/>
      <c r="C29" s="2"/>
    </row>
    <row r="30" spans="1:3" ht="14.25">
      <c r="A30" s="2"/>
      <c r="C30" s="2"/>
    </row>
    <row r="31" spans="1:3" ht="14.25">
      <c r="A31" s="2"/>
      <c r="C31" s="2"/>
    </row>
    <row r="32" spans="1:3" ht="14.25">
      <c r="A32" s="2"/>
      <c r="C32" s="2"/>
    </row>
    <row r="33" spans="1:3" ht="14.25">
      <c r="A33" s="2"/>
      <c r="C33" s="2"/>
    </row>
    <row r="34" spans="1:3" ht="14.25">
      <c r="A34" s="2"/>
      <c r="C34" s="2"/>
    </row>
    <row r="35" spans="1:3" ht="14.25">
      <c r="A35" s="2"/>
      <c r="C35" s="2"/>
    </row>
    <row r="36" spans="1:3" ht="14.25">
      <c r="A36" s="2"/>
      <c r="C36" s="2"/>
    </row>
    <row r="37" spans="1:3" ht="14.25">
      <c r="A37" s="2"/>
    </row>
    <row r="38" spans="1:3" ht="14.25">
      <c r="A38" s="2"/>
    </row>
    <row r="39" spans="1:3" ht="14.25">
      <c r="A39" s="2"/>
      <c r="C39" s="2"/>
    </row>
    <row r="40" spans="1:3" ht="14.25">
      <c r="A40" s="2"/>
      <c r="C40" s="2"/>
    </row>
    <row r="41" spans="1:3" ht="14.25">
      <c r="A41" s="2"/>
      <c r="C41" s="2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3" customWidth="1"/>
    <col min="2" max="2" width="1" style="3" customWidth="1"/>
    <col min="3" max="3" width="25" style="3" customWidth="1"/>
    <col min="4" max="16384" width="7.125" style="3"/>
  </cols>
  <sheetData>
    <row r="1" spans="1:3" ht="14.25">
      <c r="A1" s="4"/>
      <c r="C1" s="4"/>
    </row>
    <row r="2" spans="1:3" ht="15" thickBot="1">
      <c r="A2" s="4"/>
    </row>
    <row r="3" spans="1:3" ht="15" thickBot="1">
      <c r="A3" s="4"/>
      <c r="C3" s="4"/>
    </row>
    <row r="4" spans="1:3" ht="14.25">
      <c r="A4" s="4"/>
      <c r="C4" s="4"/>
    </row>
    <row r="5" spans="1:3" ht="14.25">
      <c r="C5" s="4"/>
    </row>
    <row r="6" spans="1:3" ht="15" thickBot="1">
      <c r="C6" s="4"/>
    </row>
    <row r="7" spans="1:3" ht="14.25">
      <c r="A7" s="4"/>
      <c r="C7" s="4"/>
    </row>
    <row r="8" spans="1:3" ht="14.25">
      <c r="A8" s="4"/>
      <c r="C8" s="4"/>
    </row>
    <row r="9" spans="1:3" ht="14.25">
      <c r="A9" s="4"/>
      <c r="C9" s="4"/>
    </row>
    <row r="10" spans="1:3" ht="14.25">
      <c r="A10" s="4"/>
      <c r="C10" s="4"/>
    </row>
    <row r="11" spans="1:3" ht="15" thickBot="1">
      <c r="A11" s="4"/>
      <c r="C11" s="4"/>
    </row>
    <row r="12" spans="1:3" ht="14.25">
      <c r="C12" s="4"/>
    </row>
    <row r="13" spans="1:3" ht="15" thickBot="1">
      <c r="C13" s="4"/>
    </row>
    <row r="14" spans="1:3" ht="15" thickBot="1">
      <c r="A14" s="4"/>
      <c r="C14" s="4"/>
    </row>
    <row r="15" spans="1:3" ht="14.25">
      <c r="A15" s="4"/>
    </row>
    <row r="16" spans="1:3" ht="15" thickBot="1">
      <c r="A16" s="4"/>
    </row>
    <row r="17" spans="1:3" ht="15" thickBot="1">
      <c r="A17" s="4"/>
      <c r="C17" s="4"/>
    </row>
    <row r="18" spans="1:3" ht="14.25">
      <c r="C18" s="4"/>
    </row>
    <row r="19" spans="1:3" ht="14.25">
      <c r="C19" s="4"/>
    </row>
    <row r="20" spans="1:3" ht="14.25">
      <c r="A20" s="4"/>
      <c r="C20" s="4"/>
    </row>
    <row r="21" spans="1:3" ht="14.25">
      <c r="A21" s="4"/>
      <c r="C21" s="4"/>
    </row>
    <row r="22" spans="1:3" ht="14.25">
      <c r="A22" s="4"/>
      <c r="C22" s="4"/>
    </row>
    <row r="23" spans="1:3" ht="14.25">
      <c r="A23" s="4"/>
      <c r="C23" s="4"/>
    </row>
    <row r="24" spans="1:3" ht="14.25">
      <c r="A24" s="4"/>
    </row>
    <row r="25" spans="1:3" ht="14.25">
      <c r="A25" s="4"/>
    </row>
    <row r="26" spans="1:3" ht="15" thickBot="1">
      <c r="A26" s="4"/>
      <c r="C26" s="4"/>
    </row>
    <row r="27" spans="1:3" ht="14.25">
      <c r="A27" s="4"/>
      <c r="C27" s="4"/>
    </row>
    <row r="28" spans="1:3" ht="14.25">
      <c r="A28" s="4"/>
      <c r="C28" s="4"/>
    </row>
    <row r="29" spans="1:3" ht="14.25">
      <c r="A29" s="4"/>
      <c r="C29" s="4"/>
    </row>
    <row r="30" spans="1:3" ht="14.25">
      <c r="A30" s="4"/>
      <c r="C30" s="4"/>
    </row>
    <row r="31" spans="1:3" ht="14.25">
      <c r="A31" s="4"/>
      <c r="C31" s="4"/>
    </row>
    <row r="32" spans="1:3" ht="14.25">
      <c r="A32" s="4"/>
      <c r="C32" s="4"/>
    </row>
    <row r="33" spans="1:3" ht="14.25">
      <c r="A33" s="4"/>
      <c r="C33" s="4"/>
    </row>
    <row r="34" spans="1:3" ht="14.25">
      <c r="A34" s="4"/>
      <c r="C34" s="4"/>
    </row>
    <row r="35" spans="1:3" ht="14.25">
      <c r="A35" s="4"/>
      <c r="C35" s="4"/>
    </row>
    <row r="36" spans="1:3" ht="14.25">
      <c r="A36" s="4"/>
      <c r="C36" s="4"/>
    </row>
    <row r="37" spans="1:3" ht="14.25">
      <c r="A37" s="4"/>
    </row>
    <row r="38" spans="1:3" ht="14.25">
      <c r="A38" s="4"/>
    </row>
    <row r="39" spans="1:3" ht="14.25">
      <c r="A39" s="4"/>
      <c r="C39" s="4"/>
    </row>
    <row r="40" spans="1:3" ht="14.25">
      <c r="A40" s="4"/>
      <c r="C40" s="4"/>
    </row>
    <row r="41" spans="1:3" ht="14.25">
      <c r="A41" s="4"/>
      <c r="C41" s="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T223"/>
  <sheetViews>
    <sheetView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C9" sqref="C9"/>
    </sheetView>
  </sheetViews>
  <sheetFormatPr defaultColWidth="9" defaultRowHeight="20.100000000000001" customHeight="1"/>
  <cols>
    <col min="1" max="1" width="4.5" style="22" customWidth="1"/>
    <col min="2" max="2" width="24.25" style="28" customWidth="1"/>
    <col min="3" max="3" width="7.875" style="27" customWidth="1"/>
    <col min="4" max="17" width="8.625" style="27" customWidth="1"/>
    <col min="18" max="18" width="7.25" style="27" customWidth="1"/>
    <col min="19" max="19" width="8.25" style="22" customWidth="1"/>
    <col min="20" max="20" width="8.125" style="22" customWidth="1"/>
    <col min="21" max="16384" width="9" style="22"/>
  </cols>
  <sheetData>
    <row r="1" spans="1:20" ht="20.100000000000001" customHeight="1">
      <c r="A1" s="96" t="s">
        <v>172</v>
      </c>
      <c r="B1" s="96"/>
      <c r="C1" s="20"/>
      <c r="D1" s="29"/>
      <c r="E1" s="29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0"/>
      <c r="S1" s="22" t="s">
        <v>26</v>
      </c>
    </row>
    <row r="2" spans="1:20" ht="45" customHeight="1">
      <c r="A2" s="94" t="s">
        <v>236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</row>
    <row r="3" spans="1:20" ht="27.75" customHeight="1">
      <c r="A3" s="23"/>
      <c r="B3" s="23"/>
      <c r="C3" s="23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23"/>
      <c r="S3" s="23"/>
      <c r="T3" s="23"/>
    </row>
    <row r="4" spans="1:20" s="170" customFormat="1" ht="42" customHeight="1">
      <c r="A4" s="394" t="s">
        <v>22</v>
      </c>
      <c r="B4" s="394" t="s">
        <v>8</v>
      </c>
      <c r="C4" s="394" t="s">
        <v>12</v>
      </c>
      <c r="D4" s="303"/>
      <c r="E4" s="310"/>
      <c r="F4" s="303"/>
      <c r="G4" s="303"/>
      <c r="H4" s="303"/>
      <c r="I4" s="303"/>
      <c r="J4" s="303"/>
      <c r="K4" s="303"/>
      <c r="L4" s="303"/>
      <c r="M4" s="303"/>
      <c r="N4" s="303"/>
      <c r="O4" s="303"/>
      <c r="P4" s="303"/>
      <c r="Q4" s="303"/>
      <c r="R4" s="390" t="s">
        <v>38</v>
      </c>
      <c r="S4" s="390" t="s">
        <v>24</v>
      </c>
      <c r="T4" s="390" t="s">
        <v>7</v>
      </c>
    </row>
    <row r="5" spans="1:20" s="10" customFormat="1" ht="17.25" customHeight="1">
      <c r="A5" s="395"/>
      <c r="B5" s="395"/>
      <c r="C5" s="395"/>
      <c r="D5" s="93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392"/>
      <c r="S5" s="392"/>
      <c r="T5" s="391"/>
    </row>
    <row r="6" spans="1:20" s="10" customFormat="1" ht="17.25" customHeight="1">
      <c r="A6" s="395"/>
      <c r="B6" s="395"/>
      <c r="C6" s="39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392"/>
      <c r="S6" s="392"/>
      <c r="T6" s="392"/>
    </row>
    <row r="7" spans="1:20" s="10" customFormat="1" ht="21" customHeight="1">
      <c r="A7" s="396"/>
      <c r="B7" s="396"/>
      <c r="C7" s="396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393"/>
      <c r="S7" s="393"/>
      <c r="T7" s="393"/>
    </row>
    <row r="8" spans="1:20" s="25" customFormat="1" ht="20.100000000000001" customHeight="1">
      <c r="A8" s="174"/>
      <c r="B8" s="179"/>
      <c r="C8" s="18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2"/>
      <c r="T8" s="312"/>
    </row>
    <row r="9" spans="1:20" s="45" customFormat="1" ht="20.100000000000001" customHeight="1">
      <c r="A9" s="181">
        <v>1</v>
      </c>
      <c r="B9" s="11"/>
      <c r="C9" s="5"/>
      <c r="D9" s="175">
        <f>xxx!D9</f>
        <v>0</v>
      </c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 cm="1">
        <f t="array" ref="R9">+SUMPRODUCT(D9:Q9*$D$3:$Q$3)</f>
        <v>0</v>
      </c>
      <c r="S9" s="177">
        <f>SUM(D9:R9)</f>
        <v>0</v>
      </c>
      <c r="T9" s="177"/>
    </row>
    <row r="10" spans="1:20" s="45" customFormat="1" ht="15.75" hidden="1">
      <c r="A10" s="182"/>
      <c r="B10" s="11"/>
      <c r="C10" s="5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74"/>
      <c r="S10" s="17"/>
      <c r="T10" s="17"/>
    </row>
    <row r="11" spans="1:20" s="45" customFormat="1" ht="15.75">
      <c r="A11" s="181">
        <v>2</v>
      </c>
      <c r="B11" s="11"/>
      <c r="C11" s="5"/>
      <c r="D11" s="175">
        <f>xxx!D11</f>
        <v>0</v>
      </c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 cm="1">
        <f t="array" ref="R11">+SUMPRODUCT(D11:Q11*$D$3:$Q$3)</f>
        <v>0</v>
      </c>
      <c r="S11" s="177">
        <f>SUM(D11:R11)</f>
        <v>0</v>
      </c>
      <c r="T11" s="177"/>
    </row>
    <row r="12" spans="1:20" s="46" customFormat="1" ht="15.75" hidden="1">
      <c r="A12" s="97"/>
      <c r="B12" s="11"/>
      <c r="C12" s="5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74"/>
      <c r="S12" s="17"/>
      <c r="T12" s="17"/>
    </row>
    <row r="13" spans="1:20" s="46" customFormat="1" ht="20.100000000000001" customHeight="1">
      <c r="A13" s="181">
        <v>3</v>
      </c>
      <c r="B13" s="11"/>
      <c r="C13" s="5"/>
      <c r="D13" s="175">
        <f>xxx!D13</f>
        <v>0</v>
      </c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 cm="1">
        <f t="array" ref="R13">+SUMPRODUCT(D13:Q13*$D$3:$Q$3)</f>
        <v>0</v>
      </c>
      <c r="S13" s="177">
        <f>SUM(D13:R13)</f>
        <v>0</v>
      </c>
      <c r="T13" s="177"/>
    </row>
    <row r="14" spans="1:20" s="46" customFormat="1" ht="20.100000000000001" hidden="1" customHeight="1">
      <c r="A14" s="182"/>
      <c r="B14" s="11"/>
      <c r="C14" s="5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74"/>
      <c r="S14" s="17"/>
      <c r="T14" s="17"/>
    </row>
    <row r="15" spans="1:20" s="46" customFormat="1" ht="20.100000000000001" customHeight="1">
      <c r="A15" s="181">
        <v>4</v>
      </c>
      <c r="B15" s="11"/>
      <c r="C15" s="5"/>
      <c r="D15" s="175">
        <f>xxx!D15</f>
        <v>0</v>
      </c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 cm="1">
        <f t="array" ref="R15">+SUMPRODUCT(D15:Q15*$D$3:$Q$3)</f>
        <v>0</v>
      </c>
      <c r="S15" s="177">
        <f>SUM(D15:R15)</f>
        <v>0</v>
      </c>
      <c r="T15" s="177"/>
    </row>
    <row r="16" spans="1:20" s="46" customFormat="1" ht="20.100000000000001" hidden="1" customHeight="1">
      <c r="A16" s="97"/>
      <c r="B16" s="11"/>
      <c r="C16" s="5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174"/>
      <c r="S16" s="17"/>
      <c r="T16" s="17"/>
    </row>
    <row r="17" spans="1:20" s="44" customFormat="1" ht="20.100000000000001" customHeight="1">
      <c r="A17" s="181">
        <v>5</v>
      </c>
      <c r="B17" s="11"/>
      <c r="C17" s="5"/>
      <c r="D17" s="175">
        <f>xxx!D17</f>
        <v>0</v>
      </c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 cm="1">
        <f t="array" ref="R17">+SUMPRODUCT(D17:Q17*$D$3:$Q$3)</f>
        <v>0</v>
      </c>
      <c r="S17" s="177">
        <f>SUM(D17:R17)</f>
        <v>0</v>
      </c>
      <c r="T17" s="177"/>
    </row>
    <row r="18" spans="1:20" s="46" customFormat="1" ht="20.100000000000001" hidden="1" customHeight="1">
      <c r="A18" s="182"/>
      <c r="B18" s="11"/>
      <c r="C18" s="5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174"/>
      <c r="S18" s="17"/>
      <c r="T18" s="17"/>
    </row>
    <row r="19" spans="1:20" s="46" customFormat="1" ht="20.100000000000001" customHeight="1">
      <c r="A19" s="181">
        <v>6</v>
      </c>
      <c r="B19" s="11"/>
      <c r="C19" s="5"/>
      <c r="D19" s="175">
        <f>xxx!D19</f>
        <v>0</v>
      </c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 cm="1">
        <f t="array" ref="R19">+SUMPRODUCT(D19:Q19*$D$3:$Q$3)</f>
        <v>0</v>
      </c>
      <c r="S19" s="177">
        <f>SUM(D19:R19)</f>
        <v>0</v>
      </c>
      <c r="T19" s="177"/>
    </row>
    <row r="20" spans="1:20" s="46" customFormat="1" ht="20.100000000000001" hidden="1" customHeight="1">
      <c r="A20" s="97"/>
      <c r="B20" s="11"/>
      <c r="C20" s="5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74"/>
      <c r="S20" s="17"/>
      <c r="T20" s="17"/>
    </row>
    <row r="21" spans="1:20" s="46" customFormat="1" ht="20.25" customHeight="1">
      <c r="A21" s="181">
        <v>7</v>
      </c>
      <c r="B21" s="11"/>
      <c r="C21" s="5"/>
      <c r="D21" s="175">
        <f>xxx!D21</f>
        <v>0</v>
      </c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 cm="1">
        <f t="array" ref="R21">+SUMPRODUCT(D21:Q21*$D$3:$Q$3)</f>
        <v>0</v>
      </c>
      <c r="S21" s="177">
        <f>SUM(D21:R21)</f>
        <v>0</v>
      </c>
      <c r="T21" s="177"/>
    </row>
    <row r="22" spans="1:20" s="46" customFormat="1" ht="20.100000000000001" hidden="1" customHeight="1">
      <c r="A22" s="182"/>
      <c r="B22" s="11"/>
      <c r="C22" s="5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74"/>
      <c r="S22" s="17"/>
      <c r="T22" s="17"/>
    </row>
    <row r="23" spans="1:20" s="46" customFormat="1" ht="20.100000000000001" customHeight="1">
      <c r="A23" s="181">
        <v>8</v>
      </c>
      <c r="B23" s="11"/>
      <c r="C23" s="5"/>
      <c r="D23" s="175">
        <f>xxx!D23</f>
        <v>0</v>
      </c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5"/>
      <c r="R23" s="175" cm="1">
        <f t="array" ref="R23">+SUMPRODUCT(D23:Q23*$D$3:$Q$3)</f>
        <v>0</v>
      </c>
      <c r="S23" s="177">
        <f>SUM(D23:R23)</f>
        <v>0</v>
      </c>
      <c r="T23" s="177"/>
    </row>
    <row r="24" spans="1:20" s="46" customFormat="1" ht="20.100000000000001" hidden="1" customHeight="1">
      <c r="A24" s="97"/>
      <c r="B24" s="11"/>
      <c r="C24" s="5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174"/>
      <c r="S24" s="17"/>
      <c r="T24" s="17"/>
    </row>
    <row r="25" spans="1:20" s="46" customFormat="1" ht="20.100000000000001" customHeight="1">
      <c r="A25" s="181">
        <v>9</v>
      </c>
      <c r="B25" s="11"/>
      <c r="C25" s="5"/>
      <c r="D25" s="175">
        <f>xxx!D25</f>
        <v>0</v>
      </c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 cm="1">
        <f t="array" ref="R25">+SUMPRODUCT(D25:Q25*$D$3:$Q$3)</f>
        <v>0</v>
      </c>
      <c r="S25" s="177">
        <f>SUM(D25:R25)</f>
        <v>0</v>
      </c>
      <c r="T25" s="177"/>
    </row>
    <row r="26" spans="1:20" s="46" customFormat="1" ht="20.100000000000001" hidden="1" customHeight="1">
      <c r="A26" s="182"/>
      <c r="B26" s="11"/>
      <c r="C26" s="5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174"/>
      <c r="S26" s="17"/>
      <c r="T26" s="17"/>
    </row>
    <row r="27" spans="1:20" s="46" customFormat="1" ht="20.100000000000001" customHeight="1">
      <c r="A27" s="181">
        <v>10</v>
      </c>
      <c r="B27" s="12"/>
      <c r="C27" s="91"/>
      <c r="D27" s="175">
        <f>xxx!D27</f>
        <v>0</v>
      </c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 cm="1">
        <f t="array" ref="R27">+SUMPRODUCT(D27:Q27*$D$3:$Q$3)</f>
        <v>0</v>
      </c>
      <c r="S27" s="177">
        <f>SUM(D27:R27)</f>
        <v>0</v>
      </c>
      <c r="T27" s="177"/>
    </row>
    <row r="28" spans="1:20" s="46" customFormat="1" ht="20.100000000000001" hidden="1" customHeight="1">
      <c r="A28" s="97"/>
      <c r="B28" s="12"/>
      <c r="C28" s="91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174"/>
      <c r="S28" s="17"/>
      <c r="T28" s="17"/>
    </row>
    <row r="29" spans="1:20" s="46" customFormat="1" ht="20.100000000000001" customHeight="1">
      <c r="A29" s="181">
        <v>11</v>
      </c>
      <c r="B29" s="11"/>
      <c r="C29" s="5"/>
      <c r="D29" s="175">
        <f>xxx!D29</f>
        <v>0</v>
      </c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 cm="1">
        <f t="array" ref="R29">+SUMPRODUCT(D29:Q29*$D$3:$Q$3)</f>
        <v>0</v>
      </c>
      <c r="S29" s="177">
        <f>SUM(D29:R29)</f>
        <v>0</v>
      </c>
      <c r="T29" s="177"/>
    </row>
    <row r="30" spans="1:20" s="46" customFormat="1" ht="20.25" hidden="1" customHeight="1">
      <c r="A30" s="182"/>
      <c r="B30" s="11"/>
      <c r="C30" s="5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74"/>
      <c r="S30" s="17"/>
      <c r="T30" s="17"/>
    </row>
    <row r="31" spans="1:20" s="46" customFormat="1" ht="20.100000000000001" customHeight="1">
      <c r="A31" s="181">
        <v>12</v>
      </c>
      <c r="B31" s="11"/>
      <c r="C31" s="5"/>
      <c r="D31" s="175">
        <f>xxx!D31</f>
        <v>0</v>
      </c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 cm="1">
        <f t="array" ref="R31">+SUMPRODUCT(D31:Q31*$D$3:$Q$3)</f>
        <v>0</v>
      </c>
      <c r="S31" s="177">
        <f>SUM(D31:R31)</f>
        <v>0</v>
      </c>
      <c r="T31" s="177"/>
    </row>
    <row r="32" spans="1:20" s="46" customFormat="1" ht="20.100000000000001" hidden="1" customHeight="1">
      <c r="A32" s="97"/>
      <c r="B32" s="11"/>
      <c r="C32" s="5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174"/>
      <c r="S32" s="17"/>
      <c r="T32" s="17"/>
    </row>
    <row r="33" spans="1:20" s="46" customFormat="1" ht="20.100000000000001" customHeight="1">
      <c r="A33" s="181">
        <v>13</v>
      </c>
      <c r="B33" s="12"/>
      <c r="C33" s="91"/>
      <c r="D33" s="175">
        <f>xxx!D33</f>
        <v>0</v>
      </c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 cm="1">
        <f t="array" ref="R33">+SUMPRODUCT(D33:Q33*$D$3:$Q$3)</f>
        <v>0</v>
      </c>
      <c r="S33" s="177">
        <f>SUM(D33:R33)</f>
        <v>0</v>
      </c>
      <c r="T33" s="177"/>
    </row>
    <row r="34" spans="1:20" s="46" customFormat="1" ht="20.100000000000001" hidden="1" customHeight="1">
      <c r="A34" s="182"/>
      <c r="B34" s="11"/>
      <c r="C34" s="5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174"/>
      <c r="S34" s="17"/>
      <c r="T34" s="17"/>
    </row>
    <row r="35" spans="1:20" s="46" customFormat="1" ht="20.100000000000001" customHeight="1">
      <c r="A35" s="181">
        <v>14</v>
      </c>
      <c r="B35" s="11"/>
      <c r="C35" s="5"/>
      <c r="D35" s="175">
        <f>xxx!D35</f>
        <v>0</v>
      </c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 cm="1">
        <f t="array" ref="R35">+SUMPRODUCT(D35:Q35*$D$3:$Q$3)</f>
        <v>0</v>
      </c>
      <c r="S35" s="177">
        <f>SUM(D35:R35)</f>
        <v>0</v>
      </c>
      <c r="T35" s="177"/>
    </row>
    <row r="36" spans="1:20" s="46" customFormat="1" ht="20.100000000000001" hidden="1" customHeight="1">
      <c r="A36" s="97"/>
      <c r="B36" s="11"/>
      <c r="C36" s="5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174"/>
      <c r="S36" s="17"/>
      <c r="T36" s="17"/>
    </row>
    <row r="37" spans="1:20" s="46" customFormat="1" ht="20.100000000000001" customHeight="1">
      <c r="A37" s="181">
        <v>15</v>
      </c>
      <c r="B37" s="11"/>
      <c r="C37" s="15"/>
      <c r="D37" s="175">
        <f>xxx!D37</f>
        <v>0</v>
      </c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 cm="1">
        <f t="array" ref="R37">+SUMPRODUCT(D37:Q37*$D$3:$Q$3)</f>
        <v>0</v>
      </c>
      <c r="S37" s="177">
        <f>SUM(D37:R37)</f>
        <v>0</v>
      </c>
      <c r="T37" s="177"/>
    </row>
    <row r="38" spans="1:20" s="46" customFormat="1" ht="20.100000000000001" hidden="1" customHeight="1">
      <c r="A38" s="182"/>
      <c r="B38" s="11"/>
      <c r="C38" s="15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174"/>
      <c r="S38" s="17"/>
      <c r="T38" s="17"/>
    </row>
    <row r="39" spans="1:20" s="46" customFormat="1" ht="20.100000000000001" customHeight="1">
      <c r="A39" s="181">
        <v>16</v>
      </c>
      <c r="B39" s="11"/>
      <c r="C39" s="15"/>
      <c r="D39" s="175">
        <f>xxx!D39</f>
        <v>0</v>
      </c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 cm="1">
        <f t="array" ref="R39">+SUMPRODUCT(D39:Q39*$D$3:$Q$3)</f>
        <v>0</v>
      </c>
      <c r="S39" s="177">
        <f>SUM(D39:R39)</f>
        <v>0</v>
      </c>
      <c r="T39" s="177"/>
    </row>
    <row r="40" spans="1:20" s="46" customFormat="1" ht="20.100000000000001" hidden="1" customHeight="1">
      <c r="A40" s="97"/>
      <c r="B40" s="12"/>
      <c r="C40" s="91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174"/>
      <c r="S40" s="17"/>
      <c r="T40" s="17"/>
    </row>
    <row r="41" spans="1:20" s="46" customFormat="1" ht="20.100000000000001" customHeight="1">
      <c r="A41" s="181">
        <v>17</v>
      </c>
      <c r="B41" s="12"/>
      <c r="C41" s="91"/>
      <c r="D41" s="175">
        <f>xxx!D41</f>
        <v>0</v>
      </c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 cm="1">
        <f t="array" ref="R41">+SUMPRODUCT(D41:Q41*$D$3:$Q$3)</f>
        <v>0</v>
      </c>
      <c r="S41" s="177">
        <f>SUM(D41:R41)</f>
        <v>0</v>
      </c>
      <c r="T41" s="177"/>
    </row>
    <row r="42" spans="1:20" s="46" customFormat="1" ht="20.100000000000001" hidden="1" customHeight="1">
      <c r="A42" s="182"/>
      <c r="B42" s="11"/>
      <c r="C42" s="15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174"/>
      <c r="S42" s="17"/>
      <c r="T42" s="17"/>
    </row>
    <row r="43" spans="1:20" s="46" customFormat="1" ht="20.100000000000001" customHeight="1">
      <c r="A43" s="181">
        <v>18</v>
      </c>
      <c r="B43" s="11"/>
      <c r="C43" s="15"/>
      <c r="D43" s="175">
        <f>xxx!D43</f>
        <v>0</v>
      </c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 cm="1">
        <f t="array" ref="R43">+SUMPRODUCT(D43:Q43*$D$3:$Q$3)</f>
        <v>0</v>
      </c>
      <c r="S43" s="177">
        <f>SUM(D43:R43)</f>
        <v>0</v>
      </c>
      <c r="T43" s="177"/>
    </row>
    <row r="44" spans="1:20" s="46" customFormat="1" ht="20.100000000000001" hidden="1" customHeight="1">
      <c r="A44" s="97"/>
      <c r="B44" s="11"/>
      <c r="C44" s="15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174"/>
      <c r="S44" s="17"/>
      <c r="T44" s="17"/>
    </row>
    <row r="45" spans="1:20" s="46" customFormat="1" ht="20.100000000000001" customHeight="1">
      <c r="A45" s="181">
        <v>19</v>
      </c>
      <c r="B45" s="11"/>
      <c r="C45" s="15"/>
      <c r="D45" s="175">
        <f>xxx!D45</f>
        <v>0</v>
      </c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 cm="1">
        <f t="array" ref="R45">+SUMPRODUCT(D45:Q45*$D$3:$Q$3)</f>
        <v>0</v>
      </c>
      <c r="S45" s="177">
        <f>SUM(D45:R45)</f>
        <v>0</v>
      </c>
      <c r="T45" s="177"/>
    </row>
    <row r="46" spans="1:20" s="46" customFormat="1" ht="20.100000000000001" hidden="1" customHeight="1">
      <c r="A46" s="182"/>
      <c r="B46" s="11"/>
      <c r="C46" s="15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174"/>
      <c r="S46" s="17"/>
      <c r="T46" s="17"/>
    </row>
    <row r="47" spans="1:20" s="46" customFormat="1" ht="20.100000000000001" customHeight="1">
      <c r="A47" s="181">
        <v>20</v>
      </c>
      <c r="B47" s="11"/>
      <c r="C47" s="80"/>
      <c r="D47" s="175">
        <f>xxx!D47</f>
        <v>0</v>
      </c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 cm="1">
        <f t="array" ref="R47">+SUMPRODUCT(D47:Q47*$D$3:$Q$3)</f>
        <v>0</v>
      </c>
      <c r="S47" s="177">
        <f>SUM(D47:R47)</f>
        <v>0</v>
      </c>
      <c r="T47" s="177"/>
    </row>
    <row r="48" spans="1:20" s="46" customFormat="1" ht="20.100000000000001" hidden="1" customHeight="1">
      <c r="A48" s="97"/>
      <c r="B48" s="171"/>
      <c r="C48" s="183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174"/>
      <c r="S48" s="17"/>
      <c r="T48" s="17"/>
    </row>
    <row r="49" spans="1:20" s="46" customFormat="1" ht="20.100000000000001" customHeight="1">
      <c r="A49" s="181">
        <v>21</v>
      </c>
      <c r="B49" s="171"/>
      <c r="C49" s="172"/>
      <c r="D49" s="175">
        <f>xxx!D49</f>
        <v>0</v>
      </c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 cm="1">
        <f t="array" ref="R49">+SUMPRODUCT(D49:Q49*$D$3:$Q$3)</f>
        <v>0</v>
      </c>
      <c r="S49" s="177">
        <f>SUM(D49:R49)</f>
        <v>0</v>
      </c>
      <c r="T49" s="177"/>
    </row>
    <row r="50" spans="1:20" s="46" customFormat="1" ht="20.100000000000001" hidden="1" customHeight="1">
      <c r="A50" s="182"/>
      <c r="B50" s="11"/>
      <c r="C50" s="5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174"/>
      <c r="S50" s="17"/>
      <c r="T50" s="17"/>
    </row>
    <row r="51" spans="1:20" s="46" customFormat="1" ht="20.100000000000001" customHeight="1">
      <c r="A51" s="181">
        <v>22</v>
      </c>
      <c r="B51" s="11"/>
      <c r="C51" s="19"/>
      <c r="D51" s="175">
        <f>xxx!D51</f>
        <v>0</v>
      </c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5"/>
      <c r="R51" s="175" cm="1">
        <f t="array" ref="R51">+SUMPRODUCT(D51:Q51*$D$3:$Q$3)</f>
        <v>0</v>
      </c>
      <c r="S51" s="177">
        <f>SUM(D51:R51)</f>
        <v>0</v>
      </c>
      <c r="T51" s="177"/>
    </row>
    <row r="52" spans="1:20" s="46" customFormat="1" ht="20.100000000000001" hidden="1" customHeight="1">
      <c r="A52" s="97"/>
      <c r="B52" s="11"/>
      <c r="C52" s="15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174"/>
      <c r="S52" s="17"/>
      <c r="T52" s="17"/>
    </row>
    <row r="53" spans="1:20" s="46" customFormat="1" ht="20.100000000000001" customHeight="1">
      <c r="A53" s="181">
        <v>23</v>
      </c>
      <c r="B53" s="11"/>
      <c r="C53" s="15"/>
      <c r="D53" s="175">
        <f>xxx!D53</f>
        <v>0</v>
      </c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5"/>
      <c r="R53" s="175" cm="1">
        <f t="array" ref="R53">+SUMPRODUCT(D53:Q53*$D$3:$Q$3)</f>
        <v>0</v>
      </c>
      <c r="S53" s="177">
        <f>SUM(D53:R53)</f>
        <v>0</v>
      </c>
      <c r="T53" s="177"/>
    </row>
    <row r="54" spans="1:20" s="46" customFormat="1" ht="20.100000000000001" hidden="1" customHeight="1">
      <c r="A54" s="182"/>
      <c r="B54" s="11"/>
      <c r="C54" s="15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174"/>
      <c r="S54" s="17"/>
      <c r="T54" s="17"/>
    </row>
    <row r="55" spans="1:20" s="46" customFormat="1" ht="20.100000000000001" customHeight="1">
      <c r="A55" s="181">
        <v>24</v>
      </c>
      <c r="B55" s="11"/>
      <c r="C55" s="80"/>
      <c r="D55" s="175">
        <f>xxx!D55</f>
        <v>0</v>
      </c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5"/>
      <c r="R55" s="175" cm="1">
        <f t="array" ref="R55">+SUMPRODUCT(D55:Q55*$D$3:$Q$3)</f>
        <v>0</v>
      </c>
      <c r="S55" s="177">
        <f>SUM(D55:R55)</f>
        <v>0</v>
      </c>
      <c r="T55" s="177"/>
    </row>
    <row r="56" spans="1:20" s="46" customFormat="1" ht="20.100000000000001" hidden="1" customHeight="1">
      <c r="A56" s="97"/>
      <c r="B56" s="11"/>
      <c r="C56" s="5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174"/>
      <c r="S56" s="17"/>
      <c r="T56" s="17"/>
    </row>
    <row r="57" spans="1:20" s="46" customFormat="1" ht="20.100000000000001" customHeight="1">
      <c r="A57" s="181">
        <v>25</v>
      </c>
      <c r="B57" s="11"/>
      <c r="C57" s="19"/>
      <c r="D57" s="175">
        <f>xxx!D57</f>
        <v>0</v>
      </c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5"/>
      <c r="R57" s="175" cm="1">
        <f t="array" ref="R57">+SUMPRODUCT(D57:Q57*$D$3:$Q$3)</f>
        <v>0</v>
      </c>
      <c r="S57" s="177">
        <f>SUM(D57:R57)</f>
        <v>0</v>
      </c>
      <c r="T57" s="177"/>
    </row>
    <row r="58" spans="1:20" s="46" customFormat="1" ht="20.100000000000001" hidden="1" customHeight="1">
      <c r="A58" s="182"/>
      <c r="B58" s="11"/>
      <c r="C58" s="5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174"/>
      <c r="S58" s="17"/>
      <c r="T58" s="17"/>
    </row>
    <row r="59" spans="1:20" s="46" customFormat="1" ht="21" customHeight="1">
      <c r="A59" s="181">
        <v>26</v>
      </c>
      <c r="B59" s="11"/>
      <c r="C59" s="91"/>
      <c r="D59" s="175">
        <f>xxx!D59</f>
        <v>0</v>
      </c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 cm="1">
        <f t="array" ref="R59">+SUMPRODUCT(D59:Q59*$D$3:$Q$3)</f>
        <v>0</v>
      </c>
      <c r="S59" s="177">
        <f>SUM(D59:R59)</f>
        <v>0</v>
      </c>
      <c r="T59" s="177"/>
    </row>
    <row r="60" spans="1:20" s="46" customFormat="1" ht="20.100000000000001" hidden="1" customHeight="1">
      <c r="A60" s="97"/>
      <c r="B60" s="12"/>
      <c r="C60" s="5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174"/>
      <c r="S60" s="17"/>
      <c r="T60" s="17"/>
    </row>
    <row r="61" spans="1:20" s="46" customFormat="1" ht="20.100000000000001" customHeight="1">
      <c r="A61" s="181">
        <v>27</v>
      </c>
      <c r="B61" s="12"/>
      <c r="C61" s="91"/>
      <c r="D61" s="175">
        <f>xxx!D61</f>
        <v>0</v>
      </c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5"/>
      <c r="R61" s="175" cm="1">
        <f t="array" ref="R61">+SUMPRODUCT(D61:Q61*$D$3:$Q$3)</f>
        <v>0</v>
      </c>
      <c r="S61" s="177">
        <f>SUM(D61:R61)</f>
        <v>0</v>
      </c>
      <c r="T61" s="177"/>
    </row>
    <row r="62" spans="1:20" s="46" customFormat="1" ht="20.100000000000001" hidden="1" customHeight="1">
      <c r="A62" s="182"/>
      <c r="B62" s="12"/>
      <c r="C62" s="91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174"/>
      <c r="S62" s="17"/>
      <c r="T62" s="17"/>
    </row>
    <row r="63" spans="1:20" s="46" customFormat="1" ht="20.100000000000001" customHeight="1">
      <c r="A63" s="181">
        <v>28</v>
      </c>
      <c r="B63" s="12"/>
      <c r="C63" s="91"/>
      <c r="D63" s="175">
        <f>xxx!D63</f>
        <v>0</v>
      </c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5"/>
      <c r="R63" s="175" cm="1">
        <f t="array" ref="R63">+SUMPRODUCT(D63:Q63*$D$3:$Q$3)</f>
        <v>0</v>
      </c>
      <c r="S63" s="177">
        <f>SUM(D63:R63)</f>
        <v>0</v>
      </c>
      <c r="T63" s="177"/>
    </row>
    <row r="64" spans="1:20" s="46" customFormat="1" ht="20.100000000000001" hidden="1" customHeight="1">
      <c r="A64" s="97"/>
      <c r="B64" s="12"/>
      <c r="C64" s="184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174"/>
      <c r="S64" s="17"/>
      <c r="T64" s="17"/>
    </row>
    <row r="65" spans="1:20" s="46" customFormat="1" ht="20.100000000000001" customHeight="1">
      <c r="A65" s="181">
        <v>29</v>
      </c>
      <c r="B65" s="12"/>
      <c r="C65" s="184"/>
      <c r="D65" s="175">
        <f>xxx!D65</f>
        <v>0</v>
      </c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5"/>
      <c r="R65" s="175" cm="1">
        <f t="array" ref="R65">+SUMPRODUCT(D65:Q65*$D$3:$Q$3)</f>
        <v>0</v>
      </c>
      <c r="S65" s="177">
        <f>SUM(D65:R65)</f>
        <v>0</v>
      </c>
      <c r="T65" s="177"/>
    </row>
    <row r="66" spans="1:20" s="46" customFormat="1" ht="20.100000000000001" hidden="1" customHeight="1">
      <c r="A66" s="182"/>
      <c r="B66" s="12"/>
      <c r="C66" s="184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174"/>
      <c r="S66" s="17"/>
      <c r="T66" s="17"/>
    </row>
    <row r="67" spans="1:20" s="46" customFormat="1" ht="20.100000000000001" customHeight="1">
      <c r="A67" s="181">
        <v>30</v>
      </c>
      <c r="B67" s="12"/>
      <c r="C67" s="184"/>
      <c r="D67" s="175">
        <f>xxx!D67</f>
        <v>0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 cm="1">
        <f t="array" ref="R67">+SUMPRODUCT(D67:Q67*$D$3:$Q$3)</f>
        <v>0</v>
      </c>
      <c r="S67" s="177">
        <f>SUM(D67:R67)</f>
        <v>0</v>
      </c>
      <c r="T67" s="177"/>
    </row>
    <row r="68" spans="1:20" s="46" customFormat="1" ht="20.100000000000001" hidden="1" customHeight="1">
      <c r="A68" s="97"/>
      <c r="B68" s="12"/>
      <c r="C68" s="184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174"/>
      <c r="S68" s="17"/>
      <c r="T68" s="17"/>
    </row>
    <row r="69" spans="1:20" s="46" customFormat="1" ht="20.100000000000001" customHeight="1">
      <c r="A69" s="181">
        <v>31</v>
      </c>
      <c r="B69" s="12"/>
      <c r="C69" s="184"/>
      <c r="D69" s="175">
        <f>xxx!D69</f>
        <v>0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 cm="1">
        <f t="array" ref="R69">+SUMPRODUCT(D69:Q69*$D$3:$Q$3)</f>
        <v>0</v>
      </c>
      <c r="S69" s="177">
        <f>SUM(D69:R69)</f>
        <v>0</v>
      </c>
      <c r="T69" s="177"/>
    </row>
    <row r="70" spans="1:20" s="46" customFormat="1" ht="20.100000000000001" hidden="1" customHeight="1">
      <c r="A70" s="182"/>
      <c r="B70" s="11"/>
      <c r="C70" s="5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174"/>
      <c r="S70" s="17"/>
      <c r="T70" s="17"/>
    </row>
    <row r="71" spans="1:20" s="173" customFormat="1" ht="20.100000000000001" customHeight="1">
      <c r="A71" s="181">
        <v>32</v>
      </c>
      <c r="B71" s="171"/>
      <c r="C71" s="172"/>
      <c r="D71" s="175">
        <f>xxx!D71</f>
        <v>0</v>
      </c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75" cm="1">
        <f t="array" ref="R71">+SUMPRODUCT(D71:Q71*$D$3:$Q$3)</f>
        <v>0</v>
      </c>
      <c r="S71" s="177">
        <f>SUM(D71:R71)</f>
        <v>0</v>
      </c>
      <c r="T71" s="186"/>
    </row>
    <row r="72" spans="1:20" s="46" customFormat="1" ht="20.100000000000001" hidden="1" customHeight="1">
      <c r="A72" s="97"/>
      <c r="B72" s="11"/>
      <c r="C72" s="5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174"/>
      <c r="S72" s="17"/>
      <c r="T72" s="17"/>
    </row>
    <row r="73" spans="1:20" s="46" customFormat="1" ht="20.100000000000001" customHeight="1">
      <c r="A73" s="181">
        <v>33</v>
      </c>
      <c r="B73" s="11"/>
      <c r="C73" s="19"/>
      <c r="D73" s="175">
        <f>xxx!D73</f>
        <v>0</v>
      </c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 cm="1">
        <f t="array" ref="R73">+SUMPRODUCT(D73:Q73*$D$3:$Q$3)</f>
        <v>0</v>
      </c>
      <c r="S73" s="177">
        <f>SUM(D73:R73)</f>
        <v>0</v>
      </c>
      <c r="T73" s="177"/>
    </row>
    <row r="74" spans="1:20" s="44" customFormat="1" ht="20.100000000000001" hidden="1" customHeight="1">
      <c r="A74" s="182"/>
      <c r="B74" s="11"/>
      <c r="C74" s="5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174"/>
      <c r="S74" s="17"/>
      <c r="T74" s="17"/>
    </row>
    <row r="75" spans="1:20" s="47" customFormat="1" ht="20.100000000000001" customHeight="1">
      <c r="A75" s="181">
        <v>34</v>
      </c>
      <c r="B75" s="11"/>
      <c r="C75" s="5"/>
      <c r="D75" s="175">
        <f>xxx!D75</f>
        <v>0</v>
      </c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 cm="1">
        <f t="array" ref="R75">+SUMPRODUCT(D75:Q75*$D$3:$Q$3)</f>
        <v>0</v>
      </c>
      <c r="S75" s="177">
        <f>SUM(D75:R75)</f>
        <v>0</v>
      </c>
      <c r="T75" s="177"/>
    </row>
    <row r="76" spans="1:20" s="46" customFormat="1" ht="20.100000000000001" hidden="1" customHeight="1">
      <c r="A76" s="97"/>
      <c r="B76" s="11"/>
      <c r="C76" s="5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174"/>
      <c r="S76" s="17"/>
      <c r="T76" s="17"/>
    </row>
    <row r="77" spans="1:20" s="46" customFormat="1" ht="20.100000000000001" customHeight="1">
      <c r="A77" s="181">
        <v>35</v>
      </c>
      <c r="B77" s="11"/>
      <c r="C77" s="5"/>
      <c r="D77" s="175">
        <f>xxx!D77</f>
        <v>0</v>
      </c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 cm="1">
        <f t="array" ref="R77">+SUMPRODUCT(D77:Q77*$D$3:$Q$3)</f>
        <v>0</v>
      </c>
      <c r="S77" s="177">
        <f>SUM(D77:R77)</f>
        <v>0</v>
      </c>
      <c r="T77" s="177"/>
    </row>
    <row r="78" spans="1:20" s="46" customFormat="1" ht="20.100000000000001" hidden="1" customHeight="1">
      <c r="A78" s="182"/>
      <c r="B78" s="11"/>
      <c r="C78" s="5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174"/>
      <c r="S78" s="17"/>
      <c r="T78" s="17"/>
    </row>
    <row r="79" spans="1:20" s="46" customFormat="1" ht="20.100000000000001" customHeight="1">
      <c r="A79" s="181">
        <v>36</v>
      </c>
      <c r="B79" s="11"/>
      <c r="C79" s="5"/>
      <c r="D79" s="175">
        <f>xxx!D79</f>
        <v>0</v>
      </c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 cm="1">
        <f t="array" ref="R79">+SUMPRODUCT(D79:Q79*$D$3:$Q$3)</f>
        <v>0</v>
      </c>
      <c r="S79" s="177">
        <f>SUM(D79:R79)</f>
        <v>0</v>
      </c>
      <c r="T79" s="177"/>
    </row>
    <row r="80" spans="1:20" s="46" customFormat="1" ht="20.100000000000001" hidden="1" customHeight="1">
      <c r="A80" s="97"/>
      <c r="B80" s="11"/>
      <c r="C80" s="5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174"/>
      <c r="S80" s="17"/>
      <c r="T80" s="17"/>
    </row>
    <row r="81" spans="1:20" s="46" customFormat="1" ht="20.100000000000001" customHeight="1">
      <c r="A81" s="181">
        <v>37</v>
      </c>
      <c r="B81" s="11"/>
      <c r="C81" s="5"/>
      <c r="D81" s="175">
        <f>xxx!D81</f>
        <v>0</v>
      </c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 cm="1">
        <f t="array" ref="R81">+SUMPRODUCT(D81:Q81*$D$3:$Q$3)</f>
        <v>0</v>
      </c>
      <c r="S81" s="177">
        <f>SUM(D81:R81)</f>
        <v>0</v>
      </c>
      <c r="T81" s="177"/>
    </row>
    <row r="82" spans="1:20" s="45" customFormat="1" ht="20.100000000000001" hidden="1" customHeight="1">
      <c r="A82" s="182"/>
      <c r="B82" s="11"/>
      <c r="C82" s="5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174"/>
      <c r="S82" s="17"/>
      <c r="T82" s="17"/>
    </row>
    <row r="83" spans="1:20" s="46" customFormat="1" ht="20.100000000000001" customHeight="1">
      <c r="A83" s="181">
        <v>38</v>
      </c>
      <c r="B83" s="11"/>
      <c r="C83" s="5"/>
      <c r="D83" s="175">
        <f>xxx!D83</f>
        <v>0</v>
      </c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 cm="1">
        <f t="array" ref="R83">+SUMPRODUCT(D83:Q83*$D$3:$Q$3)</f>
        <v>0</v>
      </c>
      <c r="S83" s="177">
        <f>SUM(D83:R83)</f>
        <v>0</v>
      </c>
      <c r="T83" s="177"/>
    </row>
    <row r="84" spans="1:20" s="46" customFormat="1" ht="20.100000000000001" hidden="1" customHeight="1">
      <c r="A84" s="97"/>
      <c r="B84" s="11"/>
      <c r="C84" s="5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174"/>
      <c r="S84" s="17"/>
      <c r="T84" s="17"/>
    </row>
    <row r="85" spans="1:20" s="46" customFormat="1" ht="20.100000000000001" customHeight="1">
      <c r="A85" s="181">
        <v>39</v>
      </c>
      <c r="B85" s="11"/>
      <c r="C85" s="5"/>
      <c r="D85" s="175">
        <f>xxx!D85</f>
        <v>0</v>
      </c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 cm="1">
        <f t="array" ref="R85">+SUMPRODUCT(D85:Q85*$D$3:$Q$3)</f>
        <v>0</v>
      </c>
      <c r="S85" s="177">
        <f>SUM(D85:R85)</f>
        <v>0</v>
      </c>
      <c r="T85" s="177"/>
    </row>
    <row r="86" spans="1:20" s="46" customFormat="1" ht="20.100000000000001" hidden="1" customHeight="1">
      <c r="A86" s="182"/>
      <c r="B86" s="11"/>
      <c r="C86" s="5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174"/>
      <c r="S86" s="17"/>
      <c r="T86" s="17"/>
    </row>
    <row r="87" spans="1:20" s="46" customFormat="1" ht="20.100000000000001" customHeight="1">
      <c r="A87" s="181">
        <v>40</v>
      </c>
      <c r="B87" s="11"/>
      <c r="C87" s="5"/>
      <c r="D87" s="175">
        <f>xxx!D87</f>
        <v>0</v>
      </c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 cm="1">
        <f t="array" ref="R87">+SUMPRODUCT(D87:Q87*$D$3:$Q$3)</f>
        <v>0</v>
      </c>
      <c r="S87" s="177">
        <f>SUM(D87:R87)</f>
        <v>0</v>
      </c>
      <c r="T87" s="177"/>
    </row>
    <row r="88" spans="1:20" s="44" customFormat="1" ht="20.100000000000001" hidden="1" customHeight="1">
      <c r="A88" s="97"/>
      <c r="B88" s="11"/>
      <c r="C88" s="5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174"/>
      <c r="S88" s="17"/>
      <c r="T88" s="17"/>
    </row>
    <row r="89" spans="1:20" s="44" customFormat="1" ht="20.100000000000001" customHeight="1">
      <c r="A89" s="181">
        <v>41</v>
      </c>
      <c r="B89" s="11"/>
      <c r="C89" s="5"/>
      <c r="D89" s="175">
        <f>xxx!D89</f>
        <v>0</v>
      </c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 cm="1">
        <f t="array" ref="R89">+SUMPRODUCT(D89:Q89*$D$3:$Q$3)</f>
        <v>0</v>
      </c>
      <c r="S89" s="177">
        <f>SUM(D89:R89)</f>
        <v>0</v>
      </c>
      <c r="T89" s="177"/>
    </row>
    <row r="90" spans="1:20" s="46" customFormat="1" ht="20.100000000000001" hidden="1" customHeight="1">
      <c r="A90" s="182"/>
      <c r="B90" s="11"/>
      <c r="C90" s="5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174"/>
      <c r="S90" s="17"/>
      <c r="T90" s="17"/>
    </row>
    <row r="91" spans="1:20" s="46" customFormat="1" ht="20.100000000000001" customHeight="1">
      <c r="A91" s="181">
        <v>42</v>
      </c>
      <c r="B91" s="11"/>
      <c r="C91" s="15"/>
      <c r="D91" s="175">
        <f>xxx!D91</f>
        <v>0</v>
      </c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 cm="1">
        <f t="array" ref="R91">+SUMPRODUCT(D91:Q91*$D$3:$Q$3)</f>
        <v>0</v>
      </c>
      <c r="S91" s="177">
        <f>SUM(D91:R91)</f>
        <v>0</v>
      </c>
      <c r="T91" s="177"/>
    </row>
    <row r="92" spans="1:20" s="46" customFormat="1" ht="20.100000000000001" hidden="1" customHeight="1">
      <c r="A92" s="97"/>
      <c r="B92" s="11"/>
      <c r="C92" s="5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174"/>
      <c r="S92" s="17"/>
      <c r="T92" s="17"/>
    </row>
    <row r="93" spans="1:20" s="46" customFormat="1" ht="20.100000000000001" customHeight="1">
      <c r="A93" s="181">
        <v>43</v>
      </c>
      <c r="B93" s="11"/>
      <c r="C93" s="15"/>
      <c r="D93" s="175">
        <f>xxx!D93</f>
        <v>0</v>
      </c>
      <c r="E93" s="175"/>
      <c r="F93" s="175"/>
      <c r="G93" s="175"/>
      <c r="H93" s="175"/>
      <c r="I93" s="175"/>
      <c r="J93" s="175"/>
      <c r="K93" s="175"/>
      <c r="L93" s="175"/>
      <c r="M93" s="175"/>
      <c r="N93" s="175"/>
      <c r="O93" s="175"/>
      <c r="P93" s="175"/>
      <c r="Q93" s="175"/>
      <c r="R93" s="175" cm="1">
        <f t="array" ref="R93">+SUMPRODUCT(D93:Q93*$D$3:$Q$3)</f>
        <v>0</v>
      </c>
      <c r="S93" s="177">
        <f>SUM(D93:R93)</f>
        <v>0</v>
      </c>
      <c r="T93" s="177"/>
    </row>
    <row r="94" spans="1:20" s="45" customFormat="1" ht="20.100000000000001" hidden="1" customHeight="1">
      <c r="A94" s="182"/>
      <c r="B94" s="11"/>
      <c r="C94" s="5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174"/>
      <c r="S94" s="17"/>
      <c r="T94" s="17"/>
    </row>
    <row r="95" spans="1:20" s="45" customFormat="1" ht="20.100000000000001" customHeight="1">
      <c r="A95" s="181">
        <v>44</v>
      </c>
      <c r="B95" s="11"/>
      <c r="C95" s="15"/>
      <c r="D95" s="175">
        <f>xxx!D95</f>
        <v>0</v>
      </c>
      <c r="E95" s="175"/>
      <c r="F95" s="175"/>
      <c r="G95" s="175"/>
      <c r="H95" s="175"/>
      <c r="I95" s="175"/>
      <c r="J95" s="175"/>
      <c r="K95" s="175"/>
      <c r="L95" s="175"/>
      <c r="M95" s="175"/>
      <c r="N95" s="175"/>
      <c r="O95" s="175"/>
      <c r="P95" s="175"/>
      <c r="Q95" s="175"/>
      <c r="R95" s="175" cm="1">
        <f t="array" ref="R95">+SUMPRODUCT(D95:Q95*$D$3:$Q$3)</f>
        <v>0</v>
      </c>
      <c r="S95" s="177">
        <f>SUM(D95:R95)</f>
        <v>0</v>
      </c>
      <c r="T95" s="177"/>
    </row>
    <row r="96" spans="1:20" s="44" customFormat="1" ht="18.75" hidden="1" customHeight="1">
      <c r="A96" s="97"/>
      <c r="B96" s="11"/>
      <c r="C96" s="5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174"/>
      <c r="S96" s="17"/>
      <c r="T96" s="17"/>
    </row>
    <row r="97" spans="1:20" s="44" customFormat="1" ht="20.100000000000001" customHeight="1">
      <c r="A97" s="181">
        <v>45</v>
      </c>
      <c r="B97" s="11"/>
      <c r="C97" s="80"/>
      <c r="D97" s="175">
        <f>xxx!D97</f>
        <v>0</v>
      </c>
      <c r="E97" s="175"/>
      <c r="F97" s="175"/>
      <c r="G97" s="175"/>
      <c r="H97" s="175"/>
      <c r="I97" s="175"/>
      <c r="J97" s="175"/>
      <c r="K97" s="175"/>
      <c r="L97" s="175"/>
      <c r="M97" s="175"/>
      <c r="N97" s="175"/>
      <c r="O97" s="175"/>
      <c r="P97" s="175"/>
      <c r="Q97" s="175"/>
      <c r="R97" s="175" cm="1">
        <f t="array" ref="R97">+SUMPRODUCT(D97:Q97*$D$3:$Q$3)</f>
        <v>0</v>
      </c>
      <c r="S97" s="177">
        <f>SUM(D97:R97)</f>
        <v>0</v>
      </c>
      <c r="T97" s="177"/>
    </row>
    <row r="98" spans="1:20" s="44" customFormat="1" ht="20.100000000000001" hidden="1" customHeight="1">
      <c r="A98" s="182"/>
      <c r="B98" s="11"/>
      <c r="C98" s="15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174"/>
      <c r="S98" s="17"/>
      <c r="T98" s="17"/>
    </row>
    <row r="99" spans="1:20" s="44" customFormat="1" ht="20.100000000000001" customHeight="1">
      <c r="A99" s="181">
        <v>46</v>
      </c>
      <c r="B99" s="11"/>
      <c r="C99" s="15"/>
      <c r="D99" s="175">
        <f>xxx!D99</f>
        <v>0</v>
      </c>
      <c r="E99" s="175"/>
      <c r="F99" s="175"/>
      <c r="G99" s="175"/>
      <c r="H99" s="175"/>
      <c r="I99" s="175"/>
      <c r="J99" s="175"/>
      <c r="K99" s="175"/>
      <c r="L99" s="175"/>
      <c r="M99" s="175"/>
      <c r="N99" s="175"/>
      <c r="O99" s="175"/>
      <c r="P99" s="175"/>
      <c r="Q99" s="175"/>
      <c r="R99" s="175" cm="1">
        <f t="array" ref="R99">+SUMPRODUCT(D99:Q99*$D$3:$Q$3)</f>
        <v>0</v>
      </c>
      <c r="S99" s="177">
        <f>SUM(D99:R99)</f>
        <v>0</v>
      </c>
      <c r="T99" s="177"/>
    </row>
    <row r="100" spans="1:20" s="44" customFormat="1" ht="20.100000000000001" hidden="1" customHeight="1">
      <c r="A100" s="97"/>
      <c r="B100" s="11"/>
      <c r="C100" s="5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174"/>
      <c r="S100" s="17"/>
      <c r="T100" s="17"/>
    </row>
    <row r="101" spans="1:20" s="44" customFormat="1" ht="20.100000000000001" customHeight="1">
      <c r="A101" s="181">
        <v>47</v>
      </c>
      <c r="B101" s="11"/>
      <c r="C101" s="5"/>
      <c r="D101" s="175">
        <f>xxx!D101</f>
        <v>0</v>
      </c>
      <c r="E101" s="175"/>
      <c r="F101" s="175"/>
      <c r="G101" s="175"/>
      <c r="H101" s="175"/>
      <c r="I101" s="175"/>
      <c r="J101" s="175"/>
      <c r="K101" s="175"/>
      <c r="L101" s="175"/>
      <c r="M101" s="175"/>
      <c r="N101" s="175"/>
      <c r="O101" s="175"/>
      <c r="P101" s="175"/>
      <c r="Q101" s="175"/>
      <c r="R101" s="175" cm="1">
        <f t="array" ref="R101">+SUMPRODUCT(D101:Q101*$D$3:$Q$3)</f>
        <v>0</v>
      </c>
      <c r="S101" s="177">
        <f>SUM(D101:R101)</f>
        <v>0</v>
      </c>
      <c r="T101" s="177"/>
    </row>
    <row r="102" spans="1:20" s="44" customFormat="1" ht="20.100000000000001" hidden="1" customHeight="1">
      <c r="A102" s="182"/>
      <c r="B102" s="11"/>
      <c r="C102" s="5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174"/>
      <c r="S102" s="17"/>
      <c r="T102" s="17"/>
    </row>
    <row r="103" spans="1:20" s="44" customFormat="1" ht="20.100000000000001" customHeight="1">
      <c r="A103" s="181">
        <v>48</v>
      </c>
      <c r="B103" s="11"/>
      <c r="C103" s="5"/>
      <c r="D103" s="175">
        <f>xxx!D103</f>
        <v>0</v>
      </c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 cm="1">
        <f t="array" ref="R103">+SUMPRODUCT(D103:Q103*$D$3:$Q$3)</f>
        <v>0</v>
      </c>
      <c r="S103" s="177">
        <f>SUM(D103:R103)</f>
        <v>0</v>
      </c>
      <c r="T103" s="177"/>
    </row>
    <row r="104" spans="1:20" s="44" customFormat="1" ht="20.100000000000001" hidden="1" customHeight="1">
      <c r="A104" s="97"/>
      <c r="B104" s="11"/>
      <c r="C104" s="92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174"/>
      <c r="S104" s="17"/>
      <c r="T104" s="17"/>
    </row>
    <row r="105" spans="1:20" s="44" customFormat="1" ht="20.100000000000001" customHeight="1">
      <c r="A105" s="181">
        <v>49</v>
      </c>
      <c r="B105" s="11"/>
      <c r="C105" s="92"/>
      <c r="D105" s="175">
        <f>xxx!D105</f>
        <v>0</v>
      </c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 cm="1">
        <f t="array" ref="R105">+SUMPRODUCT(D105:Q105*$D$3:$Q$3)</f>
        <v>0</v>
      </c>
      <c r="S105" s="177">
        <f>SUM(D105:R105)</f>
        <v>0</v>
      </c>
      <c r="T105" s="177"/>
    </row>
    <row r="106" spans="1:20" s="44" customFormat="1" ht="20.100000000000001" hidden="1" customHeight="1">
      <c r="A106" s="182"/>
      <c r="B106" s="11"/>
      <c r="C106" s="92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174"/>
      <c r="S106" s="17"/>
      <c r="T106" s="17"/>
    </row>
    <row r="107" spans="1:20" s="44" customFormat="1" ht="20.100000000000001" customHeight="1">
      <c r="A107" s="181">
        <v>50</v>
      </c>
      <c r="B107" s="11"/>
      <c r="C107" s="5"/>
      <c r="D107" s="175">
        <f>xxx!D107</f>
        <v>0</v>
      </c>
      <c r="E107" s="175"/>
      <c r="F107" s="175"/>
      <c r="G107" s="175"/>
      <c r="H107" s="175"/>
      <c r="I107" s="175"/>
      <c r="J107" s="175"/>
      <c r="K107" s="175"/>
      <c r="L107" s="175"/>
      <c r="M107" s="175"/>
      <c r="N107" s="175"/>
      <c r="O107" s="175"/>
      <c r="P107" s="175"/>
      <c r="Q107" s="175"/>
      <c r="R107" s="175" cm="1">
        <f t="array" ref="R107">+SUMPRODUCT(D107:Q107*$D$3:$Q$3)</f>
        <v>0</v>
      </c>
      <c r="S107" s="177">
        <f>SUM(D107:R107)</f>
        <v>0</v>
      </c>
      <c r="T107" s="177"/>
    </row>
    <row r="108" spans="1:20" s="44" customFormat="1" ht="20.100000000000001" hidden="1" customHeight="1">
      <c r="A108" s="97"/>
      <c r="B108" s="11"/>
      <c r="C108" s="92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174"/>
      <c r="S108" s="17"/>
      <c r="T108" s="17"/>
    </row>
    <row r="109" spans="1:20" s="44" customFormat="1" ht="20.100000000000001" customHeight="1">
      <c r="A109" s="181">
        <v>51</v>
      </c>
      <c r="B109" s="11"/>
      <c r="C109" s="5"/>
      <c r="D109" s="175">
        <f>xxx!D109</f>
        <v>0</v>
      </c>
      <c r="E109" s="175"/>
      <c r="F109" s="175"/>
      <c r="G109" s="175"/>
      <c r="H109" s="175"/>
      <c r="I109" s="175"/>
      <c r="J109" s="175"/>
      <c r="K109" s="175"/>
      <c r="L109" s="175"/>
      <c r="M109" s="175"/>
      <c r="N109" s="175"/>
      <c r="O109" s="175"/>
      <c r="P109" s="175"/>
      <c r="Q109" s="175"/>
      <c r="R109" s="175" cm="1">
        <f t="array" ref="R109">+SUMPRODUCT(D109:Q109*$D$3:$Q$3)</f>
        <v>0</v>
      </c>
      <c r="S109" s="177">
        <f>SUM(D109:R109)</f>
        <v>0</v>
      </c>
      <c r="T109" s="177"/>
    </row>
    <row r="110" spans="1:20" s="44" customFormat="1" ht="20.100000000000001" hidden="1" customHeight="1">
      <c r="A110" s="182"/>
      <c r="B110" s="11"/>
      <c r="C110" s="92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174"/>
      <c r="S110" s="17"/>
      <c r="T110" s="17"/>
    </row>
    <row r="111" spans="1:20" s="44" customFormat="1" ht="20.100000000000001" customHeight="1">
      <c r="A111" s="181">
        <v>52</v>
      </c>
      <c r="B111" s="11"/>
      <c r="C111" s="5"/>
      <c r="D111" s="175">
        <f>xxx!D111</f>
        <v>0</v>
      </c>
      <c r="E111" s="175"/>
      <c r="F111" s="175"/>
      <c r="G111" s="175"/>
      <c r="H111" s="175"/>
      <c r="I111" s="175"/>
      <c r="J111" s="175"/>
      <c r="K111" s="175"/>
      <c r="L111" s="175"/>
      <c r="M111" s="175"/>
      <c r="N111" s="175"/>
      <c r="O111" s="175"/>
      <c r="P111" s="175"/>
      <c r="Q111" s="175"/>
      <c r="R111" s="175" cm="1">
        <f t="array" ref="R111">+SUMPRODUCT(D111:Q111*$D$3:$Q$3)</f>
        <v>0</v>
      </c>
      <c r="S111" s="177">
        <f>SUM(D111:R111)</f>
        <v>0</v>
      </c>
      <c r="T111" s="177"/>
    </row>
    <row r="112" spans="1:20" s="44" customFormat="1" ht="20.100000000000001" hidden="1" customHeight="1">
      <c r="A112" s="97"/>
      <c r="B112" s="11"/>
      <c r="C112" s="92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174"/>
      <c r="S112" s="17"/>
      <c r="T112" s="17"/>
    </row>
    <row r="113" spans="1:20" s="44" customFormat="1" ht="20.100000000000001" customHeight="1">
      <c r="A113" s="181">
        <v>53</v>
      </c>
      <c r="B113" s="11"/>
      <c r="C113" s="92"/>
      <c r="D113" s="175">
        <f>xxx!D113</f>
        <v>0</v>
      </c>
      <c r="E113" s="175"/>
      <c r="F113" s="175"/>
      <c r="G113" s="175"/>
      <c r="H113" s="175"/>
      <c r="I113" s="175"/>
      <c r="J113" s="175"/>
      <c r="K113" s="175"/>
      <c r="L113" s="175"/>
      <c r="M113" s="175"/>
      <c r="N113" s="175"/>
      <c r="O113" s="175"/>
      <c r="P113" s="175"/>
      <c r="Q113" s="175"/>
      <c r="R113" s="175" cm="1">
        <f t="array" ref="R113">+SUMPRODUCT(D113:Q113*$D$3:$Q$3)</f>
        <v>0</v>
      </c>
      <c r="S113" s="177">
        <f>SUM(D113:R113)</f>
        <v>0</v>
      </c>
      <c r="T113" s="177"/>
    </row>
    <row r="114" spans="1:20" s="44" customFormat="1" ht="20.100000000000001" hidden="1" customHeight="1">
      <c r="A114" s="182"/>
      <c r="B114" s="11"/>
      <c r="C114" s="92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174"/>
      <c r="S114" s="17"/>
      <c r="T114" s="17"/>
    </row>
    <row r="115" spans="1:20" s="44" customFormat="1" ht="20.100000000000001" customHeight="1">
      <c r="A115" s="181">
        <v>54</v>
      </c>
      <c r="B115" s="11"/>
      <c r="C115" s="5"/>
      <c r="D115" s="175">
        <f>xxx!D115</f>
        <v>0</v>
      </c>
      <c r="E115" s="175"/>
      <c r="F115" s="175"/>
      <c r="G115" s="175"/>
      <c r="H115" s="175"/>
      <c r="I115" s="175"/>
      <c r="J115" s="175"/>
      <c r="K115" s="175"/>
      <c r="L115" s="175"/>
      <c r="M115" s="175"/>
      <c r="N115" s="175"/>
      <c r="O115" s="175"/>
      <c r="P115" s="175"/>
      <c r="Q115" s="175"/>
      <c r="R115" s="175" cm="1">
        <f t="array" ref="R115">+SUMPRODUCT(D115:Q115*$D$3:$Q$3)</f>
        <v>0</v>
      </c>
      <c r="S115" s="177">
        <f>SUM(D115:R115)</f>
        <v>0</v>
      </c>
      <c r="T115" s="177"/>
    </row>
    <row r="116" spans="1:20" s="44" customFormat="1" ht="20.100000000000001" hidden="1" customHeight="1">
      <c r="A116" s="97"/>
      <c r="B116" s="11"/>
      <c r="C116" s="92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174"/>
      <c r="S116" s="17"/>
      <c r="T116" s="17"/>
    </row>
    <row r="117" spans="1:20" s="44" customFormat="1" ht="20.100000000000001" customHeight="1">
      <c r="A117" s="181">
        <v>55</v>
      </c>
      <c r="B117" s="11"/>
      <c r="C117" s="5"/>
      <c r="D117" s="175">
        <f>xxx!D117</f>
        <v>0</v>
      </c>
      <c r="E117" s="175"/>
      <c r="F117" s="175"/>
      <c r="G117" s="175"/>
      <c r="H117" s="175"/>
      <c r="I117" s="175"/>
      <c r="J117" s="175"/>
      <c r="K117" s="175"/>
      <c r="L117" s="175"/>
      <c r="M117" s="175"/>
      <c r="N117" s="175"/>
      <c r="O117" s="175"/>
      <c r="P117" s="175"/>
      <c r="Q117" s="175"/>
      <c r="R117" s="175" cm="1">
        <f t="array" ref="R117">+SUMPRODUCT(D117:Q117*$D$3:$Q$3)</f>
        <v>0</v>
      </c>
      <c r="S117" s="177">
        <f>SUM(D117:R117)</f>
        <v>0</v>
      </c>
      <c r="T117" s="177"/>
    </row>
    <row r="118" spans="1:20" s="44" customFormat="1" ht="20.100000000000001" hidden="1" customHeight="1">
      <c r="A118" s="182"/>
      <c r="B118" s="11"/>
      <c r="C118" s="92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174"/>
      <c r="S118" s="17"/>
      <c r="T118" s="17"/>
    </row>
    <row r="119" spans="1:20" s="44" customFormat="1" ht="20.100000000000001" customHeight="1">
      <c r="A119" s="181">
        <v>56</v>
      </c>
      <c r="B119" s="11"/>
      <c r="C119" s="92"/>
      <c r="D119" s="175">
        <f>xxx!D119</f>
        <v>0</v>
      </c>
      <c r="E119" s="175"/>
      <c r="F119" s="175"/>
      <c r="G119" s="175"/>
      <c r="H119" s="175"/>
      <c r="I119" s="175"/>
      <c r="J119" s="175"/>
      <c r="K119" s="175"/>
      <c r="L119" s="175"/>
      <c r="M119" s="175"/>
      <c r="N119" s="175"/>
      <c r="O119" s="175"/>
      <c r="P119" s="175"/>
      <c r="Q119" s="175"/>
      <c r="R119" s="175" cm="1">
        <f t="array" ref="R119">+SUMPRODUCT(D119:Q119*$D$3:$Q$3)</f>
        <v>0</v>
      </c>
      <c r="S119" s="177">
        <f>SUM(D119:R119)</f>
        <v>0</v>
      </c>
      <c r="T119" s="177"/>
    </row>
    <row r="120" spans="1:20" s="44" customFormat="1" ht="20.25" hidden="1" customHeight="1">
      <c r="A120" s="97"/>
      <c r="B120" s="11"/>
      <c r="C120" s="5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174"/>
      <c r="S120" s="17"/>
      <c r="T120" s="17"/>
    </row>
    <row r="121" spans="1:20" s="44" customFormat="1" ht="20.100000000000001" customHeight="1">
      <c r="A121" s="181">
        <v>57</v>
      </c>
      <c r="B121" s="11"/>
      <c r="C121" s="5"/>
      <c r="D121" s="175">
        <f>xxx!D121</f>
        <v>0</v>
      </c>
      <c r="E121" s="175"/>
      <c r="F121" s="175"/>
      <c r="G121" s="175"/>
      <c r="H121" s="175"/>
      <c r="I121" s="175"/>
      <c r="J121" s="175"/>
      <c r="K121" s="175"/>
      <c r="L121" s="175"/>
      <c r="M121" s="175"/>
      <c r="N121" s="175"/>
      <c r="O121" s="175"/>
      <c r="P121" s="175"/>
      <c r="Q121" s="175"/>
      <c r="R121" s="175" cm="1">
        <f t="array" ref="R121">+SUMPRODUCT(D121:Q121*$D$3:$Q$3)</f>
        <v>0</v>
      </c>
      <c r="S121" s="177">
        <f>SUM(D121:R121)</f>
        <v>0</v>
      </c>
      <c r="T121" s="177"/>
    </row>
    <row r="122" spans="1:20" s="44" customFormat="1" ht="20.100000000000001" hidden="1" customHeight="1">
      <c r="A122" s="182"/>
      <c r="B122" s="11"/>
      <c r="C122" s="5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174"/>
      <c r="S122" s="17"/>
      <c r="T122" s="17"/>
    </row>
    <row r="123" spans="1:20" s="44" customFormat="1" ht="20.100000000000001" customHeight="1">
      <c r="A123" s="181">
        <v>58</v>
      </c>
      <c r="B123" s="11"/>
      <c r="C123" s="5"/>
      <c r="D123" s="175">
        <f>xxx!D123</f>
        <v>0</v>
      </c>
      <c r="E123" s="175"/>
      <c r="F123" s="175"/>
      <c r="G123" s="175"/>
      <c r="H123" s="175"/>
      <c r="I123" s="175"/>
      <c r="J123" s="175"/>
      <c r="K123" s="175"/>
      <c r="L123" s="175"/>
      <c r="M123" s="175"/>
      <c r="N123" s="175"/>
      <c r="O123" s="175"/>
      <c r="P123" s="175"/>
      <c r="Q123" s="175"/>
      <c r="R123" s="175" cm="1">
        <f t="array" ref="R123">+SUMPRODUCT(D123:Q123*$D$3:$Q$3)</f>
        <v>0</v>
      </c>
      <c r="S123" s="177">
        <f>SUM(D123:R123)</f>
        <v>0</v>
      </c>
      <c r="T123" s="177"/>
    </row>
    <row r="124" spans="1:20" s="44" customFormat="1" ht="20.100000000000001" hidden="1" customHeight="1">
      <c r="A124" s="97"/>
      <c r="B124" s="11"/>
      <c r="C124" s="11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174"/>
      <c r="S124" s="17"/>
      <c r="T124" s="17"/>
    </row>
    <row r="125" spans="1:20" s="44" customFormat="1" ht="21" customHeight="1">
      <c r="A125" s="181">
        <v>59</v>
      </c>
      <c r="B125" s="11"/>
      <c r="C125" s="92"/>
      <c r="D125" s="175">
        <f>xxx!D125</f>
        <v>0</v>
      </c>
      <c r="E125" s="175"/>
      <c r="F125" s="175"/>
      <c r="G125" s="175"/>
      <c r="H125" s="175"/>
      <c r="I125" s="175"/>
      <c r="J125" s="175"/>
      <c r="K125" s="175"/>
      <c r="L125" s="175"/>
      <c r="M125" s="175"/>
      <c r="N125" s="175"/>
      <c r="O125" s="175"/>
      <c r="P125" s="175"/>
      <c r="Q125" s="175"/>
      <c r="R125" s="175" cm="1">
        <f t="array" ref="R125">+SUMPRODUCT(D125:Q125*$D$3:$Q$3)</f>
        <v>0</v>
      </c>
      <c r="S125" s="177">
        <f>SUM(D125:R125)</f>
        <v>0</v>
      </c>
      <c r="T125" s="177"/>
    </row>
    <row r="126" spans="1:20" s="44" customFormat="1" ht="20.100000000000001" hidden="1" customHeight="1">
      <c r="A126" s="182"/>
      <c r="B126" s="11"/>
      <c r="C126" s="5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174"/>
      <c r="S126" s="17"/>
      <c r="T126" s="17"/>
    </row>
    <row r="127" spans="1:20" s="44" customFormat="1" ht="20.100000000000001" customHeight="1">
      <c r="A127" s="181">
        <v>60</v>
      </c>
      <c r="B127" s="11"/>
      <c r="C127" s="92"/>
      <c r="D127" s="175">
        <f>xxx!D127</f>
        <v>0</v>
      </c>
      <c r="E127" s="175"/>
      <c r="F127" s="175"/>
      <c r="G127" s="175"/>
      <c r="H127" s="175"/>
      <c r="I127" s="175"/>
      <c r="J127" s="175"/>
      <c r="K127" s="175"/>
      <c r="L127" s="175"/>
      <c r="M127" s="175"/>
      <c r="N127" s="175"/>
      <c r="O127" s="175"/>
      <c r="P127" s="175"/>
      <c r="Q127" s="175"/>
      <c r="R127" s="175" cm="1">
        <f t="array" ref="R127">+SUMPRODUCT(D127:Q127*$D$3:$Q$3)</f>
        <v>0</v>
      </c>
      <c r="S127" s="177">
        <f>SUM(D127:R127)</f>
        <v>0</v>
      </c>
      <c r="T127" s="177"/>
    </row>
    <row r="128" spans="1:20" s="24" customFormat="1" ht="20.100000000000001" hidden="1" customHeight="1">
      <c r="A128" s="97"/>
      <c r="B128" s="11"/>
      <c r="C128" s="5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174"/>
      <c r="S128" s="17"/>
      <c r="T128" s="17"/>
    </row>
    <row r="129" spans="1:20" s="24" customFormat="1" ht="20.100000000000001" customHeight="1">
      <c r="A129" s="181">
        <v>61</v>
      </c>
      <c r="B129" s="11"/>
      <c r="C129" s="11"/>
      <c r="D129" s="175">
        <f>xxx!D129</f>
        <v>0</v>
      </c>
      <c r="E129" s="175"/>
      <c r="F129" s="175"/>
      <c r="G129" s="175"/>
      <c r="H129" s="175"/>
      <c r="I129" s="175"/>
      <c r="J129" s="175"/>
      <c r="K129" s="175"/>
      <c r="L129" s="175"/>
      <c r="M129" s="175"/>
      <c r="N129" s="175"/>
      <c r="O129" s="175"/>
      <c r="P129" s="175"/>
      <c r="Q129" s="175"/>
      <c r="R129" s="175" cm="1">
        <f t="array" ref="R129">+SUMPRODUCT(D129:Q129*$D$3:$Q$3)</f>
        <v>0</v>
      </c>
      <c r="S129" s="177">
        <f>SUM(D129:R129)</f>
        <v>0</v>
      </c>
      <c r="T129" s="177"/>
    </row>
    <row r="130" spans="1:20" s="24" customFormat="1" ht="20.100000000000001" hidden="1" customHeight="1">
      <c r="A130" s="182"/>
      <c r="B130" s="11"/>
      <c r="C130" s="5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174"/>
      <c r="S130" s="17"/>
      <c r="T130" s="17"/>
    </row>
    <row r="131" spans="1:20" s="24" customFormat="1" ht="20.100000000000001" customHeight="1">
      <c r="A131" s="181">
        <v>62</v>
      </c>
      <c r="B131" s="11"/>
      <c r="C131" s="5"/>
      <c r="D131" s="175">
        <f>xxx!D131</f>
        <v>0</v>
      </c>
      <c r="E131" s="175"/>
      <c r="F131" s="175"/>
      <c r="G131" s="175"/>
      <c r="H131" s="175"/>
      <c r="I131" s="175"/>
      <c r="J131" s="175"/>
      <c r="K131" s="175"/>
      <c r="L131" s="175"/>
      <c r="M131" s="175"/>
      <c r="N131" s="175"/>
      <c r="O131" s="175"/>
      <c r="P131" s="175"/>
      <c r="Q131" s="175"/>
      <c r="R131" s="175" cm="1">
        <f t="array" ref="R131">+SUMPRODUCT(D131:Q131*$D$3:$Q$3)</f>
        <v>0</v>
      </c>
      <c r="S131" s="177">
        <f>SUM(D131:R131)</f>
        <v>0</v>
      </c>
      <c r="T131" s="177"/>
    </row>
    <row r="132" spans="1:20" s="24" customFormat="1" ht="20.100000000000001" hidden="1" customHeight="1">
      <c r="A132" s="97"/>
      <c r="B132" s="11"/>
      <c r="C132" s="5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174"/>
      <c r="S132" s="17"/>
      <c r="T132" s="17"/>
    </row>
    <row r="133" spans="1:20" s="24" customFormat="1" ht="20.100000000000001" customHeight="1">
      <c r="A133" s="181">
        <v>63</v>
      </c>
      <c r="B133" s="11"/>
      <c r="C133" s="92"/>
      <c r="D133" s="175">
        <f>xxx!D133</f>
        <v>0</v>
      </c>
      <c r="E133" s="175"/>
      <c r="F133" s="175"/>
      <c r="G133" s="175"/>
      <c r="H133" s="175"/>
      <c r="I133" s="175"/>
      <c r="J133" s="175"/>
      <c r="K133" s="175"/>
      <c r="L133" s="175"/>
      <c r="M133" s="175"/>
      <c r="N133" s="175"/>
      <c r="O133" s="175"/>
      <c r="P133" s="175"/>
      <c r="Q133" s="175"/>
      <c r="R133" s="175" cm="1">
        <f t="array" ref="R133">+SUMPRODUCT(D133:Q133*$D$3:$Q$3)</f>
        <v>0</v>
      </c>
      <c r="S133" s="177">
        <f>SUM(D133:R133)</f>
        <v>0</v>
      </c>
      <c r="T133" s="177"/>
    </row>
    <row r="134" spans="1:20" s="24" customFormat="1" ht="20.100000000000001" hidden="1" customHeight="1">
      <c r="A134" s="182"/>
      <c r="B134" s="11"/>
      <c r="C134" s="5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174"/>
      <c r="S134" s="17"/>
      <c r="T134" s="17"/>
    </row>
    <row r="135" spans="1:20" s="24" customFormat="1" ht="19.5" customHeight="1">
      <c r="A135" s="181">
        <v>64</v>
      </c>
      <c r="B135" s="11"/>
      <c r="C135" s="92"/>
      <c r="D135" s="175">
        <f>xxx!D135</f>
        <v>0</v>
      </c>
      <c r="E135" s="175"/>
      <c r="F135" s="175"/>
      <c r="G135" s="175"/>
      <c r="H135" s="175"/>
      <c r="I135" s="175"/>
      <c r="J135" s="175"/>
      <c r="K135" s="175"/>
      <c r="L135" s="175"/>
      <c r="M135" s="175"/>
      <c r="N135" s="175"/>
      <c r="O135" s="175"/>
      <c r="P135" s="175"/>
      <c r="Q135" s="175"/>
      <c r="R135" s="175" cm="1">
        <f t="array" ref="R135">+SUMPRODUCT(D135:Q135*$D$3:$Q$3)</f>
        <v>0</v>
      </c>
      <c r="S135" s="177">
        <f>SUM(D135:R135)</f>
        <v>0</v>
      </c>
      <c r="T135" s="177"/>
    </row>
    <row r="136" spans="1:20" s="24" customFormat="1" ht="20.100000000000001" hidden="1" customHeight="1">
      <c r="A136" s="97"/>
      <c r="B136" s="11"/>
      <c r="C136" s="5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174"/>
      <c r="S136" s="17"/>
      <c r="T136" s="17"/>
    </row>
    <row r="137" spans="1:20" s="24" customFormat="1" ht="20.100000000000001" customHeight="1">
      <c r="A137" s="181">
        <v>65</v>
      </c>
      <c r="B137" s="11"/>
      <c r="C137" s="5"/>
      <c r="D137" s="175">
        <f>xxx!D137</f>
        <v>0</v>
      </c>
      <c r="E137" s="175"/>
      <c r="F137" s="175"/>
      <c r="G137" s="175"/>
      <c r="H137" s="175"/>
      <c r="I137" s="175"/>
      <c r="J137" s="175"/>
      <c r="K137" s="175"/>
      <c r="L137" s="175"/>
      <c r="M137" s="175"/>
      <c r="N137" s="175"/>
      <c r="O137" s="175"/>
      <c r="P137" s="175"/>
      <c r="Q137" s="175"/>
      <c r="R137" s="175" cm="1">
        <f t="array" ref="R137">+SUMPRODUCT(D137:Q137*$D$3:$Q$3)</f>
        <v>0</v>
      </c>
      <c r="S137" s="177">
        <f>SUM(D137:R137)</f>
        <v>0</v>
      </c>
      <c r="T137" s="177"/>
    </row>
    <row r="138" spans="1:20" s="24" customFormat="1" ht="20.100000000000001" hidden="1" customHeight="1">
      <c r="A138" s="182"/>
      <c r="B138" s="11"/>
      <c r="C138" s="5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174"/>
      <c r="S138" s="17"/>
      <c r="T138" s="17"/>
    </row>
    <row r="139" spans="1:20" s="24" customFormat="1" ht="20.100000000000001" customHeight="1">
      <c r="A139" s="181">
        <v>66</v>
      </c>
      <c r="B139" s="11"/>
      <c r="C139" s="5"/>
      <c r="D139" s="175">
        <f>xxx!D139</f>
        <v>0</v>
      </c>
      <c r="E139" s="175"/>
      <c r="F139" s="175"/>
      <c r="G139" s="175"/>
      <c r="H139" s="175"/>
      <c r="I139" s="175"/>
      <c r="J139" s="175"/>
      <c r="K139" s="175"/>
      <c r="L139" s="175"/>
      <c r="M139" s="175"/>
      <c r="N139" s="175"/>
      <c r="O139" s="175"/>
      <c r="P139" s="175"/>
      <c r="Q139" s="175"/>
      <c r="R139" s="175" cm="1">
        <f t="array" ref="R139">+SUMPRODUCT(D139:Q139*$D$3:$Q$3)</f>
        <v>0</v>
      </c>
      <c r="S139" s="177">
        <f>SUM(D139:R139)</f>
        <v>0</v>
      </c>
      <c r="T139" s="177"/>
    </row>
    <row r="140" spans="1:20" s="24" customFormat="1" ht="21.75" hidden="1" customHeight="1">
      <c r="A140" s="97"/>
      <c r="B140" s="11"/>
      <c r="C140" s="5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174"/>
      <c r="S140" s="17"/>
      <c r="T140" s="17"/>
    </row>
    <row r="141" spans="1:20" s="24" customFormat="1" ht="20.100000000000001" customHeight="1">
      <c r="A141" s="181">
        <v>67</v>
      </c>
      <c r="B141" s="11"/>
      <c r="C141" s="5"/>
      <c r="D141" s="175">
        <f>xxx!D141</f>
        <v>0</v>
      </c>
      <c r="E141" s="175"/>
      <c r="F141" s="175"/>
      <c r="G141" s="175"/>
      <c r="H141" s="175"/>
      <c r="I141" s="175"/>
      <c r="J141" s="175"/>
      <c r="K141" s="175"/>
      <c r="L141" s="175"/>
      <c r="M141" s="175"/>
      <c r="N141" s="175"/>
      <c r="O141" s="175"/>
      <c r="P141" s="175"/>
      <c r="Q141" s="175"/>
      <c r="R141" s="175" cm="1">
        <f t="array" ref="R141">+SUMPRODUCT(D141:Q141*$D$3:$Q$3)</f>
        <v>0</v>
      </c>
      <c r="S141" s="177">
        <f>SUM(D141:R141)</f>
        <v>0</v>
      </c>
      <c r="T141" s="177"/>
    </row>
    <row r="142" spans="1:20" s="24" customFormat="1" ht="20.100000000000001" hidden="1" customHeight="1">
      <c r="A142" s="182"/>
      <c r="B142" s="11"/>
      <c r="C142" s="5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174"/>
      <c r="S142" s="17"/>
      <c r="T142" s="17"/>
    </row>
    <row r="143" spans="1:20" s="24" customFormat="1" ht="20.100000000000001" customHeight="1">
      <c r="A143" s="181">
        <v>68</v>
      </c>
      <c r="B143" s="11"/>
      <c r="C143" s="5"/>
      <c r="D143" s="175">
        <f>xxx!D143</f>
        <v>0</v>
      </c>
      <c r="E143" s="175"/>
      <c r="F143" s="175"/>
      <c r="G143" s="175"/>
      <c r="H143" s="175"/>
      <c r="I143" s="175"/>
      <c r="J143" s="175"/>
      <c r="K143" s="175"/>
      <c r="L143" s="175"/>
      <c r="M143" s="175"/>
      <c r="N143" s="175"/>
      <c r="O143" s="175"/>
      <c r="P143" s="175"/>
      <c r="Q143" s="175"/>
      <c r="R143" s="175" cm="1">
        <f t="array" ref="R143">+SUMPRODUCT(D143:Q143*$D$3:$Q$3)</f>
        <v>0</v>
      </c>
      <c r="S143" s="177">
        <f>SUM(D143:R143)</f>
        <v>0</v>
      </c>
      <c r="T143" s="177"/>
    </row>
    <row r="144" spans="1:20" s="24" customFormat="1" ht="20.100000000000001" hidden="1" customHeight="1">
      <c r="A144" s="97"/>
      <c r="B144" s="11"/>
      <c r="C144" s="5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174"/>
      <c r="S144" s="17"/>
      <c r="T144" s="17"/>
    </row>
    <row r="145" spans="1:20" s="24" customFormat="1" ht="20.100000000000001" hidden="1" customHeight="1">
      <c r="A145" s="181">
        <v>69</v>
      </c>
      <c r="B145" s="11"/>
      <c r="C145" s="5"/>
      <c r="D145" s="175">
        <f>xxx!D145</f>
        <v>0</v>
      </c>
      <c r="E145" s="175"/>
      <c r="F145" s="175"/>
      <c r="G145" s="175"/>
      <c r="H145" s="175"/>
      <c r="I145" s="175"/>
      <c r="J145" s="175"/>
      <c r="K145" s="175"/>
      <c r="L145" s="175"/>
      <c r="M145" s="175"/>
      <c r="N145" s="175"/>
      <c r="O145" s="175"/>
      <c r="P145" s="175"/>
      <c r="Q145" s="175"/>
      <c r="R145" s="175" cm="1">
        <f t="array" ref="R145">+SUMPRODUCT(D145:Q145*$D$3:$Q$3)</f>
        <v>0</v>
      </c>
      <c r="S145" s="177">
        <f>SUM(D145:R145)</f>
        <v>0</v>
      </c>
      <c r="T145" s="177"/>
    </row>
    <row r="146" spans="1:20" s="24" customFormat="1" ht="20.100000000000001" hidden="1" customHeight="1">
      <c r="A146" s="182"/>
      <c r="B146" s="11"/>
      <c r="C146" s="5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174"/>
      <c r="S146" s="17"/>
      <c r="T146" s="17"/>
    </row>
    <row r="147" spans="1:20" s="24" customFormat="1" ht="20.100000000000001" hidden="1" customHeight="1">
      <c r="A147" s="181">
        <v>70</v>
      </c>
      <c r="B147" s="11"/>
      <c r="C147" s="5"/>
      <c r="D147" s="175">
        <f>xxx!D147</f>
        <v>0</v>
      </c>
      <c r="E147" s="175"/>
      <c r="F147" s="175"/>
      <c r="G147" s="175"/>
      <c r="H147" s="175"/>
      <c r="I147" s="175"/>
      <c r="J147" s="175"/>
      <c r="K147" s="175"/>
      <c r="L147" s="175"/>
      <c r="M147" s="175"/>
      <c r="N147" s="175"/>
      <c r="O147" s="175"/>
      <c r="P147" s="175"/>
      <c r="Q147" s="175"/>
      <c r="R147" s="175" cm="1">
        <f t="array" ref="R147">+SUMPRODUCT(D147:Q147*$D$3:$Q$3)</f>
        <v>0</v>
      </c>
      <c r="S147" s="177">
        <f>SUM(D147:R147)</f>
        <v>0</v>
      </c>
      <c r="T147" s="177"/>
    </row>
    <row r="148" spans="1:20" s="24" customFormat="1" ht="20.100000000000001" hidden="1" customHeight="1">
      <c r="A148" s="97"/>
      <c r="B148" s="11"/>
      <c r="C148" s="5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174"/>
      <c r="S148" s="17"/>
      <c r="T148" s="17"/>
    </row>
    <row r="149" spans="1:20" s="24" customFormat="1" ht="20.25" hidden="1" customHeight="1">
      <c r="A149" s="181">
        <v>71</v>
      </c>
      <c r="B149" s="11"/>
      <c r="C149" s="5"/>
      <c r="D149" s="175">
        <f>xxx!D149</f>
        <v>0</v>
      </c>
      <c r="E149" s="175"/>
      <c r="F149" s="175"/>
      <c r="G149" s="175"/>
      <c r="H149" s="175"/>
      <c r="I149" s="175"/>
      <c r="J149" s="175"/>
      <c r="K149" s="175"/>
      <c r="L149" s="175"/>
      <c r="M149" s="175"/>
      <c r="N149" s="175"/>
      <c r="O149" s="175"/>
      <c r="P149" s="175"/>
      <c r="Q149" s="175"/>
      <c r="R149" s="175" cm="1">
        <f t="array" ref="R149">+SUMPRODUCT(D149:Q149*$D$3:$Q$3)</f>
        <v>0</v>
      </c>
      <c r="S149" s="177">
        <f>SUM(D149:R149)</f>
        <v>0</v>
      </c>
      <c r="T149" s="177"/>
    </row>
    <row r="150" spans="1:20" s="24" customFormat="1" ht="20.100000000000001" hidden="1" customHeight="1">
      <c r="A150" s="182"/>
      <c r="B150" s="11"/>
      <c r="C150" s="5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174"/>
      <c r="S150" s="17"/>
      <c r="T150" s="17"/>
    </row>
    <row r="151" spans="1:20" s="24" customFormat="1" ht="21" hidden="1" customHeight="1">
      <c r="A151" s="181">
        <v>72</v>
      </c>
      <c r="B151" s="11"/>
      <c r="C151" s="5"/>
      <c r="D151" s="175">
        <f>xxx!D151</f>
        <v>0</v>
      </c>
      <c r="E151" s="175"/>
      <c r="F151" s="175"/>
      <c r="G151" s="175"/>
      <c r="H151" s="175"/>
      <c r="I151" s="175"/>
      <c r="J151" s="175"/>
      <c r="K151" s="175"/>
      <c r="L151" s="175"/>
      <c r="M151" s="175"/>
      <c r="N151" s="175"/>
      <c r="O151" s="175"/>
      <c r="P151" s="175"/>
      <c r="Q151" s="175"/>
      <c r="R151" s="175" cm="1">
        <f t="array" ref="R151">+SUMPRODUCT(D151:Q151*$D$3:$Q$3)</f>
        <v>0</v>
      </c>
      <c r="S151" s="177">
        <f>SUM(D151:R151)</f>
        <v>0</v>
      </c>
      <c r="T151" s="177"/>
    </row>
    <row r="152" spans="1:20" s="24" customFormat="1" ht="20.100000000000001" hidden="1" customHeight="1">
      <c r="A152" s="97"/>
      <c r="B152" s="11"/>
      <c r="C152" s="5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174"/>
      <c r="S152" s="17"/>
      <c r="T152" s="17"/>
    </row>
    <row r="153" spans="1:20" s="24" customFormat="1" ht="20.100000000000001" hidden="1" customHeight="1">
      <c r="A153" s="181">
        <v>73</v>
      </c>
      <c r="B153" s="11"/>
      <c r="C153" s="5"/>
      <c r="D153" s="175">
        <f>xxx!D153</f>
        <v>0</v>
      </c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175"/>
      <c r="P153" s="175"/>
      <c r="Q153" s="175"/>
      <c r="R153" s="175" cm="1">
        <f t="array" ref="R153">+SUMPRODUCT(D153:Q153*$D$3:$Q$3)</f>
        <v>0</v>
      </c>
      <c r="S153" s="177">
        <f>SUM(D153:R153)</f>
        <v>0</v>
      </c>
      <c r="T153" s="177"/>
    </row>
    <row r="154" spans="1:20" s="24" customFormat="1" ht="20.100000000000001" hidden="1" customHeight="1">
      <c r="A154" s="182"/>
      <c r="B154" s="11"/>
      <c r="C154" s="5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174"/>
      <c r="S154" s="17"/>
      <c r="T154" s="17"/>
    </row>
    <row r="155" spans="1:20" s="24" customFormat="1" ht="20.25" hidden="1" customHeight="1">
      <c r="A155" s="181">
        <v>74</v>
      </c>
      <c r="B155" s="12"/>
      <c r="C155" s="91"/>
      <c r="D155" s="175">
        <f>xxx!D155</f>
        <v>0</v>
      </c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 cm="1">
        <f t="array" ref="R155">+SUMPRODUCT(D155:Q155*$D$3:$Q$3)</f>
        <v>0</v>
      </c>
      <c r="S155" s="177">
        <f>SUM(D155:R155)</f>
        <v>0</v>
      </c>
      <c r="T155" s="177"/>
    </row>
    <row r="156" spans="1:20" s="24" customFormat="1" ht="20.100000000000001" hidden="1" customHeight="1">
      <c r="A156" s="97"/>
      <c r="B156" s="12"/>
      <c r="C156" s="91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174"/>
      <c r="S156" s="17"/>
      <c r="T156" s="17"/>
    </row>
    <row r="157" spans="1:20" s="24" customFormat="1" ht="20.100000000000001" hidden="1" customHeight="1">
      <c r="A157" s="181">
        <v>75</v>
      </c>
      <c r="B157" s="12"/>
      <c r="C157" s="91"/>
      <c r="D157" s="175">
        <f>xxx!D157</f>
        <v>0</v>
      </c>
      <c r="E157" s="175"/>
      <c r="F157" s="175"/>
      <c r="G157" s="175"/>
      <c r="H157" s="175"/>
      <c r="I157" s="175"/>
      <c r="J157" s="175"/>
      <c r="K157" s="175"/>
      <c r="L157" s="175"/>
      <c r="M157" s="175"/>
      <c r="N157" s="175"/>
      <c r="O157" s="175"/>
      <c r="P157" s="175"/>
      <c r="Q157" s="175"/>
      <c r="R157" s="175" cm="1">
        <f t="array" ref="R157">+SUMPRODUCT(D157:Q157*$D$3:$Q$3)</f>
        <v>0</v>
      </c>
      <c r="S157" s="177">
        <f>SUM(D157:R157)</f>
        <v>0</v>
      </c>
      <c r="T157" s="177"/>
    </row>
    <row r="158" spans="1:20" s="24" customFormat="1" ht="20.100000000000001" hidden="1" customHeight="1">
      <c r="A158" s="182"/>
      <c r="B158" s="11"/>
      <c r="C158" s="5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174"/>
      <c r="S158" s="17"/>
      <c r="T158" s="17"/>
    </row>
    <row r="159" spans="1:20" s="24" customFormat="1" ht="20.100000000000001" hidden="1" customHeight="1">
      <c r="A159" s="181">
        <v>76</v>
      </c>
      <c r="B159" s="11"/>
      <c r="C159" s="5"/>
      <c r="D159" s="175">
        <f>xxx!D159</f>
        <v>0</v>
      </c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5" cm="1">
        <f t="array" ref="R159">+SUMPRODUCT(D159:Q159*$D$3:$Q$3)</f>
        <v>0</v>
      </c>
      <c r="S159" s="177">
        <f>SUM(D159:R159)</f>
        <v>0</v>
      </c>
      <c r="T159" s="177"/>
    </row>
    <row r="160" spans="1:20" s="24" customFormat="1" ht="20.100000000000001" hidden="1" customHeight="1">
      <c r="A160" s="97"/>
      <c r="B160" s="11"/>
      <c r="C160" s="5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174"/>
      <c r="S160" s="17"/>
      <c r="T160" s="17"/>
    </row>
    <row r="161" spans="1:20" s="24" customFormat="1" ht="20.100000000000001" hidden="1" customHeight="1">
      <c r="A161" s="181">
        <v>77</v>
      </c>
      <c r="B161" s="11"/>
      <c r="C161" s="5"/>
      <c r="D161" s="175">
        <f>xxx!D161</f>
        <v>0</v>
      </c>
      <c r="E161" s="175"/>
      <c r="F161" s="175"/>
      <c r="G161" s="175"/>
      <c r="H161" s="175"/>
      <c r="I161" s="175"/>
      <c r="J161" s="175"/>
      <c r="K161" s="175"/>
      <c r="L161" s="175"/>
      <c r="M161" s="175"/>
      <c r="N161" s="175"/>
      <c r="O161" s="175"/>
      <c r="P161" s="175"/>
      <c r="Q161" s="175"/>
      <c r="R161" s="175" cm="1">
        <f t="array" ref="R161">+SUMPRODUCT(D161:Q161*$D$3:$Q$3)</f>
        <v>0</v>
      </c>
      <c r="S161" s="177">
        <f>SUM(D161:R161)</f>
        <v>0</v>
      </c>
      <c r="T161" s="177"/>
    </row>
    <row r="162" spans="1:20" s="24" customFormat="1" ht="20.100000000000001" hidden="1" customHeight="1">
      <c r="A162" s="182"/>
      <c r="B162" s="11"/>
      <c r="C162" s="5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174"/>
      <c r="S162" s="17"/>
      <c r="T162" s="17"/>
    </row>
    <row r="163" spans="1:20" s="24" customFormat="1" ht="20.100000000000001" hidden="1" customHeight="1">
      <c r="A163" s="181">
        <v>78</v>
      </c>
      <c r="B163" s="11"/>
      <c r="C163" s="5"/>
      <c r="D163" s="175">
        <f>xxx!D163</f>
        <v>0</v>
      </c>
      <c r="E163" s="175"/>
      <c r="F163" s="175"/>
      <c r="G163" s="175"/>
      <c r="H163" s="175"/>
      <c r="I163" s="175"/>
      <c r="J163" s="175"/>
      <c r="K163" s="175"/>
      <c r="L163" s="175"/>
      <c r="M163" s="175"/>
      <c r="N163" s="175"/>
      <c r="O163" s="175"/>
      <c r="P163" s="175"/>
      <c r="Q163" s="175"/>
      <c r="R163" s="175" cm="1">
        <f t="array" ref="R163">+SUMPRODUCT(D163:Q163*$D$3:$Q$3)</f>
        <v>0</v>
      </c>
      <c r="S163" s="177">
        <f>SUM(D163:R163)</f>
        <v>0</v>
      </c>
      <c r="T163" s="177"/>
    </row>
    <row r="164" spans="1:20" s="24" customFormat="1" ht="20.100000000000001" hidden="1" customHeight="1">
      <c r="A164" s="97"/>
      <c r="B164" s="11"/>
      <c r="C164" s="5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174"/>
      <c r="S164" s="17"/>
      <c r="T164" s="17"/>
    </row>
    <row r="165" spans="1:20" s="24" customFormat="1" ht="20.100000000000001" hidden="1" customHeight="1">
      <c r="A165" s="181">
        <v>79</v>
      </c>
      <c r="B165" s="11"/>
      <c r="C165" s="5"/>
      <c r="D165" s="175">
        <f>xxx!D165</f>
        <v>0</v>
      </c>
      <c r="E165" s="175"/>
      <c r="F165" s="175"/>
      <c r="G165" s="175"/>
      <c r="H165" s="175"/>
      <c r="I165" s="175"/>
      <c r="J165" s="175"/>
      <c r="K165" s="175"/>
      <c r="L165" s="175"/>
      <c r="M165" s="175"/>
      <c r="N165" s="175"/>
      <c r="O165" s="175"/>
      <c r="P165" s="175"/>
      <c r="Q165" s="175"/>
      <c r="R165" s="175" cm="1">
        <f t="array" ref="R165">+SUMPRODUCT(D165:Q165*$D$3:$Q$3)</f>
        <v>0</v>
      </c>
      <c r="S165" s="177">
        <f>SUM(D165:R165)</f>
        <v>0</v>
      </c>
      <c r="T165" s="177"/>
    </row>
    <row r="166" spans="1:20" s="24" customFormat="1" ht="20.100000000000001" hidden="1" customHeight="1">
      <c r="A166" s="182"/>
      <c r="B166" s="11"/>
      <c r="C166" s="5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174"/>
      <c r="S166" s="17"/>
      <c r="T166" s="17"/>
    </row>
    <row r="167" spans="1:20" s="24" customFormat="1" ht="20.100000000000001" hidden="1" customHeight="1">
      <c r="A167" s="181">
        <v>80</v>
      </c>
      <c r="B167" s="11"/>
      <c r="C167" s="5"/>
      <c r="D167" s="175">
        <f>xxx!D167</f>
        <v>0</v>
      </c>
      <c r="E167" s="175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 cm="1">
        <f t="array" ref="R167">+SUMPRODUCT(D167:Q167*$D$3:$Q$3)</f>
        <v>0</v>
      </c>
      <c r="S167" s="177">
        <f>SUM(D167:R167)</f>
        <v>0</v>
      </c>
      <c r="T167" s="177"/>
    </row>
    <row r="168" spans="1:20" s="24" customFormat="1" ht="20.100000000000001" hidden="1" customHeight="1">
      <c r="A168" s="97"/>
      <c r="B168" s="11"/>
      <c r="C168" s="5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174"/>
      <c r="S168" s="17"/>
      <c r="T168" s="17"/>
    </row>
    <row r="169" spans="1:20" s="24" customFormat="1" ht="20.100000000000001" hidden="1" customHeight="1">
      <c r="A169" s="181">
        <v>81</v>
      </c>
      <c r="B169" s="11"/>
      <c r="C169" s="5"/>
      <c r="D169" s="175">
        <f>xxx!D169</f>
        <v>0</v>
      </c>
      <c r="E169" s="175"/>
      <c r="F169" s="175"/>
      <c r="G169" s="175"/>
      <c r="H169" s="175"/>
      <c r="I169" s="175"/>
      <c r="J169" s="175"/>
      <c r="K169" s="175"/>
      <c r="L169" s="175"/>
      <c r="M169" s="175"/>
      <c r="N169" s="175"/>
      <c r="O169" s="175"/>
      <c r="P169" s="175"/>
      <c r="Q169" s="175"/>
      <c r="R169" s="175" cm="1">
        <f t="array" ref="R169">+SUMPRODUCT(D169:Q169*$D$3:$Q$3)</f>
        <v>0</v>
      </c>
      <c r="S169" s="177">
        <f>SUM(D169:R169)</f>
        <v>0</v>
      </c>
      <c r="T169" s="177"/>
    </row>
    <row r="170" spans="1:20" s="24" customFormat="1" ht="20.100000000000001" hidden="1" customHeight="1">
      <c r="A170" s="182"/>
      <c r="B170" s="11"/>
      <c r="C170" s="5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174"/>
      <c r="S170" s="17"/>
      <c r="T170" s="17"/>
    </row>
    <row r="171" spans="1:20" s="24" customFormat="1" ht="20.100000000000001" hidden="1" customHeight="1">
      <c r="A171" s="181">
        <v>82</v>
      </c>
      <c r="B171" s="11"/>
      <c r="C171" s="5"/>
      <c r="D171" s="175">
        <f>xxx!D171</f>
        <v>0</v>
      </c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 cm="1">
        <f t="array" ref="R171">+SUMPRODUCT(D171:Q171*$D$3:$Q$3)</f>
        <v>0</v>
      </c>
      <c r="S171" s="177">
        <f>SUM(D171:R171)</f>
        <v>0</v>
      </c>
      <c r="T171" s="177"/>
    </row>
    <row r="172" spans="1:20" s="24" customFormat="1" ht="20.100000000000001" hidden="1" customHeight="1">
      <c r="A172" s="97"/>
      <c r="B172" s="11"/>
      <c r="C172" s="5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174"/>
      <c r="S172" s="17"/>
      <c r="T172" s="17"/>
    </row>
    <row r="173" spans="1:20" s="24" customFormat="1" ht="20.25" hidden="1" customHeight="1">
      <c r="A173" s="181">
        <v>83</v>
      </c>
      <c r="B173" s="12"/>
      <c r="C173" s="5"/>
      <c r="D173" s="175">
        <f>xxx!D173</f>
        <v>0</v>
      </c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 cm="1">
        <f t="array" ref="R173">+SUMPRODUCT(D173:Q173*$D$3:$Q$3)</f>
        <v>0</v>
      </c>
      <c r="S173" s="177">
        <f>SUM(D173:R173)</f>
        <v>0</v>
      </c>
      <c r="T173" s="177"/>
    </row>
    <row r="174" spans="1:20" s="24" customFormat="1" ht="20.100000000000001" hidden="1" customHeight="1">
      <c r="A174" s="182"/>
      <c r="B174" s="12"/>
      <c r="C174" s="91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174"/>
      <c r="S174" s="17"/>
      <c r="T174" s="17"/>
    </row>
    <row r="175" spans="1:20" s="24" customFormat="1" ht="20.100000000000001" hidden="1" customHeight="1">
      <c r="A175" s="181">
        <v>84</v>
      </c>
      <c r="B175" s="12"/>
      <c r="C175" s="91"/>
      <c r="D175" s="175">
        <f>xxx!D175</f>
        <v>0</v>
      </c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 cm="1">
        <f t="array" ref="R175">+SUMPRODUCT(D175:Q175*$D$3:$Q$3)</f>
        <v>0</v>
      </c>
      <c r="S175" s="177">
        <f>SUM(D175:R175)</f>
        <v>0</v>
      </c>
      <c r="T175" s="177"/>
    </row>
    <row r="176" spans="1:20" s="24" customFormat="1" ht="20.100000000000001" hidden="1" customHeight="1">
      <c r="A176" s="97"/>
      <c r="B176" s="12"/>
      <c r="C176" s="91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174"/>
      <c r="S176" s="17"/>
      <c r="T176" s="17"/>
    </row>
    <row r="177" spans="1:20" s="24" customFormat="1" ht="20.100000000000001" hidden="1" customHeight="1">
      <c r="A177" s="181">
        <v>85</v>
      </c>
      <c r="B177" s="12"/>
      <c r="C177" s="91"/>
      <c r="D177" s="175">
        <f>xxx!D177</f>
        <v>0</v>
      </c>
      <c r="E177" s="175"/>
      <c r="F177" s="175"/>
      <c r="G177" s="175"/>
      <c r="H177" s="175"/>
      <c r="I177" s="175"/>
      <c r="J177" s="175"/>
      <c r="K177" s="175"/>
      <c r="L177" s="175"/>
      <c r="M177" s="175"/>
      <c r="N177" s="175"/>
      <c r="O177" s="175"/>
      <c r="P177" s="175"/>
      <c r="Q177" s="175"/>
      <c r="R177" s="175" cm="1">
        <f t="array" ref="R177">+SUMPRODUCT(D177:Q177*$D$3:$Q$3)</f>
        <v>0</v>
      </c>
      <c r="S177" s="177">
        <f>SUM(D177:R177)</f>
        <v>0</v>
      </c>
      <c r="T177" s="177"/>
    </row>
    <row r="178" spans="1:20" s="24" customFormat="1" ht="20.100000000000001" hidden="1" customHeight="1">
      <c r="A178" s="182"/>
      <c r="B178" s="12"/>
      <c r="C178" s="91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174"/>
      <c r="S178" s="17"/>
      <c r="T178" s="17"/>
    </row>
    <row r="179" spans="1:20" s="24" customFormat="1" ht="20.100000000000001" hidden="1" customHeight="1">
      <c r="A179" s="181">
        <v>86</v>
      </c>
      <c r="B179" s="12"/>
      <c r="C179" s="91"/>
      <c r="D179" s="175">
        <f>xxx!D179</f>
        <v>0</v>
      </c>
      <c r="E179" s="175"/>
      <c r="F179" s="175"/>
      <c r="G179" s="175"/>
      <c r="H179" s="175"/>
      <c r="I179" s="175"/>
      <c r="J179" s="175"/>
      <c r="K179" s="175"/>
      <c r="L179" s="175"/>
      <c r="M179" s="175"/>
      <c r="N179" s="175"/>
      <c r="O179" s="175"/>
      <c r="P179" s="175"/>
      <c r="Q179" s="175"/>
      <c r="R179" s="175" cm="1">
        <f t="array" ref="R179">+SUMPRODUCT(D179:Q179*$D$3:$Q$3)</f>
        <v>0</v>
      </c>
      <c r="S179" s="177">
        <f>SUM(D179:R179)</f>
        <v>0</v>
      </c>
      <c r="T179" s="177"/>
    </row>
    <row r="180" spans="1:20" s="24" customFormat="1" ht="20.100000000000001" hidden="1" customHeight="1">
      <c r="A180" s="97"/>
      <c r="B180" s="12"/>
      <c r="C180" s="91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174"/>
      <c r="S180" s="17"/>
      <c r="T180" s="17"/>
    </row>
    <row r="181" spans="1:20" s="24" customFormat="1" ht="20.100000000000001" hidden="1" customHeight="1">
      <c r="A181" s="181">
        <v>87</v>
      </c>
      <c r="B181" s="12"/>
      <c r="C181" s="91"/>
      <c r="D181" s="175">
        <f>xxx!D181</f>
        <v>0</v>
      </c>
      <c r="E181" s="175"/>
      <c r="F181" s="175"/>
      <c r="G181" s="175"/>
      <c r="H181" s="175"/>
      <c r="I181" s="175"/>
      <c r="J181" s="175"/>
      <c r="K181" s="175"/>
      <c r="L181" s="175"/>
      <c r="M181" s="175"/>
      <c r="N181" s="175"/>
      <c r="O181" s="175"/>
      <c r="P181" s="175"/>
      <c r="Q181" s="175"/>
      <c r="R181" s="175" cm="1">
        <f t="array" ref="R181">+SUMPRODUCT(D181:Q181*$D$3:$Q$3)</f>
        <v>0</v>
      </c>
      <c r="S181" s="177">
        <f>SUM(D181:R181)</f>
        <v>0</v>
      </c>
      <c r="T181" s="177"/>
    </row>
    <row r="182" spans="1:20" s="24" customFormat="1" ht="20.100000000000001" hidden="1" customHeight="1">
      <c r="A182" s="182"/>
      <c r="B182" s="12"/>
      <c r="C182" s="91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174"/>
      <c r="S182" s="17"/>
      <c r="T182" s="17"/>
    </row>
    <row r="183" spans="1:20" s="24" customFormat="1" ht="20.100000000000001" customHeight="1">
      <c r="A183" s="181">
        <v>88</v>
      </c>
      <c r="B183" s="12"/>
      <c r="C183" s="91"/>
      <c r="D183" s="175">
        <f>xxx!D183</f>
        <v>0</v>
      </c>
      <c r="E183" s="175"/>
      <c r="F183" s="175"/>
      <c r="G183" s="175"/>
      <c r="H183" s="175"/>
      <c r="I183" s="175"/>
      <c r="J183" s="175"/>
      <c r="K183" s="175"/>
      <c r="L183" s="175"/>
      <c r="M183" s="175"/>
      <c r="N183" s="175"/>
      <c r="O183" s="175"/>
      <c r="P183" s="175"/>
      <c r="Q183" s="175"/>
      <c r="R183" s="175" cm="1">
        <f t="array" ref="R183">+SUMPRODUCT(D183:Q183*$D$3:$Q$3)</f>
        <v>0</v>
      </c>
      <c r="S183" s="177">
        <f>SUM(D183:R183)</f>
        <v>0</v>
      </c>
      <c r="T183" s="177"/>
    </row>
    <row r="184" spans="1:20" s="24" customFormat="1" ht="20.100000000000001" hidden="1" customHeight="1">
      <c r="A184" s="97"/>
      <c r="B184" s="12"/>
      <c r="C184" s="91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174"/>
      <c r="S184" s="17"/>
      <c r="T184" s="17"/>
    </row>
    <row r="185" spans="1:20" s="24" customFormat="1" ht="20.100000000000001" customHeight="1">
      <c r="A185" s="181">
        <v>89</v>
      </c>
      <c r="B185" s="12"/>
      <c r="C185" s="91"/>
      <c r="D185" s="175">
        <f>xxx!D185</f>
        <v>0</v>
      </c>
      <c r="E185" s="175"/>
      <c r="F185" s="175"/>
      <c r="G185" s="175"/>
      <c r="H185" s="175"/>
      <c r="I185" s="175"/>
      <c r="J185" s="175"/>
      <c r="K185" s="175"/>
      <c r="L185" s="175"/>
      <c r="M185" s="175"/>
      <c r="N185" s="175"/>
      <c r="O185" s="175"/>
      <c r="P185" s="175"/>
      <c r="Q185" s="175"/>
      <c r="R185" s="175" cm="1">
        <f t="array" ref="R185">+SUMPRODUCT(D185:Q185*$D$3:$Q$3)</f>
        <v>0</v>
      </c>
      <c r="S185" s="177">
        <f>SUM(D185:R185)</f>
        <v>0</v>
      </c>
      <c r="T185" s="177"/>
    </row>
    <row r="186" spans="1:20" s="24" customFormat="1" ht="20.100000000000001" hidden="1" customHeight="1">
      <c r="A186" s="182"/>
      <c r="B186" s="12"/>
      <c r="C186" s="91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174"/>
      <c r="S186" s="17"/>
      <c r="T186" s="17"/>
    </row>
    <row r="187" spans="1:20" s="24" customFormat="1" ht="20.100000000000001" customHeight="1">
      <c r="A187" s="181">
        <v>90</v>
      </c>
      <c r="B187" s="12"/>
      <c r="C187" s="91"/>
      <c r="D187" s="175">
        <f>xxx!D187</f>
        <v>0</v>
      </c>
      <c r="E187" s="175"/>
      <c r="F187" s="175"/>
      <c r="G187" s="175"/>
      <c r="H187" s="175"/>
      <c r="I187" s="175"/>
      <c r="J187" s="175"/>
      <c r="K187" s="175"/>
      <c r="L187" s="175"/>
      <c r="M187" s="175"/>
      <c r="N187" s="175"/>
      <c r="O187" s="175"/>
      <c r="P187" s="175"/>
      <c r="Q187" s="175"/>
      <c r="R187" s="175" cm="1">
        <f t="array" ref="R187">+SUMPRODUCT(D187:Q187*$D$3:$Q$3)</f>
        <v>0</v>
      </c>
      <c r="S187" s="177">
        <f>SUM(D187:R187)</f>
        <v>0</v>
      </c>
      <c r="T187" s="177"/>
    </row>
    <row r="188" spans="1:20" s="24" customFormat="1" ht="20.100000000000001" hidden="1" customHeight="1">
      <c r="A188" s="97"/>
      <c r="B188" s="12"/>
      <c r="C188" s="91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174"/>
      <c r="S188" s="17"/>
      <c r="T188" s="17"/>
    </row>
    <row r="189" spans="1:20" s="24" customFormat="1" ht="20.100000000000001" customHeight="1">
      <c r="A189" s="181">
        <v>91</v>
      </c>
      <c r="B189" s="12"/>
      <c r="C189" s="91"/>
      <c r="D189" s="175">
        <f>xxx!D189</f>
        <v>0</v>
      </c>
      <c r="E189" s="175"/>
      <c r="F189" s="175"/>
      <c r="G189" s="175"/>
      <c r="H189" s="175"/>
      <c r="I189" s="175"/>
      <c r="J189" s="175"/>
      <c r="K189" s="175"/>
      <c r="L189" s="175"/>
      <c r="M189" s="175"/>
      <c r="N189" s="175"/>
      <c r="O189" s="175"/>
      <c r="P189" s="175"/>
      <c r="Q189" s="175"/>
      <c r="R189" s="175" cm="1">
        <f t="array" ref="R189">+SUMPRODUCT(D189:Q189*$D$3:$Q$3)</f>
        <v>0</v>
      </c>
      <c r="S189" s="177">
        <f>SUM(D189:R189)</f>
        <v>0</v>
      </c>
      <c r="T189" s="177"/>
    </row>
    <row r="190" spans="1:20" ht="20.100000000000001" hidden="1" customHeight="1">
      <c r="A190" s="182"/>
      <c r="B190" s="12"/>
      <c r="C190" s="91"/>
      <c r="D190" s="97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174"/>
      <c r="S190" s="17"/>
      <c r="T190" s="26"/>
    </row>
    <row r="191" spans="1:20" ht="17.25" customHeight="1">
      <c r="A191" s="181">
        <v>92</v>
      </c>
      <c r="B191" s="12"/>
      <c r="C191" s="91"/>
      <c r="D191" s="175">
        <f>xxx!D191</f>
        <v>0</v>
      </c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5" cm="1">
        <f t="array" ref="R191">+SUMPRODUCT(D191:Q191*$D$3:$Q$3)</f>
        <v>0</v>
      </c>
      <c r="S191" s="177">
        <f>SUM(D191:R191)</f>
        <v>0</v>
      </c>
      <c r="T191" s="176"/>
    </row>
    <row r="192" spans="1:20" ht="20.100000000000001" hidden="1" customHeight="1">
      <c r="A192" s="97"/>
      <c r="B192" s="12"/>
      <c r="C192" s="91"/>
      <c r="D192" s="97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174"/>
      <c r="S192" s="17"/>
      <c r="T192" s="26"/>
    </row>
    <row r="193" spans="1:20" ht="20.100000000000001" customHeight="1">
      <c r="A193" s="181">
        <v>93</v>
      </c>
      <c r="B193" s="12"/>
      <c r="C193" s="91"/>
      <c r="D193" s="175">
        <f>xxx!D193</f>
        <v>0</v>
      </c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5" cm="1">
        <f t="array" ref="R193">+SUMPRODUCT(D193:Q193*$D$3:$Q$3)</f>
        <v>0</v>
      </c>
      <c r="S193" s="177">
        <f>SUM(D193:R193)</f>
        <v>0</v>
      </c>
      <c r="T193" s="176"/>
    </row>
    <row r="194" spans="1:20" ht="20.100000000000001" hidden="1" customHeight="1">
      <c r="A194" s="182"/>
      <c r="B194" s="11"/>
      <c r="C194" s="15"/>
      <c r="D194" s="97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4"/>
      <c r="S194" s="17"/>
      <c r="T194" s="178"/>
    </row>
    <row r="195" spans="1:20" ht="20.100000000000001" customHeight="1">
      <c r="A195" s="181">
        <v>94</v>
      </c>
      <c r="B195" s="11"/>
      <c r="C195" s="15"/>
      <c r="D195" s="175">
        <f>xxx!D195</f>
        <v>0</v>
      </c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5" cm="1">
        <f t="array" ref="R195">+SUMPRODUCT(D195:Q195*$D$3:$Q$3)</f>
        <v>0</v>
      </c>
      <c r="S195" s="177">
        <f>SUM(D195:R195)</f>
        <v>0</v>
      </c>
      <c r="T195" s="178"/>
    </row>
    <row r="196" spans="1:20" ht="20.100000000000001" hidden="1" customHeight="1">
      <c r="A196" s="97"/>
      <c r="B196" s="187"/>
      <c r="C196" s="15"/>
      <c r="D196" s="97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4"/>
      <c r="S196" s="17"/>
      <c r="T196" s="178"/>
    </row>
    <row r="197" spans="1:20" ht="20.100000000000001" customHeight="1">
      <c r="A197" s="181">
        <v>95</v>
      </c>
      <c r="B197" s="187"/>
      <c r="C197" s="15"/>
      <c r="D197" s="175">
        <f>xxx!D197</f>
        <v>0</v>
      </c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5" cm="1">
        <f t="array" ref="R197">+SUMPRODUCT(D197:Q197*$D$3:$Q$3)</f>
        <v>0</v>
      </c>
      <c r="S197" s="177">
        <f>SUM(D197:R197)</f>
        <v>0</v>
      </c>
      <c r="T197" s="178"/>
    </row>
    <row r="198" spans="1:20" ht="20.100000000000001" hidden="1" customHeight="1">
      <c r="A198" s="182"/>
      <c r="B198" s="11"/>
      <c r="C198" s="19"/>
      <c r="D198" s="97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4"/>
      <c r="S198" s="17"/>
      <c r="T198" s="178"/>
    </row>
    <row r="199" spans="1:20" ht="20.100000000000001" customHeight="1">
      <c r="A199" s="181">
        <v>96</v>
      </c>
      <c r="B199" s="11"/>
      <c r="C199" s="19"/>
      <c r="D199" s="175">
        <f>xxx!D199</f>
        <v>0</v>
      </c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5" cm="1">
        <f t="array" ref="R199">+SUMPRODUCT(D199:Q199*$D$3:$Q$3)</f>
        <v>0</v>
      </c>
      <c r="S199" s="177">
        <f>SUM(D199:R199)</f>
        <v>0</v>
      </c>
      <c r="T199" s="178"/>
    </row>
    <row r="200" spans="1:20" ht="20.100000000000001" hidden="1" customHeight="1">
      <c r="A200" s="97"/>
      <c r="B200" s="11"/>
      <c r="C200" s="19"/>
      <c r="D200" s="97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4"/>
      <c r="S200" s="17"/>
      <c r="T200" s="178"/>
    </row>
    <row r="201" spans="1:20" ht="20.100000000000001" customHeight="1">
      <c r="A201" s="181">
        <v>97</v>
      </c>
      <c r="B201" s="11"/>
      <c r="C201" s="19"/>
      <c r="D201" s="175">
        <f>xxx!D201</f>
        <v>0</v>
      </c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5" cm="1">
        <f t="array" ref="R201">+SUMPRODUCT(D201:Q201*$D$3:$Q$3)</f>
        <v>0</v>
      </c>
      <c r="S201" s="177">
        <f>SUM(D201:R201)</f>
        <v>0</v>
      </c>
      <c r="T201" s="178"/>
    </row>
    <row r="202" spans="1:20" ht="20.100000000000001" hidden="1" customHeight="1">
      <c r="A202" s="182"/>
      <c r="B202" s="11"/>
      <c r="C202" s="19"/>
      <c r="D202" s="97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4"/>
      <c r="S202" s="17"/>
      <c r="T202" s="178"/>
    </row>
    <row r="203" spans="1:20" ht="20.100000000000001" customHeight="1">
      <c r="A203" s="181">
        <v>98</v>
      </c>
      <c r="B203" s="11"/>
      <c r="C203" s="19"/>
      <c r="D203" s="175">
        <f>xxx!D203</f>
        <v>0</v>
      </c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5" cm="1">
        <f t="array" ref="R203">+SUMPRODUCT(D203:Q203*$D$3:$Q$3)</f>
        <v>0</v>
      </c>
      <c r="S203" s="177">
        <f>SUM(D203:R203)</f>
        <v>0</v>
      </c>
      <c r="T203" s="178"/>
    </row>
    <row r="204" spans="1:20" ht="20.100000000000001" hidden="1" customHeight="1">
      <c r="A204" s="97"/>
      <c r="B204" s="11"/>
      <c r="C204" s="19"/>
      <c r="D204" s="97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4"/>
      <c r="S204" s="17"/>
      <c r="T204" s="178"/>
    </row>
    <row r="205" spans="1:20" ht="20.100000000000001" customHeight="1">
      <c r="A205" s="181">
        <v>99</v>
      </c>
      <c r="B205" s="11"/>
      <c r="C205" s="19"/>
      <c r="D205" s="175">
        <f>xxx!D205</f>
        <v>0</v>
      </c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5" cm="1">
        <f t="array" ref="R205">+SUMPRODUCT(D205:Q205*$D$3:$Q$3)</f>
        <v>0</v>
      </c>
      <c r="S205" s="177">
        <f>SUM(D205:R205)</f>
        <v>0</v>
      </c>
      <c r="T205" s="178"/>
    </row>
    <row r="206" spans="1:20" ht="20.100000000000001" hidden="1" customHeight="1">
      <c r="A206" s="182"/>
      <c r="B206" s="11"/>
      <c r="C206" s="19"/>
      <c r="D206" s="97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4"/>
      <c r="S206" s="17"/>
      <c r="T206" s="178"/>
    </row>
    <row r="207" spans="1:20" ht="20.100000000000001" customHeight="1">
      <c r="A207" s="181">
        <v>100</v>
      </c>
      <c r="B207" s="11"/>
      <c r="C207" s="19"/>
      <c r="D207" s="175">
        <f>xxx!D207</f>
        <v>0</v>
      </c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5" cm="1">
        <f t="array" ref="R207">+SUMPRODUCT(D207:Q207*$D$3:$Q$3)</f>
        <v>0</v>
      </c>
      <c r="S207" s="177">
        <f>SUM(D207:R207)</f>
        <v>0</v>
      </c>
      <c r="T207" s="178"/>
    </row>
    <row r="208" spans="1:20" ht="20.100000000000001" hidden="1" customHeight="1">
      <c r="A208" s="97"/>
      <c r="B208" s="11"/>
      <c r="C208" s="19"/>
      <c r="D208" s="97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4"/>
      <c r="S208" s="17"/>
      <c r="T208" s="178"/>
    </row>
    <row r="209" spans="1:20" ht="20.100000000000001" customHeight="1">
      <c r="A209" s="181">
        <v>101</v>
      </c>
      <c r="B209" s="11"/>
      <c r="C209" s="19"/>
      <c r="D209" s="175">
        <f>xxx!D209</f>
        <v>0</v>
      </c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5" cm="1">
        <f t="array" ref="R209">+SUMPRODUCT(D209:Q209*$D$3:$Q$3)</f>
        <v>0</v>
      </c>
      <c r="S209" s="177">
        <f>SUM(D209:R209)</f>
        <v>0</v>
      </c>
      <c r="T209" s="178"/>
    </row>
    <row r="210" spans="1:20" ht="20.100000000000001" hidden="1" customHeight="1">
      <c r="A210" s="182"/>
      <c r="B210" s="11"/>
      <c r="C210" s="19"/>
      <c r="D210" s="97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4"/>
      <c r="S210" s="17"/>
      <c r="T210" s="178"/>
    </row>
    <row r="211" spans="1:20" ht="20.100000000000001" customHeight="1">
      <c r="A211" s="181">
        <v>102</v>
      </c>
      <c r="B211" s="11"/>
      <c r="C211" s="19"/>
      <c r="D211" s="175">
        <f>xxx!D211</f>
        <v>0</v>
      </c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5" cm="1">
        <f t="array" ref="R211">+SUMPRODUCT(D211:Q211*$D$3:$Q$3)</f>
        <v>0</v>
      </c>
      <c r="S211" s="177">
        <f>SUM(D211:R211)</f>
        <v>0</v>
      </c>
      <c r="T211" s="178"/>
    </row>
    <row r="212" spans="1:20" ht="20.100000000000001" hidden="1" customHeight="1">
      <c r="A212" s="97"/>
      <c r="B212" s="11"/>
      <c r="C212" s="19"/>
      <c r="D212" s="97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4"/>
      <c r="S212" s="17"/>
      <c r="T212" s="178"/>
    </row>
    <row r="213" spans="1:20" ht="20.100000000000001" customHeight="1">
      <c r="A213" s="181">
        <v>103</v>
      </c>
      <c r="B213" s="11"/>
      <c r="C213" s="19"/>
      <c r="D213" s="175">
        <f>xxx!D213</f>
        <v>0</v>
      </c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5" cm="1">
        <f t="array" ref="R213">+SUMPRODUCT(D213:Q213*$D$3:$Q$3)</f>
        <v>0</v>
      </c>
      <c r="S213" s="177">
        <f>SUM(D213:R213)</f>
        <v>0</v>
      </c>
      <c r="T213" s="178"/>
    </row>
    <row r="214" spans="1:20" ht="20.100000000000001" hidden="1" customHeight="1">
      <c r="A214" s="182"/>
      <c r="B214" s="11"/>
      <c r="C214" s="5"/>
      <c r="D214" s="97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4"/>
      <c r="S214" s="17"/>
      <c r="T214" s="178"/>
    </row>
    <row r="215" spans="1:20" ht="20.100000000000001" customHeight="1">
      <c r="A215" s="181">
        <v>104</v>
      </c>
      <c r="B215" s="11"/>
      <c r="C215" s="19"/>
      <c r="D215" s="175">
        <f>xxx!D215</f>
        <v>0</v>
      </c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5" cm="1">
        <f t="array" ref="R215">+SUMPRODUCT(D215:Q215*$D$3:$Q$3)</f>
        <v>0</v>
      </c>
      <c r="S215" s="177">
        <f>SUM(D215:R215)</f>
        <v>0</v>
      </c>
      <c r="T215" s="178"/>
    </row>
    <row r="216" spans="1:20" ht="20.100000000000001" hidden="1" customHeight="1">
      <c r="A216" s="97"/>
      <c r="B216" s="11"/>
      <c r="C216" s="5"/>
      <c r="D216" s="97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4"/>
      <c r="S216" s="17"/>
      <c r="T216" s="178"/>
    </row>
    <row r="217" spans="1:20" ht="20.100000000000001" customHeight="1">
      <c r="A217" s="181">
        <v>105</v>
      </c>
      <c r="B217" s="11"/>
      <c r="C217" s="19"/>
      <c r="D217" s="175">
        <f>xxx!D217</f>
        <v>0</v>
      </c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5" cm="1">
        <f t="array" ref="R217">+SUMPRODUCT(D217:Q217*$D$3:$Q$3)</f>
        <v>0</v>
      </c>
      <c r="S217" s="177">
        <f>SUM(D217:R217)</f>
        <v>0</v>
      </c>
      <c r="T217" s="178"/>
    </row>
    <row r="218" spans="1:20" ht="20.100000000000001" hidden="1" customHeight="1">
      <c r="A218" s="182"/>
      <c r="B218" s="11"/>
      <c r="C218" s="5"/>
      <c r="D218" s="97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4"/>
      <c r="S218" s="17"/>
      <c r="T218" s="178"/>
    </row>
    <row r="219" spans="1:20" ht="20.100000000000001" customHeight="1">
      <c r="A219" s="181">
        <v>106</v>
      </c>
      <c r="B219" s="11"/>
      <c r="C219" s="19"/>
      <c r="D219" s="175">
        <f>xxx!D219</f>
        <v>0</v>
      </c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5" cm="1">
        <f t="array" ref="R219">+SUMPRODUCT(D219:Q219*$D$3:$Q$3)</f>
        <v>0</v>
      </c>
      <c r="S219" s="177">
        <f>SUM(D219:R219)</f>
        <v>0</v>
      </c>
      <c r="T219" s="178"/>
    </row>
    <row r="220" spans="1:20" ht="20.100000000000001" hidden="1" customHeight="1">
      <c r="A220" s="97"/>
      <c r="B220" s="11"/>
      <c r="C220" s="5"/>
      <c r="D220" s="97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4"/>
      <c r="S220" s="17"/>
      <c r="T220" s="178"/>
    </row>
    <row r="221" spans="1:20" ht="20.100000000000001" customHeight="1">
      <c r="A221" s="181">
        <v>107</v>
      </c>
      <c r="B221" s="11"/>
      <c r="C221" s="19"/>
      <c r="D221" s="175">
        <f>xxx!D221</f>
        <v>0</v>
      </c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5" cm="1">
        <f t="array" ref="R221">+SUMPRODUCT(D221:Q221*$D$3:$Q$3)</f>
        <v>0</v>
      </c>
      <c r="S221" s="177">
        <f>SUM(D221:R221)</f>
        <v>0</v>
      </c>
      <c r="T221" s="178"/>
    </row>
    <row r="222" spans="1:20" ht="20.100000000000001" hidden="1" customHeight="1">
      <c r="A222" s="182"/>
      <c r="B222" s="11"/>
      <c r="C222" s="5"/>
      <c r="D222" s="97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4"/>
      <c r="S222" s="17"/>
      <c r="T222" s="178"/>
    </row>
    <row r="223" spans="1:20" ht="20.100000000000001" customHeight="1">
      <c r="A223" s="181">
        <v>108</v>
      </c>
      <c r="B223" s="11"/>
      <c r="C223" s="19"/>
      <c r="D223" s="175">
        <f>xxx!D223</f>
        <v>0</v>
      </c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5" cm="1">
        <f t="array" ref="R223">+SUMPRODUCT(D223:Q223*$D$3:$Q$3)</f>
        <v>0</v>
      </c>
      <c r="S223" s="177">
        <f t="shared" ref="S223" si="0">SUM(D223:R223)</f>
        <v>0</v>
      </c>
      <c r="T223" s="178"/>
    </row>
  </sheetData>
  <mergeCells count="6">
    <mergeCell ref="T4:T7"/>
    <mergeCell ref="A4:A7"/>
    <mergeCell ref="B4:B7"/>
    <mergeCell ref="C4:C7"/>
    <mergeCell ref="R4:R7"/>
    <mergeCell ref="S4:S7"/>
  </mergeCells>
  <phoneticPr fontId="0" type="noConversion"/>
  <conditionalFormatting sqref="C1:C1048576">
    <cfRule type="duplicateValues" dxfId="6" priority="1"/>
  </conditionalFormatting>
  <pageMargins left="0" right="0" top="0" bottom="0" header="0" footer="0"/>
  <pageSetup paperSize="9" scale="70" orientation="landscape" verticalDpi="300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L576"/>
  <sheetViews>
    <sheetView showZeros="0" tabSelected="1" zoomScale="92" workbookViewId="0">
      <pane xSplit="5" ySplit="4" topLeftCell="F8" activePane="bottomRight" state="frozen"/>
      <selection activeCell="B9" sqref="B9:B10"/>
      <selection pane="topRight" activeCell="B9" sqref="B9:B10"/>
      <selection pane="bottomLeft" activeCell="B9" sqref="B9:B10"/>
      <selection pane="bottomRight" activeCell="B9" sqref="B9"/>
    </sheetView>
  </sheetViews>
  <sheetFormatPr defaultColWidth="9" defaultRowHeight="18" customHeight="1" outlineLevelRow="1"/>
  <cols>
    <col min="1" max="1" width="4.5" style="200" customWidth="1"/>
    <col min="2" max="2" width="20" style="248" customWidth="1"/>
    <col min="3" max="3" width="7.625" style="200" customWidth="1"/>
    <col min="4" max="4" width="4.75" style="200" customWidth="1"/>
    <col min="5" max="5" width="6.5" style="199" customWidth="1"/>
    <col min="6" max="23" width="5.625" style="200" customWidth="1"/>
    <col min="24" max="29" width="5.625" style="200" hidden="1" customWidth="1"/>
    <col min="30" max="34" width="5.625" style="200" customWidth="1"/>
    <col min="35" max="35" width="7.25" style="225" bestFit="1" customWidth="1"/>
    <col min="36" max="36" width="7.625" style="226" customWidth="1"/>
    <col min="37" max="37" width="5.625" style="226" customWidth="1"/>
    <col min="38" max="38" width="7.625" style="206" customWidth="1"/>
    <col min="39" max="39" width="8.875" style="200" customWidth="1"/>
    <col min="40" max="40" width="8" style="200" customWidth="1"/>
    <col min="41" max="52" width="9" style="234"/>
    <col min="53" max="54" width="9" style="252"/>
    <col min="55" max="56" width="9" style="234"/>
    <col min="57" max="16384" width="9" style="200"/>
  </cols>
  <sheetData>
    <row r="1" spans="1:64" ht="18" customHeight="1">
      <c r="A1" s="389" t="s">
        <v>172</v>
      </c>
      <c r="B1" s="389"/>
      <c r="C1" s="389"/>
      <c r="D1" s="389"/>
      <c r="E1" s="389"/>
      <c r="AO1" s="1"/>
      <c r="AP1" s="388"/>
      <c r="AQ1" s="388"/>
      <c r="AR1" s="388"/>
      <c r="AS1" s="388"/>
      <c r="AT1" s="388"/>
      <c r="AU1" s="388"/>
      <c r="AV1" s="388"/>
      <c r="AW1" s="388"/>
      <c r="AX1" s="388"/>
      <c r="AY1" s="388"/>
      <c r="AZ1" s="388"/>
      <c r="BA1" s="388"/>
      <c r="BB1" s="388"/>
      <c r="BC1" s="388"/>
      <c r="BD1" s="388"/>
      <c r="BE1" s="388"/>
      <c r="BF1" s="388"/>
      <c r="BG1" s="388"/>
      <c r="BH1" s="388"/>
      <c r="BI1" s="388"/>
      <c r="BJ1" s="388"/>
      <c r="BK1" s="388"/>
      <c r="BL1" s="388"/>
    </row>
    <row r="2" spans="1:64" ht="18" customHeight="1">
      <c r="A2" s="31" t="s">
        <v>237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O2" s="388"/>
      <c r="AP2" s="388"/>
      <c r="AQ2" s="388"/>
      <c r="AR2" s="388"/>
      <c r="AS2" s="388"/>
      <c r="AT2" s="388"/>
      <c r="AU2" s="388"/>
      <c r="AV2" s="388"/>
      <c r="AW2" s="388"/>
      <c r="AX2" s="388"/>
      <c r="AY2" s="388"/>
      <c r="AZ2" s="388"/>
      <c r="BA2" s="388"/>
      <c r="BB2" s="388"/>
      <c r="BC2" s="388"/>
      <c r="BD2" s="388"/>
      <c r="BE2" s="388"/>
      <c r="BF2" s="388"/>
      <c r="BG2" s="388"/>
      <c r="BH2" s="388"/>
      <c r="BI2" s="388"/>
      <c r="BJ2" s="388"/>
      <c r="BK2" s="388"/>
      <c r="BL2" s="388"/>
    </row>
    <row r="3" spans="1:64" ht="18" customHeight="1">
      <c r="A3" s="203"/>
      <c r="B3" s="247"/>
      <c r="C3" s="203"/>
      <c r="D3" s="203"/>
      <c r="E3" s="203"/>
      <c r="F3" s="203"/>
      <c r="G3" s="203"/>
      <c r="H3" s="203"/>
      <c r="I3" s="203"/>
      <c r="J3" s="203"/>
      <c r="K3" s="203" t="s">
        <v>192</v>
      </c>
      <c r="L3" s="203"/>
      <c r="M3" s="203" t="s">
        <v>193</v>
      </c>
      <c r="N3" s="203"/>
      <c r="O3" s="203" t="s">
        <v>194</v>
      </c>
      <c r="P3" s="203"/>
      <c r="Q3" s="203"/>
      <c r="R3" s="203"/>
      <c r="S3" s="203"/>
      <c r="V3" s="203"/>
      <c r="W3" s="203">
        <v>0</v>
      </c>
      <c r="X3" s="203"/>
      <c r="Y3" s="203"/>
      <c r="Z3" s="203"/>
      <c r="AA3" s="203"/>
      <c r="AB3" s="203"/>
      <c r="AC3" s="203"/>
      <c r="AD3" s="203"/>
      <c r="AE3" s="203"/>
      <c r="AF3" s="203"/>
      <c r="AG3" s="203"/>
      <c r="AH3" s="203"/>
      <c r="AI3" s="204"/>
      <c r="AJ3" s="205"/>
      <c r="AK3" s="205"/>
      <c r="AM3" s="203"/>
      <c r="AO3" s="388"/>
      <c r="AP3" s="388"/>
      <c r="AQ3" s="388"/>
      <c r="AR3" s="388"/>
      <c r="AS3" s="388"/>
      <c r="AT3" s="388"/>
      <c r="AU3" s="388"/>
      <c r="AV3" s="388"/>
      <c r="AW3" s="388"/>
      <c r="AX3" s="388"/>
      <c r="AY3" s="388"/>
      <c r="AZ3" s="388"/>
      <c r="BA3" s="388"/>
      <c r="BB3" s="388"/>
      <c r="BC3" s="388"/>
      <c r="BD3" s="388"/>
      <c r="BE3" s="388"/>
      <c r="BF3" s="388"/>
      <c r="BG3" s="388"/>
      <c r="BH3" s="388"/>
      <c r="BI3" s="388"/>
      <c r="BJ3" s="388"/>
      <c r="BK3" s="388"/>
      <c r="BL3" s="388"/>
    </row>
    <row r="4" spans="1:64" ht="55.5" customHeight="1">
      <c r="A4" s="188" t="s">
        <v>2</v>
      </c>
      <c r="B4" s="188" t="s">
        <v>8</v>
      </c>
      <c r="C4" s="188" t="s">
        <v>4</v>
      </c>
      <c r="D4" s="189" t="s">
        <v>9</v>
      </c>
      <c r="E4" s="188" t="s">
        <v>11</v>
      </c>
      <c r="F4" s="190" t="s">
        <v>223</v>
      </c>
      <c r="G4" s="190" t="s">
        <v>224</v>
      </c>
      <c r="H4" s="190" t="s">
        <v>229</v>
      </c>
      <c r="I4" s="190" t="s">
        <v>225</v>
      </c>
      <c r="J4" s="190" t="s">
        <v>244</v>
      </c>
      <c r="K4" s="190" t="s">
        <v>203</v>
      </c>
      <c r="L4" s="190" t="s">
        <v>245</v>
      </c>
      <c r="M4" s="190" t="s">
        <v>226</v>
      </c>
      <c r="N4" s="190" t="s">
        <v>206</v>
      </c>
      <c r="O4" s="190" t="s">
        <v>151</v>
      </c>
      <c r="P4" s="190" t="s">
        <v>230</v>
      </c>
      <c r="Q4" s="190" t="s">
        <v>231</v>
      </c>
      <c r="R4" s="190" t="s">
        <v>175</v>
      </c>
      <c r="S4" s="190" t="s">
        <v>176</v>
      </c>
      <c r="T4" s="190" t="s">
        <v>233</v>
      </c>
      <c r="U4" s="190" t="s">
        <v>173</v>
      </c>
      <c r="V4" s="190" t="s">
        <v>191</v>
      </c>
      <c r="W4" s="190" t="s">
        <v>243</v>
      </c>
      <c r="X4" s="190"/>
      <c r="Y4" s="190"/>
      <c r="Z4" s="190"/>
      <c r="AA4" s="190"/>
      <c r="AB4" s="190"/>
      <c r="AC4" s="191"/>
      <c r="AD4" s="191" t="s">
        <v>177</v>
      </c>
      <c r="AE4" s="191" t="s">
        <v>185</v>
      </c>
      <c r="AF4" s="192" t="s">
        <v>25</v>
      </c>
      <c r="AG4" s="192" t="s">
        <v>152</v>
      </c>
      <c r="AH4" s="193" t="s">
        <v>190</v>
      </c>
      <c r="AI4" s="304" t="s">
        <v>200</v>
      </c>
      <c r="AJ4" s="194" t="s">
        <v>157</v>
      </c>
      <c r="AK4" s="195" t="s">
        <v>16</v>
      </c>
      <c r="AL4" s="196" t="s">
        <v>5</v>
      </c>
      <c r="AM4" s="188" t="s">
        <v>7</v>
      </c>
      <c r="AN4" s="188" t="s">
        <v>178</v>
      </c>
      <c r="AO4" s="95" t="s">
        <v>158</v>
      </c>
      <c r="AP4" s="144" t="s">
        <v>153</v>
      </c>
      <c r="AQ4" s="256" t="s">
        <v>154</v>
      </c>
      <c r="AR4" s="256" t="s">
        <v>34</v>
      </c>
      <c r="AS4" s="256" t="s">
        <v>202</v>
      </c>
      <c r="AT4" s="256" t="s">
        <v>36</v>
      </c>
      <c r="AU4" s="256" t="s">
        <v>183</v>
      </c>
      <c r="AV4" s="256" t="s">
        <v>155</v>
      </c>
      <c r="AW4" s="257" t="s">
        <v>156</v>
      </c>
      <c r="AX4" s="257" t="s">
        <v>180</v>
      </c>
      <c r="AY4" s="95" t="s">
        <v>159</v>
      </c>
      <c r="AZ4" s="212" t="s">
        <v>181</v>
      </c>
      <c r="BA4" s="258" t="s">
        <v>182</v>
      </c>
      <c r="BB4" s="259" t="s">
        <v>179</v>
      </c>
      <c r="BC4" s="95" t="s">
        <v>168</v>
      </c>
      <c r="BD4" s="212" t="s">
        <v>174</v>
      </c>
      <c r="BE4" s="305" t="s">
        <v>195</v>
      </c>
      <c r="BF4" s="212" t="s">
        <v>196</v>
      </c>
      <c r="BG4" s="95" t="s">
        <v>197</v>
      </c>
      <c r="BH4" s="305" t="s">
        <v>198</v>
      </c>
      <c r="BI4" s="307" t="s">
        <v>209</v>
      </c>
      <c r="BJ4" s="307" t="s">
        <v>228</v>
      </c>
    </row>
    <row r="5" spans="1:64" ht="18" hidden="1" customHeight="1" outlineLevel="1">
      <c r="A5" s="81"/>
      <c r="B5" s="82"/>
      <c r="C5" s="83"/>
      <c r="D5" s="87"/>
      <c r="E5" s="207"/>
      <c r="F5" s="208"/>
      <c r="G5" s="208"/>
      <c r="H5" s="208"/>
      <c r="I5" s="208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10"/>
      <c r="AE5" s="210"/>
      <c r="AF5" s="210"/>
      <c r="AG5" s="210"/>
      <c r="AH5" s="84"/>
      <c r="AI5" s="211"/>
      <c r="AJ5" s="85"/>
      <c r="AK5" s="85"/>
      <c r="AL5" s="227">
        <f>AJ5+AJ5*AK5%</f>
        <v>0</v>
      </c>
      <c r="AM5" s="84"/>
      <c r="AN5" s="201">
        <f>AL5-AJ5</f>
        <v>0</v>
      </c>
      <c r="BE5" s="234"/>
      <c r="BF5" s="234"/>
      <c r="BG5" s="234"/>
      <c r="BH5" s="234"/>
      <c r="BI5" s="234"/>
      <c r="BJ5" s="234"/>
    </row>
    <row r="6" spans="1:64" ht="18" hidden="1" customHeight="1" collapsed="1">
      <c r="BE6" s="234"/>
      <c r="BF6" s="234"/>
      <c r="BG6" s="234"/>
      <c r="BH6" s="234"/>
      <c r="BI6" s="234"/>
      <c r="BJ6" s="234"/>
    </row>
    <row r="7" spans="1:64" ht="18" hidden="1" customHeight="1">
      <c r="BE7" s="234"/>
      <c r="BF7" s="234"/>
      <c r="BG7" s="234"/>
      <c r="BH7" s="234"/>
      <c r="BI7" s="234"/>
      <c r="BJ7" s="234"/>
    </row>
    <row r="8" spans="1:64" ht="18" customHeight="1">
      <c r="A8" s="212"/>
      <c r="B8" s="249"/>
      <c r="C8" s="212"/>
      <c r="D8" s="212"/>
      <c r="E8" s="228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2"/>
      <c r="AD8" s="212"/>
      <c r="AE8" s="212"/>
      <c r="AF8" s="212"/>
      <c r="AG8" s="212"/>
      <c r="AH8" s="212"/>
      <c r="AI8" s="229"/>
      <c r="AJ8" s="230"/>
      <c r="AK8" s="230"/>
      <c r="AL8" s="231"/>
      <c r="AM8" s="212"/>
      <c r="AN8" s="212"/>
      <c r="AO8" s="212"/>
      <c r="AP8" s="212"/>
      <c r="AQ8" s="212"/>
      <c r="AR8" s="212"/>
      <c r="AS8" s="212"/>
      <c r="AT8" s="212"/>
      <c r="AU8" s="212"/>
      <c r="AV8" s="212"/>
      <c r="AW8" s="212"/>
      <c r="AX8" s="212"/>
      <c r="AY8" s="212"/>
      <c r="AZ8" s="212"/>
      <c r="BA8" s="258"/>
      <c r="BB8" s="258"/>
      <c r="BC8" s="212"/>
      <c r="BD8" s="212"/>
      <c r="BE8" s="212"/>
      <c r="BF8" s="212"/>
      <c r="BG8" s="212"/>
      <c r="BH8" s="212"/>
      <c r="BI8" s="212"/>
      <c r="BJ8" s="212"/>
    </row>
    <row r="9" spans="1:64" ht="18" customHeight="1" outlineLevel="1">
      <c r="A9" s="89">
        <v>1</v>
      </c>
      <c r="B9" s="88">
        <f>'Tong hop cac ma'!B9</f>
        <v>0</v>
      </c>
      <c r="C9" s="314">
        <f>'Tong hop cac ma'!C9</f>
        <v>0</v>
      </c>
      <c r="D9" s="197">
        <f t="shared" ref="D9" si="0">AQ9</f>
        <v>0</v>
      </c>
      <c r="E9" s="213">
        <f>+'Tong hop cac ma'!S9</f>
        <v>0</v>
      </c>
      <c r="F9" s="214"/>
      <c r="G9" s="214"/>
      <c r="H9" s="214"/>
      <c r="I9" s="214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>
        <f>IFERROR(SUM(F9:AC9)*0.2,0)</f>
        <v>0</v>
      </c>
      <c r="AG9" s="210"/>
      <c r="AH9" s="210" t="s">
        <v>192</v>
      </c>
      <c r="AI9" s="215">
        <f>IFERROR(130*D9,0)</f>
        <v>0</v>
      </c>
      <c r="AJ9" s="198" cm="1">
        <f t="array" ref="AJ9">IFERROR(SUM(_xlfn._xlws.FILTER(E9:AI9,ISNUMBER(E9:AI9))),0)</f>
        <v>0</v>
      </c>
      <c r="AK9" s="198"/>
      <c r="AL9" s="216">
        <f>IFERROR(AJ9*(1+AK9%),0)</f>
        <v>0</v>
      </c>
      <c r="AM9" s="233"/>
      <c r="AN9" s="201">
        <f>IFERROR(SUM(E9:AC9)/D9,0)</f>
        <v>0</v>
      </c>
      <c r="AO9" s="255"/>
      <c r="AQ9" s="254"/>
      <c r="AR9" s="254"/>
      <c r="AS9" s="254"/>
      <c r="AT9" s="254"/>
      <c r="AU9" s="254"/>
      <c r="AV9" s="254"/>
      <c r="AY9" s="253">
        <f>IFERROR((AQ9*20)/60,0)</f>
        <v>0</v>
      </c>
      <c r="AZ9" s="253">
        <f>IFERROR(AX9 + AY9 + BI9,0)</f>
        <v>0</v>
      </c>
      <c r="BA9" s="252">
        <f>IFERROR(AZ9/8,0)</f>
        <v>0</v>
      </c>
      <c r="BB9" s="252">
        <f>IFERROR(MAX(AQ9-BA9,0),0)</f>
        <v>0</v>
      </c>
      <c r="BD9" s="234">
        <f>IFERROR(10000*D9,0)</f>
        <v>0</v>
      </c>
      <c r="BE9" s="234"/>
      <c r="BF9" s="234"/>
      <c r="BG9" s="234">
        <f>IFERROR(-IF(AH9=$K$3,0,IF(AH9=$M$3,15*680*D9,IF(AH9=$O$3,30*680*D9,IF(AH9=0,50*680*D9,0)))),0)</f>
        <v>0</v>
      </c>
      <c r="BH9" s="234"/>
      <c r="BI9" s="234"/>
      <c r="BJ9" s="234"/>
    </row>
    <row r="10" spans="1:64" ht="15.75" hidden="1" outlineLevel="1">
      <c r="A10" s="81"/>
      <c r="B10" s="88">
        <f>'Tong hop cac ma'!B10</f>
        <v>0</v>
      </c>
      <c r="C10" s="314">
        <f>'Tong hop cac ma'!C10</f>
        <v>0</v>
      </c>
      <c r="D10" s="197">
        <f t="shared" ref="D10:D73" si="1">AQ10</f>
        <v>0</v>
      </c>
      <c r="E10" s="228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29"/>
      <c r="AJ10" s="230"/>
      <c r="AK10" s="230"/>
      <c r="AL10" s="231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/>
      <c r="AY10" s="212"/>
      <c r="AZ10" s="212"/>
      <c r="BA10" s="258"/>
      <c r="BB10" s="258"/>
      <c r="BC10" s="212"/>
      <c r="BD10" s="212"/>
      <c r="BE10" s="212"/>
      <c r="BF10" s="212"/>
      <c r="BG10" s="212"/>
      <c r="BH10" s="212"/>
      <c r="BI10" s="212"/>
      <c r="BJ10" s="212"/>
    </row>
    <row r="11" spans="1:64" ht="18" customHeight="1" outlineLevel="1">
      <c r="A11" s="86">
        <v>2</v>
      </c>
      <c r="B11" s="88">
        <f>'Tong hop cac ma'!B11</f>
        <v>0</v>
      </c>
      <c r="C11" s="314">
        <f>'Tong hop cac ma'!C11</f>
        <v>0</v>
      </c>
      <c r="D11" s="197">
        <f t="shared" si="1"/>
        <v>0</v>
      </c>
      <c r="E11" s="213">
        <f>+'Tong hop cac ma'!S11</f>
        <v>0</v>
      </c>
      <c r="F11" s="214"/>
      <c r="G11" s="214"/>
      <c r="H11" s="214"/>
      <c r="I11" s="214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>
        <f t="shared" ref="AF11" si="2">IFERROR(SUM(F11:AC11)*0.2,0)</f>
        <v>0</v>
      </c>
      <c r="AG11" s="210"/>
      <c r="AH11" s="210" t="s">
        <v>192</v>
      </c>
      <c r="AI11" s="215">
        <f t="shared" ref="AI11" si="3">IFERROR(130*D11,0)</f>
        <v>0</v>
      </c>
      <c r="AJ11" s="198" cm="1">
        <f t="array" ref="AJ11">IFERROR(SUM(_xlfn._xlws.FILTER(E11:AI11,ISNUMBER(E11:AI11))),0)</f>
        <v>0</v>
      </c>
      <c r="AK11" s="198"/>
      <c r="AL11" s="216">
        <f t="shared" ref="AL11" si="4">IFERROR(AJ11*(1+AK11%),0)</f>
        <v>0</v>
      </c>
      <c r="AM11" s="233"/>
      <c r="AN11" s="201">
        <f t="shared" ref="AN11" si="5">IFERROR(SUM(E11:AC11)/D11,0)</f>
        <v>0</v>
      </c>
      <c r="AO11" s="255"/>
      <c r="AQ11" s="254"/>
      <c r="AR11" s="254"/>
      <c r="AS11" s="254"/>
      <c r="AT11" s="254"/>
      <c r="AU11" s="254"/>
      <c r="AV11" s="254"/>
      <c r="AY11" s="253">
        <f t="shared" ref="AY11" si="6">IFERROR((AQ11*20)/60,0)</f>
        <v>0</v>
      </c>
      <c r="AZ11" s="253">
        <f t="shared" ref="AZ11" si="7">IFERROR(AX11 + AY11 + BI11,0)</f>
        <v>0</v>
      </c>
      <c r="BA11" s="252">
        <f t="shared" ref="BA11" si="8">IFERROR(AZ11/8,0)</f>
        <v>0</v>
      </c>
      <c r="BB11" s="252">
        <f t="shared" ref="BB11" si="9">IFERROR(MAX(AQ11-BA11,0),0)</f>
        <v>0</v>
      </c>
      <c r="BD11" s="234">
        <f t="shared" ref="BD11" si="10">IFERROR(10000*D11,0)</f>
        <v>0</v>
      </c>
      <c r="BE11" s="234"/>
      <c r="BF11" s="234"/>
      <c r="BG11" s="234">
        <f t="shared" ref="BG11" si="11">IFERROR(-IF(AH11=$K$3,0,IF(AH11=$M$3,15*680*D11,IF(AH11=$O$3,30*680*D11,IF(AH11=0,50*680*D11,0)))),0)</f>
        <v>0</v>
      </c>
      <c r="BH11" s="234"/>
      <c r="BI11" s="234"/>
      <c r="BJ11" s="234"/>
    </row>
    <row r="12" spans="1:64" ht="18" hidden="1" customHeight="1" outlineLevel="1">
      <c r="A12" s="212"/>
      <c r="B12" s="88">
        <f>'Tong hop cac ma'!B12</f>
        <v>0</v>
      </c>
      <c r="C12" s="314">
        <f>'Tong hop cac ma'!C12</f>
        <v>0</v>
      </c>
      <c r="D12" s="197">
        <f t="shared" si="1"/>
        <v>0</v>
      </c>
      <c r="E12" s="228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29"/>
      <c r="AJ12" s="230"/>
      <c r="AK12" s="230"/>
      <c r="AL12" s="231"/>
      <c r="AM12" s="212"/>
      <c r="AN12" s="212"/>
      <c r="AO12" s="212"/>
      <c r="AP12" s="212"/>
      <c r="AQ12" s="212"/>
      <c r="AR12" s="212"/>
      <c r="AS12" s="212"/>
      <c r="AT12" s="212"/>
      <c r="AU12" s="212"/>
      <c r="AV12" s="212"/>
      <c r="AW12" s="212"/>
      <c r="AX12" s="212"/>
      <c r="AY12" s="212"/>
      <c r="AZ12" s="212"/>
      <c r="BA12" s="258"/>
      <c r="BB12" s="258"/>
      <c r="BC12" s="212"/>
      <c r="BD12" s="212"/>
      <c r="BE12" s="212"/>
      <c r="BF12" s="212"/>
      <c r="BG12" s="212"/>
      <c r="BH12" s="212"/>
      <c r="BI12" s="212"/>
      <c r="BJ12" s="212"/>
    </row>
    <row r="13" spans="1:64" ht="18" customHeight="1" outlineLevel="1">
      <c r="A13" s="89">
        <v>3</v>
      </c>
      <c r="B13" s="88">
        <f>'Tong hop cac ma'!B13</f>
        <v>0</v>
      </c>
      <c r="C13" s="314">
        <f>'Tong hop cac ma'!C13</f>
        <v>0</v>
      </c>
      <c r="D13" s="197">
        <f t="shared" si="1"/>
        <v>0</v>
      </c>
      <c r="E13" s="213">
        <f>+'Tong hop cac ma'!S13</f>
        <v>0</v>
      </c>
      <c r="F13" s="214"/>
      <c r="G13" s="214"/>
      <c r="H13" s="214"/>
      <c r="I13" s="214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>
        <f t="shared" ref="AF13" si="12">IFERROR(SUM(F13:AC13)*0.2,0)</f>
        <v>0</v>
      </c>
      <c r="AG13" s="210"/>
      <c r="AH13" s="210" t="s">
        <v>192</v>
      </c>
      <c r="AI13" s="215">
        <f t="shared" ref="AI13" si="13">IFERROR(130*D13,0)</f>
        <v>0</v>
      </c>
      <c r="AJ13" s="198" cm="1">
        <f t="array" ref="AJ13">IFERROR(SUM(_xlfn._xlws.FILTER(E13:AI13,ISNUMBER(E13:AI13))),0)</f>
        <v>0</v>
      </c>
      <c r="AK13" s="198"/>
      <c r="AL13" s="216">
        <f t="shared" ref="AL13" si="14">IFERROR(AJ13*(1+AK13%),0)</f>
        <v>0</v>
      </c>
      <c r="AM13" s="233"/>
      <c r="AN13" s="201">
        <f t="shared" ref="AN13" si="15">IFERROR(SUM(E13:AC13)/D13,0)</f>
        <v>0</v>
      </c>
      <c r="AO13" s="255"/>
      <c r="AQ13" s="254"/>
      <c r="AR13" s="254"/>
      <c r="AS13" s="254"/>
      <c r="AT13" s="254"/>
      <c r="AU13" s="254"/>
      <c r="AV13" s="254"/>
      <c r="AY13" s="253">
        <f t="shared" ref="AY13" si="16">IFERROR((AQ13*20)/60,0)</f>
        <v>0</v>
      </c>
      <c r="AZ13" s="253">
        <f t="shared" ref="AZ13" si="17">IFERROR(AX13 + AY13 + BI13,0)</f>
        <v>0</v>
      </c>
      <c r="BA13" s="252">
        <f t="shared" ref="BA13" si="18">IFERROR(AZ13/8,0)</f>
        <v>0</v>
      </c>
      <c r="BB13" s="252">
        <f t="shared" ref="BB13" si="19">IFERROR(MAX(AQ13-BA13,0),0)</f>
        <v>0</v>
      </c>
      <c r="BD13" s="234">
        <f t="shared" ref="BD13" si="20">IFERROR(10000*D13,0)</f>
        <v>0</v>
      </c>
      <c r="BE13" s="234"/>
      <c r="BF13" s="234"/>
      <c r="BG13" s="234">
        <f t="shared" ref="BG13" si="21">IFERROR(-IF(AH13=$K$3,0,IF(AH13=$M$3,15*680*D13,IF(AH13=$O$3,30*680*D13,IF(AH13=0,50*680*D13,0)))),0)</f>
        <v>0</v>
      </c>
      <c r="BH13" s="234"/>
      <c r="BI13" s="234"/>
      <c r="BJ13" s="234"/>
    </row>
    <row r="14" spans="1:64" ht="18" hidden="1" customHeight="1" outlineLevel="1">
      <c r="A14" s="81"/>
      <c r="B14" s="88">
        <f>'Tong hop cac ma'!B14</f>
        <v>0</v>
      </c>
      <c r="C14" s="314">
        <f>'Tong hop cac ma'!C14</f>
        <v>0</v>
      </c>
      <c r="D14" s="197">
        <f t="shared" si="1"/>
        <v>0</v>
      </c>
      <c r="E14" s="228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29"/>
      <c r="AJ14" s="230"/>
      <c r="AK14" s="230"/>
      <c r="AL14" s="231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58"/>
      <c r="BB14" s="258"/>
      <c r="BC14" s="212"/>
      <c r="BD14" s="212"/>
      <c r="BE14" s="212"/>
      <c r="BF14" s="212"/>
      <c r="BG14" s="212"/>
      <c r="BH14" s="212"/>
      <c r="BI14" s="212"/>
      <c r="BJ14" s="212"/>
    </row>
    <row r="15" spans="1:64" ht="18" customHeight="1" outlineLevel="1">
      <c r="A15" s="86">
        <v>4</v>
      </c>
      <c r="B15" s="88">
        <f>'Tong hop cac ma'!B15</f>
        <v>0</v>
      </c>
      <c r="C15" s="314">
        <f>'Tong hop cac ma'!C15</f>
        <v>0</v>
      </c>
      <c r="D15" s="197">
        <f t="shared" si="1"/>
        <v>0</v>
      </c>
      <c r="E15" s="213">
        <f>+'Tong hop cac ma'!S15</f>
        <v>0</v>
      </c>
      <c r="F15" s="214"/>
      <c r="G15" s="214"/>
      <c r="H15" s="214"/>
      <c r="I15" s="214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>
        <f t="shared" ref="AF15" si="22">IFERROR(SUM(F15:AC15)*0.2,0)</f>
        <v>0</v>
      </c>
      <c r="AG15" s="210"/>
      <c r="AH15" s="210" t="s">
        <v>192</v>
      </c>
      <c r="AI15" s="215">
        <f t="shared" ref="AI15" si="23">IFERROR(130*D15,0)</f>
        <v>0</v>
      </c>
      <c r="AJ15" s="198" cm="1">
        <f t="array" ref="AJ15">IFERROR(SUM(_xlfn._xlws.FILTER(E15:AI15,ISNUMBER(E15:AI15))),0)</f>
        <v>0</v>
      </c>
      <c r="AK15" s="198"/>
      <c r="AL15" s="216">
        <f t="shared" ref="AL15" si="24">IFERROR(AJ15*(1+AK15%),0)</f>
        <v>0</v>
      </c>
      <c r="AM15" s="233"/>
      <c r="AN15" s="201">
        <f t="shared" ref="AN15" si="25">IFERROR(SUM(E15:AC15)/D15,0)</f>
        <v>0</v>
      </c>
      <c r="AO15" s="255"/>
      <c r="AQ15" s="254"/>
      <c r="AR15" s="254"/>
      <c r="AS15" s="254"/>
      <c r="AT15" s="254"/>
      <c r="AU15" s="254"/>
      <c r="AV15" s="254"/>
      <c r="AY15" s="253">
        <f t="shared" ref="AY15" si="26">IFERROR((AQ15*20)/60,0)</f>
        <v>0</v>
      </c>
      <c r="AZ15" s="253">
        <f t="shared" ref="AZ15" si="27">IFERROR(AX15 + AY15 + BI15,0)</f>
        <v>0</v>
      </c>
      <c r="BA15" s="252">
        <f t="shared" ref="BA15" si="28">IFERROR(AZ15/8,0)</f>
        <v>0</v>
      </c>
      <c r="BB15" s="252">
        <f t="shared" ref="BB15" si="29">IFERROR(MAX(AQ15-BA15,0),0)</f>
        <v>0</v>
      </c>
      <c r="BD15" s="234">
        <f t="shared" ref="BD15" si="30">IFERROR(10000*D15,0)</f>
        <v>0</v>
      </c>
      <c r="BE15" s="234"/>
      <c r="BF15" s="234"/>
      <c r="BG15" s="234">
        <f t="shared" ref="BG15" si="31">IFERROR(-IF(AH15=$K$3,0,IF(AH15=$M$3,15*680*D15,IF(AH15=$O$3,30*680*D15,IF(AH15=0,50*680*D15,0)))),0)</f>
        <v>0</v>
      </c>
      <c r="BH15" s="234"/>
      <c r="BI15" s="234"/>
      <c r="BJ15" s="234"/>
    </row>
    <row r="16" spans="1:64" ht="18" hidden="1" customHeight="1" outlineLevel="1">
      <c r="A16" s="212"/>
      <c r="B16" s="88">
        <f>'Tong hop cac ma'!B16</f>
        <v>0</v>
      </c>
      <c r="C16" s="314">
        <f>'Tong hop cac ma'!C16</f>
        <v>0</v>
      </c>
      <c r="D16" s="197">
        <f t="shared" si="1"/>
        <v>0</v>
      </c>
      <c r="E16" s="228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  <c r="AC16" s="212"/>
      <c r="AD16" s="212"/>
      <c r="AE16" s="212"/>
      <c r="AF16" s="212"/>
      <c r="AG16" s="212"/>
      <c r="AH16" s="212"/>
      <c r="AI16" s="229"/>
      <c r="AJ16" s="230"/>
      <c r="AK16" s="230"/>
      <c r="AL16" s="231"/>
      <c r="AM16" s="212"/>
      <c r="AN16" s="212"/>
      <c r="AO16" s="212"/>
      <c r="AP16" s="212"/>
      <c r="AQ16" s="212"/>
      <c r="AR16" s="212"/>
      <c r="AS16" s="212"/>
      <c r="AT16" s="212"/>
      <c r="AU16" s="212"/>
      <c r="AV16" s="212"/>
      <c r="AW16" s="212"/>
      <c r="AX16" s="212"/>
      <c r="AY16" s="212"/>
      <c r="AZ16" s="212"/>
      <c r="BA16" s="258"/>
      <c r="BB16" s="258"/>
      <c r="BC16" s="212"/>
      <c r="BD16" s="212"/>
      <c r="BE16" s="212"/>
      <c r="BF16" s="212"/>
      <c r="BG16" s="212"/>
      <c r="BH16" s="212"/>
      <c r="BI16" s="212"/>
      <c r="BJ16" s="212"/>
    </row>
    <row r="17" spans="1:62" ht="19.5" customHeight="1" outlineLevel="1">
      <c r="A17" s="89">
        <v>5</v>
      </c>
      <c r="B17" s="88">
        <f>'Tong hop cac ma'!B17</f>
        <v>0</v>
      </c>
      <c r="C17" s="314">
        <f>'Tong hop cac ma'!C17</f>
        <v>0</v>
      </c>
      <c r="D17" s="197">
        <f t="shared" si="1"/>
        <v>0</v>
      </c>
      <c r="E17" s="213">
        <f>+'Tong hop cac ma'!S17</f>
        <v>0</v>
      </c>
      <c r="F17" s="214"/>
      <c r="G17" s="214"/>
      <c r="H17" s="214"/>
      <c r="I17" s="214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>
        <f t="shared" ref="AF17" si="32">IFERROR(SUM(F17:AC17)*0.2,0)</f>
        <v>0</v>
      </c>
      <c r="AG17" s="210"/>
      <c r="AH17" s="210" t="s">
        <v>192</v>
      </c>
      <c r="AI17" s="215">
        <f t="shared" ref="AI17" si="33">IFERROR(130*D17,0)</f>
        <v>0</v>
      </c>
      <c r="AJ17" s="198" cm="1">
        <f t="array" ref="AJ17">IFERROR(SUM(_xlfn._xlws.FILTER(E17:AI17,ISNUMBER(E17:AI17))),0)</f>
        <v>0</v>
      </c>
      <c r="AK17" s="198"/>
      <c r="AL17" s="216">
        <f t="shared" ref="AL17" si="34">IFERROR(AJ17*(1+AK17%),0)</f>
        <v>0</v>
      </c>
      <c r="AM17" s="233"/>
      <c r="AN17" s="201">
        <f t="shared" ref="AN17" si="35">IFERROR(SUM(E17:AC17)/D17,0)</f>
        <v>0</v>
      </c>
      <c r="AO17" s="255"/>
      <c r="AQ17" s="254"/>
      <c r="AR17" s="254"/>
      <c r="AS17" s="254"/>
      <c r="AT17" s="254"/>
      <c r="AU17" s="254"/>
      <c r="AV17" s="254"/>
      <c r="AY17" s="253">
        <f t="shared" ref="AY17" si="36">IFERROR((AQ17*20)/60,0)</f>
        <v>0</v>
      </c>
      <c r="AZ17" s="253">
        <f t="shared" ref="AZ17" si="37">IFERROR(AX17 + AY17 + BI17,0)</f>
        <v>0</v>
      </c>
      <c r="BA17" s="252">
        <f t="shared" ref="BA17" si="38">IFERROR(AZ17/8,0)</f>
        <v>0</v>
      </c>
      <c r="BB17" s="252">
        <f t="shared" ref="BB17" si="39">IFERROR(MAX(AQ17-BA17,0),0)</f>
        <v>0</v>
      </c>
      <c r="BD17" s="234">
        <f t="shared" ref="BD17" si="40">IFERROR(10000*D17,0)</f>
        <v>0</v>
      </c>
      <c r="BE17" s="234"/>
      <c r="BF17" s="234"/>
      <c r="BG17" s="234">
        <f t="shared" ref="BG17" si="41">IFERROR(-IF(AH17=$K$3,0,IF(AH17=$M$3,15*680*D17,IF(AH17=$O$3,30*680*D17,IF(AH17=0,50*680*D17,0)))),0)</f>
        <v>0</v>
      </c>
      <c r="BH17" s="234"/>
      <c r="BI17" s="234"/>
      <c r="BJ17" s="234"/>
    </row>
    <row r="18" spans="1:62" ht="18" hidden="1" customHeight="1" outlineLevel="1">
      <c r="A18" s="81"/>
      <c r="B18" s="88">
        <f>'Tong hop cac ma'!B18</f>
        <v>0</v>
      </c>
      <c r="C18" s="314">
        <f>'Tong hop cac ma'!C18</f>
        <v>0</v>
      </c>
      <c r="D18" s="197">
        <f t="shared" si="1"/>
        <v>0</v>
      </c>
      <c r="E18" s="228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  <c r="AC18" s="212"/>
      <c r="AD18" s="212"/>
      <c r="AE18" s="212"/>
      <c r="AF18" s="212"/>
      <c r="AG18" s="212"/>
      <c r="AH18" s="212"/>
      <c r="AI18" s="229"/>
      <c r="AJ18" s="230"/>
      <c r="AK18" s="230"/>
      <c r="AL18" s="231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58"/>
      <c r="BB18" s="258"/>
      <c r="BC18" s="212"/>
      <c r="BD18" s="212"/>
      <c r="BE18" s="212"/>
      <c r="BF18" s="212"/>
      <c r="BG18" s="212"/>
      <c r="BH18" s="212"/>
      <c r="BI18" s="212"/>
      <c r="BJ18" s="212"/>
    </row>
    <row r="19" spans="1:62" ht="18" customHeight="1" outlineLevel="1">
      <c r="A19" s="86">
        <v>6</v>
      </c>
      <c r="B19" s="88">
        <f>'Tong hop cac ma'!B19</f>
        <v>0</v>
      </c>
      <c r="C19" s="314">
        <f>'Tong hop cac ma'!C19</f>
        <v>0</v>
      </c>
      <c r="D19" s="197">
        <f t="shared" si="1"/>
        <v>0</v>
      </c>
      <c r="E19" s="213">
        <f>+'Tong hop cac ma'!S19</f>
        <v>0</v>
      </c>
      <c r="F19" s="214"/>
      <c r="G19" s="214"/>
      <c r="H19" s="214"/>
      <c r="I19" s="214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>
        <f t="shared" ref="AF19" si="42">IFERROR(SUM(F19:AC19)*0.2,0)</f>
        <v>0</v>
      </c>
      <c r="AG19" s="210"/>
      <c r="AH19" s="210" t="s">
        <v>192</v>
      </c>
      <c r="AI19" s="215">
        <f t="shared" ref="AI19" si="43">IFERROR(130*D19,0)</f>
        <v>0</v>
      </c>
      <c r="AJ19" s="198" cm="1">
        <f t="array" ref="AJ19">IFERROR(SUM(_xlfn._xlws.FILTER(E19:AI19,ISNUMBER(E19:AI19))),0)</f>
        <v>0</v>
      </c>
      <c r="AK19" s="198"/>
      <c r="AL19" s="216">
        <f t="shared" ref="AL19" si="44">IFERROR(AJ19*(1+AK19%),0)</f>
        <v>0</v>
      </c>
      <c r="AM19" s="233"/>
      <c r="AN19" s="201">
        <f t="shared" ref="AN19" si="45">IFERROR(SUM(E19:AC19)/D19,0)</f>
        <v>0</v>
      </c>
      <c r="AO19" s="255"/>
      <c r="AQ19" s="254"/>
      <c r="AR19" s="254"/>
      <c r="AS19" s="254"/>
      <c r="AT19" s="254"/>
      <c r="AU19" s="254"/>
      <c r="AV19" s="254"/>
      <c r="AY19" s="253">
        <f t="shared" ref="AY19" si="46">IFERROR((AQ19*20)/60,0)</f>
        <v>0</v>
      </c>
      <c r="AZ19" s="253">
        <f t="shared" ref="AZ19" si="47">IFERROR(AX19 + AY19 + BI19,0)</f>
        <v>0</v>
      </c>
      <c r="BA19" s="252">
        <f t="shared" ref="BA19" si="48">IFERROR(AZ19/8,0)</f>
        <v>0</v>
      </c>
      <c r="BB19" s="252">
        <f t="shared" ref="BB19" si="49">IFERROR(MAX(AQ19-BA19,0),0)</f>
        <v>0</v>
      </c>
      <c r="BD19" s="234">
        <f t="shared" ref="BD19" si="50">IFERROR(10000*D19,0)</f>
        <v>0</v>
      </c>
      <c r="BE19" s="234"/>
      <c r="BF19" s="234"/>
      <c r="BG19" s="234">
        <f t="shared" ref="BG19" si="51">IFERROR(-IF(AH19=$K$3,0,IF(AH19=$M$3,15*680*D19,IF(AH19=$O$3,30*680*D19,IF(AH19=0,50*680*D19,0)))),0)</f>
        <v>0</v>
      </c>
      <c r="BH19" s="234"/>
      <c r="BI19" s="234"/>
      <c r="BJ19" s="234"/>
    </row>
    <row r="20" spans="1:62" ht="18" hidden="1" customHeight="1" outlineLevel="1">
      <c r="A20" s="212"/>
      <c r="B20" s="88">
        <f>'Tong hop cac ma'!B20</f>
        <v>0</v>
      </c>
      <c r="C20" s="314">
        <f>'Tong hop cac ma'!C20</f>
        <v>0</v>
      </c>
      <c r="D20" s="197">
        <f t="shared" si="1"/>
        <v>0</v>
      </c>
      <c r="E20" s="228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  <c r="AC20" s="212"/>
      <c r="AD20" s="212"/>
      <c r="AE20" s="212"/>
      <c r="AF20" s="212"/>
      <c r="AG20" s="212"/>
      <c r="AH20" s="212"/>
      <c r="AI20" s="229"/>
      <c r="AJ20" s="230"/>
      <c r="AK20" s="230"/>
      <c r="AL20" s="231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58"/>
      <c r="BB20" s="258"/>
      <c r="BC20" s="212"/>
      <c r="BD20" s="212"/>
      <c r="BE20" s="212"/>
      <c r="BF20" s="212"/>
      <c r="BG20" s="212"/>
      <c r="BH20" s="212"/>
      <c r="BI20" s="212"/>
      <c r="BJ20" s="212"/>
    </row>
    <row r="21" spans="1:62" ht="18" customHeight="1" outlineLevel="1">
      <c r="A21" s="89">
        <v>7</v>
      </c>
      <c r="B21" s="88">
        <f>'Tong hop cac ma'!B21</f>
        <v>0</v>
      </c>
      <c r="C21" s="314">
        <f>'Tong hop cac ma'!C21</f>
        <v>0</v>
      </c>
      <c r="D21" s="197">
        <f t="shared" si="1"/>
        <v>0</v>
      </c>
      <c r="E21" s="213">
        <f>+'Tong hop cac ma'!S21</f>
        <v>0</v>
      </c>
      <c r="F21" s="214"/>
      <c r="G21" s="214"/>
      <c r="H21" s="214"/>
      <c r="I21" s="214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>
        <f t="shared" ref="AF21" si="52">IFERROR(SUM(F21:AC21)*0.2,0)</f>
        <v>0</v>
      </c>
      <c r="AG21" s="210"/>
      <c r="AH21" s="210" t="s">
        <v>192</v>
      </c>
      <c r="AI21" s="215">
        <f t="shared" ref="AI21" si="53">IFERROR(130*D21,0)</f>
        <v>0</v>
      </c>
      <c r="AJ21" s="198" cm="1">
        <f t="array" ref="AJ21">IFERROR(SUM(_xlfn._xlws.FILTER(E21:AI21,ISNUMBER(E21:AI21))),0)</f>
        <v>0</v>
      </c>
      <c r="AK21" s="198"/>
      <c r="AL21" s="216">
        <f t="shared" ref="AL21" si="54">IFERROR(AJ21*(1+AK21%),0)</f>
        <v>0</v>
      </c>
      <c r="AM21" s="233"/>
      <c r="AN21" s="201">
        <f t="shared" ref="AN21" si="55">IFERROR(SUM(E21:AC21)/D21,0)</f>
        <v>0</v>
      </c>
      <c r="AO21" s="255"/>
      <c r="AQ21" s="254"/>
      <c r="AR21" s="254"/>
      <c r="AS21" s="254"/>
      <c r="AT21" s="254"/>
      <c r="AU21" s="254"/>
      <c r="AV21" s="254"/>
      <c r="AY21" s="253">
        <f t="shared" ref="AY21" si="56">IFERROR((AQ21*20)/60,0)</f>
        <v>0</v>
      </c>
      <c r="AZ21" s="253">
        <f t="shared" ref="AZ21" si="57">IFERROR(AX21 + AY21 + BI21,0)</f>
        <v>0</v>
      </c>
      <c r="BA21" s="252">
        <f t="shared" ref="BA21" si="58">IFERROR(AZ21/8,0)</f>
        <v>0</v>
      </c>
      <c r="BB21" s="252">
        <f t="shared" ref="BB21" si="59">IFERROR(MAX(AQ21-BA21,0),0)</f>
        <v>0</v>
      </c>
      <c r="BD21" s="234">
        <f t="shared" ref="BD21" si="60">IFERROR(10000*D21,0)</f>
        <v>0</v>
      </c>
      <c r="BE21" s="234"/>
      <c r="BF21" s="234"/>
      <c r="BG21" s="234">
        <f t="shared" ref="BG21" si="61">IFERROR(-IF(AH21=$K$3,0,IF(AH21=$M$3,15*680*D21,IF(AH21=$O$3,30*680*D21,IF(AH21=0,50*680*D21,0)))),0)</f>
        <v>0</v>
      </c>
      <c r="BH21" s="234"/>
      <c r="BI21" s="234"/>
      <c r="BJ21" s="234"/>
    </row>
    <row r="22" spans="1:62" ht="18" hidden="1" customHeight="1" outlineLevel="1">
      <c r="A22" s="81"/>
      <c r="B22" s="88">
        <f>'Tong hop cac ma'!B22</f>
        <v>0</v>
      </c>
      <c r="C22" s="314">
        <f>'Tong hop cac ma'!C22</f>
        <v>0</v>
      </c>
      <c r="D22" s="197">
        <f t="shared" si="1"/>
        <v>0</v>
      </c>
      <c r="E22" s="228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29"/>
      <c r="AJ22" s="230"/>
      <c r="AK22" s="230"/>
      <c r="AL22" s="231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58"/>
      <c r="BB22" s="258"/>
      <c r="BC22" s="212"/>
      <c r="BD22" s="212"/>
      <c r="BE22" s="212"/>
      <c r="BF22" s="212"/>
      <c r="BG22" s="212"/>
      <c r="BH22" s="212"/>
      <c r="BI22" s="212"/>
      <c r="BJ22" s="212"/>
    </row>
    <row r="23" spans="1:62" ht="18" customHeight="1" outlineLevel="1">
      <c r="A23" s="86">
        <v>8</v>
      </c>
      <c r="B23" s="88">
        <f>'Tong hop cac ma'!B23</f>
        <v>0</v>
      </c>
      <c r="C23" s="314">
        <f>'Tong hop cac ma'!C23</f>
        <v>0</v>
      </c>
      <c r="D23" s="197">
        <f t="shared" si="1"/>
        <v>0</v>
      </c>
      <c r="E23" s="213">
        <f>+'Tong hop cac ma'!S23</f>
        <v>0</v>
      </c>
      <c r="F23" s="214"/>
      <c r="G23" s="214"/>
      <c r="H23" s="214"/>
      <c r="I23" s="214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>
        <f t="shared" ref="AF23" si="62">IFERROR(SUM(F23:AC23)*0.2,0)</f>
        <v>0</v>
      </c>
      <c r="AG23" s="210"/>
      <c r="AH23" s="210" t="s">
        <v>192</v>
      </c>
      <c r="AI23" s="215">
        <f t="shared" ref="AI23" si="63">IFERROR(130*D23,0)</f>
        <v>0</v>
      </c>
      <c r="AJ23" s="198" cm="1">
        <f t="array" ref="AJ23">IFERROR(SUM(_xlfn._xlws.FILTER(E23:AI23,ISNUMBER(E23:AI23))),0)</f>
        <v>0</v>
      </c>
      <c r="AK23" s="198"/>
      <c r="AL23" s="216">
        <f t="shared" ref="AL23" si="64">IFERROR(AJ23*(1+AK23%),0)</f>
        <v>0</v>
      </c>
      <c r="AM23" s="233"/>
      <c r="AN23" s="201">
        <f t="shared" ref="AN23" si="65">IFERROR(SUM(E23:AC23)/D23,0)</f>
        <v>0</v>
      </c>
      <c r="AO23" s="255"/>
      <c r="AQ23" s="254"/>
      <c r="AR23" s="254"/>
      <c r="AS23" s="254"/>
      <c r="AT23" s="254"/>
      <c r="AU23" s="254"/>
      <c r="AV23" s="254"/>
      <c r="AY23" s="253">
        <f t="shared" ref="AY23" si="66">IFERROR((AQ23*20)/60,0)</f>
        <v>0</v>
      </c>
      <c r="AZ23" s="253">
        <f t="shared" ref="AZ23" si="67">IFERROR(AX23 + AY23 + BI23,0)</f>
        <v>0</v>
      </c>
      <c r="BA23" s="252">
        <f t="shared" ref="BA23" si="68">IFERROR(AZ23/8,0)</f>
        <v>0</v>
      </c>
      <c r="BB23" s="252">
        <f t="shared" ref="BB23" si="69">IFERROR(MAX(AQ23-BA23,0),0)</f>
        <v>0</v>
      </c>
      <c r="BD23" s="234">
        <f t="shared" ref="BD23" si="70">IFERROR(10000*D23,0)</f>
        <v>0</v>
      </c>
      <c r="BE23" s="234"/>
      <c r="BF23" s="234"/>
      <c r="BG23" s="234">
        <f t="shared" ref="BG23" si="71">IFERROR(-IF(AH23=$K$3,0,IF(AH23=$M$3,15*680*D23,IF(AH23=$O$3,30*680*D23,IF(AH23=0,50*680*D23,0)))),0)</f>
        <v>0</v>
      </c>
      <c r="BH23" s="234"/>
      <c r="BI23" s="234"/>
      <c r="BJ23" s="234"/>
    </row>
    <row r="24" spans="1:62" ht="18" hidden="1" customHeight="1" outlineLevel="1">
      <c r="A24" s="212"/>
      <c r="B24" s="88">
        <f>'Tong hop cac ma'!B24</f>
        <v>0</v>
      </c>
      <c r="C24" s="314">
        <f>'Tong hop cac ma'!C24</f>
        <v>0</v>
      </c>
      <c r="D24" s="197">
        <f t="shared" si="1"/>
        <v>0</v>
      </c>
      <c r="E24" s="228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29"/>
      <c r="AJ24" s="230"/>
      <c r="AK24" s="230"/>
      <c r="AL24" s="231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2"/>
      <c r="AX24" s="212"/>
      <c r="AY24" s="212"/>
      <c r="AZ24" s="212"/>
      <c r="BA24" s="258"/>
      <c r="BB24" s="258"/>
      <c r="BC24" s="212"/>
      <c r="BD24" s="212"/>
      <c r="BE24" s="212"/>
      <c r="BF24" s="212"/>
      <c r="BG24" s="212"/>
      <c r="BH24" s="212"/>
      <c r="BI24" s="212"/>
      <c r="BJ24" s="212"/>
    </row>
    <row r="25" spans="1:62" ht="18" customHeight="1" outlineLevel="1">
      <c r="A25" s="89">
        <v>9</v>
      </c>
      <c r="B25" s="88">
        <f>'Tong hop cac ma'!B25</f>
        <v>0</v>
      </c>
      <c r="C25" s="314">
        <f>'Tong hop cac ma'!C25</f>
        <v>0</v>
      </c>
      <c r="D25" s="197">
        <f t="shared" si="1"/>
        <v>0</v>
      </c>
      <c r="E25" s="213">
        <f>+'Tong hop cac ma'!S25</f>
        <v>0</v>
      </c>
      <c r="F25" s="214"/>
      <c r="G25" s="214"/>
      <c r="H25" s="214"/>
      <c r="I25" s="214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>
        <f t="shared" ref="AF25" si="72">IFERROR(SUM(F25:AC25)*0.2,0)</f>
        <v>0</v>
      </c>
      <c r="AG25" s="210"/>
      <c r="AH25" s="210" t="s">
        <v>192</v>
      </c>
      <c r="AI25" s="215">
        <f t="shared" ref="AI25" si="73">IFERROR(130*D25,0)</f>
        <v>0</v>
      </c>
      <c r="AJ25" s="198" cm="1">
        <f t="array" ref="AJ25">IFERROR(SUM(_xlfn._xlws.FILTER(E25:AI25,ISNUMBER(E25:AI25))),0)</f>
        <v>0</v>
      </c>
      <c r="AK25" s="198"/>
      <c r="AL25" s="216">
        <f t="shared" ref="AL25" si="74">IFERROR(AJ25*(1+AK25%),0)</f>
        <v>0</v>
      </c>
      <c r="AM25" s="233"/>
      <c r="AN25" s="201">
        <f t="shared" ref="AN25" si="75">IFERROR(SUM(E25:AC25)/D25,0)</f>
        <v>0</v>
      </c>
      <c r="AO25" s="255"/>
      <c r="AQ25" s="254"/>
      <c r="AR25" s="254"/>
      <c r="AS25" s="254"/>
      <c r="AT25" s="254"/>
      <c r="AU25" s="254"/>
      <c r="AV25" s="254"/>
      <c r="AY25" s="253">
        <f t="shared" ref="AY25" si="76">IFERROR((AQ25*20)/60,0)</f>
        <v>0</v>
      </c>
      <c r="AZ25" s="253">
        <f t="shared" ref="AZ25" si="77">IFERROR(AX25 + AY25 + BI25,0)</f>
        <v>0</v>
      </c>
      <c r="BA25" s="252">
        <f t="shared" ref="BA25" si="78">IFERROR(AZ25/8,0)</f>
        <v>0</v>
      </c>
      <c r="BB25" s="252">
        <f t="shared" ref="BB25" si="79">IFERROR(MAX(AQ25-BA25,0),0)</f>
        <v>0</v>
      </c>
      <c r="BD25" s="234">
        <f t="shared" ref="BD25" si="80">IFERROR(10000*D25,0)</f>
        <v>0</v>
      </c>
      <c r="BE25" s="234"/>
      <c r="BF25" s="234"/>
      <c r="BG25" s="234">
        <f t="shared" ref="BG25" si="81">IFERROR(-IF(AH25=$K$3,0,IF(AH25=$M$3,15*680*D25,IF(AH25=$O$3,30*680*D25,IF(AH25=0,50*680*D25,0)))),0)</f>
        <v>0</v>
      </c>
      <c r="BH25" s="234"/>
      <c r="BI25" s="234"/>
      <c r="BJ25" s="234"/>
    </row>
    <row r="26" spans="1:62" ht="18" hidden="1" customHeight="1" outlineLevel="1">
      <c r="A26" s="81"/>
      <c r="B26" s="88">
        <f>'Tong hop cac ma'!B26</f>
        <v>0</v>
      </c>
      <c r="C26" s="314">
        <f>'Tong hop cac ma'!C26</f>
        <v>0</v>
      </c>
      <c r="D26" s="197">
        <f t="shared" si="1"/>
        <v>0</v>
      </c>
      <c r="E26" s="228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29"/>
      <c r="AJ26" s="230"/>
      <c r="AK26" s="230"/>
      <c r="AL26" s="231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2"/>
      <c r="AX26" s="212"/>
      <c r="AY26" s="212"/>
      <c r="AZ26" s="212"/>
      <c r="BA26" s="258"/>
      <c r="BB26" s="258"/>
      <c r="BC26" s="212"/>
      <c r="BD26" s="212"/>
      <c r="BE26" s="212"/>
      <c r="BF26" s="212"/>
      <c r="BG26" s="212"/>
      <c r="BH26" s="212"/>
      <c r="BI26" s="212"/>
      <c r="BJ26" s="212"/>
    </row>
    <row r="27" spans="1:62" ht="18" customHeight="1" outlineLevel="1">
      <c r="A27" s="86">
        <v>10</v>
      </c>
      <c r="B27" s="88">
        <f>'Tong hop cac ma'!B27</f>
        <v>0</v>
      </c>
      <c r="C27" s="314">
        <f>'Tong hop cac ma'!C27</f>
        <v>0</v>
      </c>
      <c r="D27" s="197">
        <f t="shared" si="1"/>
        <v>0</v>
      </c>
      <c r="E27" s="213">
        <f>+'Tong hop cac ma'!S27</f>
        <v>0</v>
      </c>
      <c r="F27" s="214"/>
      <c r="G27" s="214"/>
      <c r="H27" s="214"/>
      <c r="I27" s="214"/>
      <c r="J27" s="210"/>
      <c r="K27" s="210"/>
      <c r="L27" s="210"/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>
        <f t="shared" ref="AF27" si="82">IFERROR(SUM(F27:AC27)*0.2,0)</f>
        <v>0</v>
      </c>
      <c r="AG27" s="210"/>
      <c r="AH27" s="210" t="s">
        <v>192</v>
      </c>
      <c r="AI27" s="215">
        <f t="shared" ref="AI27" si="83">IFERROR(130*D27,0)</f>
        <v>0</v>
      </c>
      <c r="AJ27" s="198" cm="1">
        <f t="array" ref="AJ27">IFERROR(SUM(_xlfn._xlws.FILTER(E27:AI27,ISNUMBER(E27:AI27))),0)</f>
        <v>0</v>
      </c>
      <c r="AK27" s="198"/>
      <c r="AL27" s="216">
        <f t="shared" ref="AL27" si="84">IFERROR(AJ27*(1+AK27%),0)</f>
        <v>0</v>
      </c>
      <c r="AM27" s="233"/>
      <c r="AN27" s="201">
        <f t="shared" ref="AN27" si="85">IFERROR(SUM(E27:AC27)/D27,0)</f>
        <v>0</v>
      </c>
      <c r="AO27" s="255"/>
      <c r="AQ27" s="254"/>
      <c r="AR27" s="254"/>
      <c r="AS27" s="254"/>
      <c r="AT27" s="254"/>
      <c r="AU27" s="254"/>
      <c r="AV27" s="254"/>
      <c r="AY27" s="253">
        <f t="shared" ref="AY27" si="86">IFERROR((AQ27*20)/60,0)</f>
        <v>0</v>
      </c>
      <c r="AZ27" s="253">
        <f t="shared" ref="AZ27" si="87">IFERROR(AX27 + AY27 + BI27,0)</f>
        <v>0</v>
      </c>
      <c r="BA27" s="252">
        <f t="shared" ref="BA27" si="88">IFERROR(AZ27/8,0)</f>
        <v>0</v>
      </c>
      <c r="BB27" s="252">
        <f t="shared" ref="BB27" si="89">IFERROR(MAX(AQ27-BA27,0),0)</f>
        <v>0</v>
      </c>
      <c r="BD27" s="234">
        <f t="shared" ref="BD27" si="90">IFERROR(10000*D27,0)</f>
        <v>0</v>
      </c>
      <c r="BE27" s="234"/>
      <c r="BF27" s="234"/>
      <c r="BG27" s="234">
        <f t="shared" ref="BG27" si="91">IFERROR(-IF(AH27=$K$3,0,IF(AH27=$M$3,15*680*D27,IF(AH27=$O$3,30*680*D27,IF(AH27=0,50*680*D27,0)))),0)</f>
        <v>0</v>
      </c>
      <c r="BH27" s="234"/>
      <c r="BI27" s="234"/>
      <c r="BJ27" s="234"/>
    </row>
    <row r="28" spans="1:62" ht="18" hidden="1" customHeight="1" outlineLevel="1">
      <c r="A28" s="212"/>
      <c r="B28" s="88">
        <f>'Tong hop cac ma'!B28</f>
        <v>0</v>
      </c>
      <c r="C28" s="314">
        <f>'Tong hop cac ma'!C28</f>
        <v>0</v>
      </c>
      <c r="D28" s="197">
        <f t="shared" si="1"/>
        <v>0</v>
      </c>
      <c r="E28" s="228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29"/>
      <c r="AJ28" s="230"/>
      <c r="AK28" s="230"/>
      <c r="AL28" s="231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2"/>
      <c r="AX28" s="212"/>
      <c r="AY28" s="212"/>
      <c r="AZ28" s="212"/>
      <c r="BA28" s="258"/>
      <c r="BB28" s="258"/>
      <c r="BC28" s="212"/>
      <c r="BD28" s="212"/>
      <c r="BE28" s="212"/>
      <c r="BF28" s="212"/>
      <c r="BG28" s="212"/>
      <c r="BH28" s="212"/>
      <c r="BI28" s="212"/>
      <c r="BJ28" s="212"/>
    </row>
    <row r="29" spans="1:62" ht="18" customHeight="1" outlineLevel="1">
      <c r="A29" s="89">
        <v>11</v>
      </c>
      <c r="B29" s="88">
        <f>'Tong hop cac ma'!B29</f>
        <v>0</v>
      </c>
      <c r="C29" s="314">
        <f>'Tong hop cac ma'!C29</f>
        <v>0</v>
      </c>
      <c r="D29" s="197">
        <f t="shared" si="1"/>
        <v>0</v>
      </c>
      <c r="E29" s="213">
        <f>+'Tong hop cac ma'!S29</f>
        <v>0</v>
      </c>
      <c r="F29" s="214"/>
      <c r="G29" s="214"/>
      <c r="H29" s="214"/>
      <c r="I29" s="214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>
        <f t="shared" ref="AF29" si="92">IFERROR(SUM(F29:AC29)*0.2,0)</f>
        <v>0</v>
      </c>
      <c r="AG29" s="210"/>
      <c r="AH29" s="210" t="s">
        <v>192</v>
      </c>
      <c r="AI29" s="215">
        <f t="shared" ref="AI29" si="93">IFERROR(130*D29,0)</f>
        <v>0</v>
      </c>
      <c r="AJ29" s="198" cm="1">
        <f t="array" ref="AJ29">IFERROR(SUM(_xlfn._xlws.FILTER(E29:AI29,ISNUMBER(E29:AI29))),0)</f>
        <v>0</v>
      </c>
      <c r="AK29" s="198"/>
      <c r="AL29" s="216">
        <f t="shared" ref="AL29" si="94">IFERROR(AJ29*(1+AK29%),0)</f>
        <v>0</v>
      </c>
      <c r="AM29" s="233"/>
      <c r="AN29" s="201">
        <f t="shared" ref="AN29" si="95">IFERROR(SUM(E29:AC29)/D29,0)</f>
        <v>0</v>
      </c>
      <c r="AO29" s="255"/>
      <c r="AQ29" s="254"/>
      <c r="AR29" s="254"/>
      <c r="AS29" s="254"/>
      <c r="AT29" s="254"/>
      <c r="AU29" s="254"/>
      <c r="AV29" s="254"/>
      <c r="AY29" s="253">
        <f t="shared" ref="AY29" si="96">IFERROR((AQ29*20)/60,0)</f>
        <v>0</v>
      </c>
      <c r="AZ29" s="253">
        <f t="shared" ref="AZ29" si="97">IFERROR(AX29 + AY29 + BI29,0)</f>
        <v>0</v>
      </c>
      <c r="BA29" s="252">
        <f t="shared" ref="BA29" si="98">IFERROR(AZ29/8,0)</f>
        <v>0</v>
      </c>
      <c r="BB29" s="252">
        <f t="shared" ref="BB29" si="99">IFERROR(MAX(AQ29-BA29,0),0)</f>
        <v>0</v>
      </c>
      <c r="BD29" s="234">
        <f t="shared" ref="BD29" si="100">IFERROR(10000*D29,0)</f>
        <v>0</v>
      </c>
      <c r="BE29" s="234"/>
      <c r="BF29" s="234"/>
      <c r="BG29" s="234">
        <f t="shared" ref="BG29" si="101">IFERROR(-IF(AH29=$K$3,0,IF(AH29=$M$3,15*680*D29,IF(AH29=$O$3,30*680*D29,IF(AH29=0,50*680*D29,0)))),0)</f>
        <v>0</v>
      </c>
      <c r="BH29" s="234"/>
      <c r="BI29" s="234"/>
      <c r="BJ29" s="234"/>
    </row>
    <row r="30" spans="1:62" ht="18" hidden="1" customHeight="1" outlineLevel="1">
      <c r="A30" s="81"/>
      <c r="B30" s="88">
        <f>'Tong hop cac ma'!B30</f>
        <v>0</v>
      </c>
      <c r="C30" s="314">
        <f>'Tong hop cac ma'!C30</f>
        <v>0</v>
      </c>
      <c r="D30" s="197">
        <f t="shared" si="1"/>
        <v>0</v>
      </c>
      <c r="E30" s="228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29"/>
      <c r="AJ30" s="230"/>
      <c r="AK30" s="230"/>
      <c r="AL30" s="231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2"/>
      <c r="AX30" s="212"/>
      <c r="AY30" s="212"/>
      <c r="AZ30" s="212"/>
      <c r="BA30" s="258"/>
      <c r="BB30" s="258"/>
      <c r="BC30" s="212"/>
      <c r="BD30" s="212"/>
      <c r="BE30" s="212"/>
      <c r="BF30" s="212"/>
      <c r="BG30" s="212"/>
      <c r="BH30" s="212"/>
      <c r="BI30" s="212"/>
      <c r="BJ30" s="212"/>
    </row>
    <row r="31" spans="1:62" ht="18" customHeight="1" outlineLevel="1">
      <c r="A31" s="86">
        <v>12</v>
      </c>
      <c r="B31" s="88">
        <f>'Tong hop cac ma'!B31</f>
        <v>0</v>
      </c>
      <c r="C31" s="314">
        <f>'Tong hop cac ma'!C31</f>
        <v>0</v>
      </c>
      <c r="D31" s="197">
        <f t="shared" si="1"/>
        <v>0</v>
      </c>
      <c r="E31" s="213">
        <f>+'Tong hop cac ma'!S31</f>
        <v>0</v>
      </c>
      <c r="F31" s="214"/>
      <c r="G31" s="214"/>
      <c r="H31" s="214"/>
      <c r="I31" s="214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>
        <f t="shared" ref="AF31" si="102">IFERROR(SUM(F31:AC31)*0.2,0)</f>
        <v>0</v>
      </c>
      <c r="AG31" s="210"/>
      <c r="AH31" s="210" t="s">
        <v>192</v>
      </c>
      <c r="AI31" s="215">
        <f t="shared" ref="AI31" si="103">IFERROR(130*D31,0)</f>
        <v>0</v>
      </c>
      <c r="AJ31" s="198" cm="1">
        <f t="array" ref="AJ31">IFERROR(SUM(_xlfn._xlws.FILTER(E31:AI31,ISNUMBER(E31:AI31))),0)</f>
        <v>0</v>
      </c>
      <c r="AK31" s="198"/>
      <c r="AL31" s="216">
        <f t="shared" ref="AL31" si="104">IFERROR(AJ31*(1+AK31%),0)</f>
        <v>0</v>
      </c>
      <c r="AM31" s="233"/>
      <c r="AN31" s="201">
        <f t="shared" ref="AN31" si="105">IFERROR(SUM(E31:AC31)/D31,0)</f>
        <v>0</v>
      </c>
      <c r="AO31" s="255"/>
      <c r="AQ31" s="254"/>
      <c r="AR31" s="254"/>
      <c r="AS31" s="254"/>
      <c r="AT31" s="254"/>
      <c r="AU31" s="254"/>
      <c r="AV31" s="254"/>
      <c r="AY31" s="253">
        <f t="shared" ref="AY31" si="106">IFERROR((AQ31*20)/60,0)</f>
        <v>0</v>
      </c>
      <c r="AZ31" s="253">
        <f t="shared" ref="AZ31" si="107">IFERROR(AX31 + AY31 + BI31,0)</f>
        <v>0</v>
      </c>
      <c r="BA31" s="252">
        <f t="shared" ref="BA31" si="108">IFERROR(AZ31/8,0)</f>
        <v>0</v>
      </c>
      <c r="BB31" s="252">
        <f t="shared" ref="BB31" si="109">IFERROR(MAX(AQ31-BA31,0),0)</f>
        <v>0</v>
      </c>
      <c r="BD31" s="234">
        <f t="shared" ref="BD31" si="110">IFERROR(10000*D31,0)</f>
        <v>0</v>
      </c>
      <c r="BE31" s="234"/>
      <c r="BF31" s="234"/>
      <c r="BG31" s="234">
        <f t="shared" ref="BG31" si="111">IFERROR(-IF(AH31=$K$3,0,IF(AH31=$M$3,15*680*D31,IF(AH31=$O$3,30*680*D31,IF(AH31=0,50*680*D31,0)))),0)</f>
        <v>0</v>
      </c>
      <c r="BH31" s="234"/>
      <c r="BI31" s="234"/>
      <c r="BJ31" s="234"/>
    </row>
    <row r="32" spans="1:62" ht="18" hidden="1" customHeight="1" outlineLevel="1">
      <c r="A32" s="212"/>
      <c r="B32" s="88">
        <f>'Tong hop cac ma'!B32</f>
        <v>0</v>
      </c>
      <c r="C32" s="314">
        <f>'Tong hop cac ma'!C32</f>
        <v>0</v>
      </c>
      <c r="D32" s="197">
        <f t="shared" si="1"/>
        <v>0</v>
      </c>
      <c r="E32" s="228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29"/>
      <c r="AJ32" s="230"/>
      <c r="AK32" s="230"/>
      <c r="AL32" s="231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2"/>
      <c r="AX32" s="212"/>
      <c r="AY32" s="212"/>
      <c r="AZ32" s="212"/>
      <c r="BA32" s="258"/>
      <c r="BB32" s="258"/>
      <c r="BC32" s="212"/>
      <c r="BD32" s="212"/>
      <c r="BE32" s="212"/>
      <c r="BF32" s="212"/>
      <c r="BG32" s="212"/>
      <c r="BH32" s="212"/>
      <c r="BI32" s="212"/>
      <c r="BJ32" s="212"/>
    </row>
    <row r="33" spans="1:62" ht="18" customHeight="1" outlineLevel="1">
      <c r="A33" s="89">
        <v>13</v>
      </c>
      <c r="B33" s="88">
        <f>'Tong hop cac ma'!B33</f>
        <v>0</v>
      </c>
      <c r="C33" s="314">
        <f>'Tong hop cac ma'!C33</f>
        <v>0</v>
      </c>
      <c r="D33" s="197">
        <f t="shared" si="1"/>
        <v>0</v>
      </c>
      <c r="E33" s="213">
        <f>+'Tong hop cac ma'!S33</f>
        <v>0</v>
      </c>
      <c r="F33" s="214"/>
      <c r="G33" s="214"/>
      <c r="H33" s="214"/>
      <c r="I33" s="214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>
        <f t="shared" ref="AF33" si="112">IFERROR(SUM(F33:AC33)*0.2,0)</f>
        <v>0</v>
      </c>
      <c r="AG33" s="210"/>
      <c r="AH33" s="210" t="s">
        <v>192</v>
      </c>
      <c r="AI33" s="215">
        <f t="shared" ref="AI33" si="113">IFERROR(130*D33,0)</f>
        <v>0</v>
      </c>
      <c r="AJ33" s="198" cm="1">
        <f t="array" ref="AJ33">IFERROR(SUM(_xlfn._xlws.FILTER(E33:AI33,ISNUMBER(E33:AI33))),0)</f>
        <v>0</v>
      </c>
      <c r="AK33" s="198"/>
      <c r="AL33" s="216">
        <f t="shared" ref="AL33" si="114">IFERROR(AJ33*(1+AK33%),0)</f>
        <v>0</v>
      </c>
      <c r="AM33" s="233"/>
      <c r="AN33" s="201">
        <f t="shared" ref="AN33" si="115">IFERROR(SUM(E33:AC33)/D33,0)</f>
        <v>0</v>
      </c>
      <c r="AO33" s="255"/>
      <c r="AQ33" s="254"/>
      <c r="AR33" s="254"/>
      <c r="AS33" s="254"/>
      <c r="AT33" s="254"/>
      <c r="AU33" s="254"/>
      <c r="AV33" s="254"/>
      <c r="AY33" s="253">
        <f t="shared" ref="AY33" si="116">IFERROR((AQ33*20)/60,0)</f>
        <v>0</v>
      </c>
      <c r="AZ33" s="253">
        <f t="shared" ref="AZ33" si="117">IFERROR(AX33 + AY33 + BI33,0)</f>
        <v>0</v>
      </c>
      <c r="BA33" s="252">
        <f t="shared" ref="BA33" si="118">IFERROR(AZ33/8,0)</f>
        <v>0</v>
      </c>
      <c r="BB33" s="252">
        <f t="shared" ref="BB33" si="119">IFERROR(MAX(AQ33-BA33,0),0)</f>
        <v>0</v>
      </c>
      <c r="BD33" s="234">
        <f t="shared" ref="BD33" si="120">IFERROR(10000*D33,0)</f>
        <v>0</v>
      </c>
      <c r="BE33" s="234"/>
      <c r="BF33" s="234"/>
      <c r="BG33" s="234">
        <f t="shared" ref="BG33" si="121">IFERROR(-IF(AH33=$K$3,0,IF(AH33=$M$3,15*680*D33,IF(AH33=$O$3,30*680*D33,IF(AH33=0,50*680*D33,0)))),0)</f>
        <v>0</v>
      </c>
      <c r="BH33" s="234"/>
      <c r="BI33" s="234"/>
      <c r="BJ33" s="234"/>
    </row>
    <row r="34" spans="1:62" ht="18" hidden="1" customHeight="1" outlineLevel="1">
      <c r="A34" s="81"/>
      <c r="B34" s="88">
        <f>'Tong hop cac ma'!B34</f>
        <v>0</v>
      </c>
      <c r="C34" s="314">
        <f>'Tong hop cac ma'!C34</f>
        <v>0</v>
      </c>
      <c r="D34" s="197">
        <f t="shared" si="1"/>
        <v>0</v>
      </c>
      <c r="E34" s="228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29"/>
      <c r="AJ34" s="230"/>
      <c r="AK34" s="230"/>
      <c r="AL34" s="231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2"/>
      <c r="AX34" s="212"/>
      <c r="AY34" s="212"/>
      <c r="AZ34" s="212"/>
      <c r="BA34" s="258"/>
      <c r="BB34" s="258"/>
      <c r="BC34" s="212"/>
      <c r="BD34" s="212"/>
      <c r="BE34" s="212"/>
      <c r="BF34" s="212"/>
      <c r="BG34" s="212"/>
      <c r="BH34" s="212"/>
      <c r="BI34" s="212"/>
      <c r="BJ34" s="212"/>
    </row>
    <row r="35" spans="1:62" ht="18" customHeight="1" outlineLevel="1">
      <c r="A35" s="86">
        <v>14</v>
      </c>
      <c r="B35" s="88">
        <f>'Tong hop cac ma'!B35</f>
        <v>0</v>
      </c>
      <c r="C35" s="314">
        <f>'Tong hop cac ma'!C35</f>
        <v>0</v>
      </c>
      <c r="D35" s="197">
        <f t="shared" si="1"/>
        <v>0</v>
      </c>
      <c r="E35" s="213">
        <f>+'Tong hop cac ma'!S35</f>
        <v>0</v>
      </c>
      <c r="F35" s="214"/>
      <c r="G35" s="214"/>
      <c r="H35" s="214"/>
      <c r="I35" s="214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>
        <f t="shared" ref="AF35" si="122">IFERROR(SUM(F35:AC35)*0.2,0)</f>
        <v>0</v>
      </c>
      <c r="AG35" s="210"/>
      <c r="AH35" s="210" t="s">
        <v>192</v>
      </c>
      <c r="AI35" s="215">
        <f t="shared" ref="AI35" si="123">IFERROR(130*D35,0)</f>
        <v>0</v>
      </c>
      <c r="AJ35" s="198" cm="1">
        <f t="array" ref="AJ35">IFERROR(SUM(_xlfn._xlws.FILTER(E35:AI35,ISNUMBER(E35:AI35))),0)</f>
        <v>0</v>
      </c>
      <c r="AK35" s="198"/>
      <c r="AL35" s="216">
        <f t="shared" ref="AL35" si="124">IFERROR(AJ35*(1+AK35%),0)</f>
        <v>0</v>
      </c>
      <c r="AM35" s="233"/>
      <c r="AN35" s="201">
        <f t="shared" ref="AN35" si="125">IFERROR(SUM(E35:AC35)/D35,0)</f>
        <v>0</v>
      </c>
      <c r="AO35" s="255"/>
      <c r="AQ35" s="254"/>
      <c r="AR35" s="254"/>
      <c r="AS35" s="254"/>
      <c r="AT35" s="254"/>
      <c r="AU35" s="254"/>
      <c r="AV35" s="254"/>
      <c r="AY35" s="253">
        <f t="shared" ref="AY35" si="126">IFERROR((AQ35*20)/60,0)</f>
        <v>0</v>
      </c>
      <c r="AZ35" s="253">
        <f t="shared" ref="AZ35" si="127">IFERROR(AX35 + AY35 + BI35,0)</f>
        <v>0</v>
      </c>
      <c r="BA35" s="252">
        <f t="shared" ref="BA35" si="128">IFERROR(AZ35/8,0)</f>
        <v>0</v>
      </c>
      <c r="BB35" s="252">
        <f t="shared" ref="BB35" si="129">IFERROR(MAX(AQ35-BA35,0),0)</f>
        <v>0</v>
      </c>
      <c r="BD35" s="234">
        <f t="shared" ref="BD35" si="130">IFERROR(10000*D35,0)</f>
        <v>0</v>
      </c>
      <c r="BE35" s="234"/>
      <c r="BF35" s="234"/>
      <c r="BG35" s="234">
        <f t="shared" ref="BG35" si="131">IFERROR(-IF(AH35=$K$3,0,IF(AH35=$M$3,15*680*D35,IF(AH35=$O$3,30*680*D35,IF(AH35=0,50*680*D35,0)))),0)</f>
        <v>0</v>
      </c>
      <c r="BH35" s="234"/>
      <c r="BI35" s="234"/>
      <c r="BJ35" s="234"/>
    </row>
    <row r="36" spans="1:62" ht="18" hidden="1" customHeight="1" outlineLevel="1">
      <c r="A36" s="212"/>
      <c r="B36" s="88">
        <f>'Tong hop cac ma'!B36</f>
        <v>0</v>
      </c>
      <c r="C36" s="314">
        <f>'Tong hop cac ma'!C36</f>
        <v>0</v>
      </c>
      <c r="D36" s="197">
        <f t="shared" si="1"/>
        <v>0</v>
      </c>
      <c r="E36" s="228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29"/>
      <c r="AJ36" s="230"/>
      <c r="AK36" s="230"/>
      <c r="AL36" s="231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2"/>
      <c r="AX36" s="212"/>
      <c r="AY36" s="212"/>
      <c r="AZ36" s="212"/>
      <c r="BA36" s="258"/>
      <c r="BB36" s="258"/>
      <c r="BC36" s="212"/>
      <c r="BD36" s="212"/>
      <c r="BE36" s="212"/>
      <c r="BF36" s="212"/>
      <c r="BG36" s="212"/>
      <c r="BH36" s="212"/>
      <c r="BI36" s="212"/>
      <c r="BJ36" s="212"/>
    </row>
    <row r="37" spans="1:62" ht="18" customHeight="1" outlineLevel="1">
      <c r="A37" s="89">
        <v>15</v>
      </c>
      <c r="B37" s="88">
        <f>'Tong hop cac ma'!B37</f>
        <v>0</v>
      </c>
      <c r="C37" s="314">
        <f>'Tong hop cac ma'!C37</f>
        <v>0</v>
      </c>
      <c r="D37" s="197">
        <f t="shared" si="1"/>
        <v>0</v>
      </c>
      <c r="E37" s="213">
        <f>+'Tong hop cac ma'!S37</f>
        <v>0</v>
      </c>
      <c r="F37" s="214"/>
      <c r="G37" s="214"/>
      <c r="H37" s="214"/>
      <c r="I37" s="214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>
        <f t="shared" ref="AF37" si="132">IFERROR(SUM(F37:AC37)*0.2,0)</f>
        <v>0</v>
      </c>
      <c r="AG37" s="210"/>
      <c r="AH37" s="210" t="s">
        <v>192</v>
      </c>
      <c r="AI37" s="215">
        <f t="shared" ref="AI37" si="133">IFERROR(130*D37,0)</f>
        <v>0</v>
      </c>
      <c r="AJ37" s="198" cm="1">
        <f t="array" ref="AJ37">IFERROR(SUM(_xlfn._xlws.FILTER(E37:AI37,ISNUMBER(E37:AI37))),0)</f>
        <v>0</v>
      </c>
      <c r="AK37" s="198"/>
      <c r="AL37" s="216">
        <f t="shared" ref="AL37" si="134">IFERROR(AJ37*(1+AK37%),0)</f>
        <v>0</v>
      </c>
      <c r="AM37" s="233"/>
      <c r="AN37" s="201">
        <f t="shared" ref="AN37" si="135">IFERROR(SUM(E37:AC37)/D37,0)</f>
        <v>0</v>
      </c>
      <c r="AO37" s="255"/>
      <c r="AQ37" s="254"/>
      <c r="AR37" s="254"/>
      <c r="AS37" s="254"/>
      <c r="AT37" s="254"/>
      <c r="AU37" s="254"/>
      <c r="AV37" s="254"/>
      <c r="AY37" s="253">
        <f t="shared" ref="AY37" si="136">IFERROR((AQ37*20)/60,0)</f>
        <v>0</v>
      </c>
      <c r="AZ37" s="253">
        <f t="shared" ref="AZ37" si="137">IFERROR(AX37 + AY37 + BI37,0)</f>
        <v>0</v>
      </c>
      <c r="BA37" s="252">
        <f t="shared" ref="BA37" si="138">IFERROR(AZ37/8,0)</f>
        <v>0</v>
      </c>
      <c r="BB37" s="252">
        <f t="shared" ref="BB37" si="139">IFERROR(MAX(AQ37-BA37,0),0)</f>
        <v>0</v>
      </c>
      <c r="BD37" s="234">
        <f t="shared" ref="BD37" si="140">IFERROR(10000*D37,0)</f>
        <v>0</v>
      </c>
      <c r="BE37" s="234"/>
      <c r="BF37" s="234"/>
      <c r="BG37" s="234">
        <f t="shared" ref="BG37" si="141">IFERROR(-IF(AH37=$K$3,0,IF(AH37=$M$3,15*680*D37,IF(AH37=$O$3,30*680*D37,IF(AH37=0,50*680*D37,0)))),0)</f>
        <v>0</v>
      </c>
      <c r="BH37" s="234"/>
      <c r="BI37" s="234"/>
      <c r="BJ37" s="234"/>
    </row>
    <row r="38" spans="1:62" ht="18" hidden="1" customHeight="1" outlineLevel="1">
      <c r="A38" s="81"/>
      <c r="B38" s="88">
        <f>'Tong hop cac ma'!B38</f>
        <v>0</v>
      </c>
      <c r="C38" s="314">
        <f>'Tong hop cac ma'!C38</f>
        <v>0</v>
      </c>
      <c r="D38" s="197">
        <f t="shared" si="1"/>
        <v>0</v>
      </c>
      <c r="E38" s="228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29"/>
      <c r="AJ38" s="230"/>
      <c r="AK38" s="230"/>
      <c r="AL38" s="231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2"/>
      <c r="AX38" s="212"/>
      <c r="AY38" s="212"/>
      <c r="AZ38" s="212"/>
      <c r="BA38" s="258"/>
      <c r="BB38" s="258"/>
      <c r="BC38" s="212"/>
      <c r="BD38" s="212"/>
      <c r="BE38" s="212"/>
      <c r="BF38" s="212"/>
      <c r="BG38" s="212"/>
      <c r="BH38" s="212"/>
      <c r="BI38" s="212"/>
      <c r="BJ38" s="212"/>
    </row>
    <row r="39" spans="1:62" ht="18" customHeight="1" outlineLevel="1">
      <c r="A39" s="86">
        <v>16</v>
      </c>
      <c r="B39" s="88">
        <f>'Tong hop cac ma'!B39</f>
        <v>0</v>
      </c>
      <c r="C39" s="314">
        <f>'Tong hop cac ma'!C39</f>
        <v>0</v>
      </c>
      <c r="D39" s="197">
        <f t="shared" si="1"/>
        <v>0</v>
      </c>
      <c r="E39" s="213">
        <f>+'Tong hop cac ma'!S39</f>
        <v>0</v>
      </c>
      <c r="F39" s="214"/>
      <c r="G39" s="214"/>
      <c r="H39" s="214"/>
      <c r="I39" s="214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>
        <f t="shared" ref="AF39" si="142">IFERROR(SUM(F39:AC39)*0.2,0)</f>
        <v>0</v>
      </c>
      <c r="AG39" s="210"/>
      <c r="AH39" s="210" t="s">
        <v>192</v>
      </c>
      <c r="AI39" s="215">
        <f t="shared" ref="AI39" si="143">IFERROR(130*D39,0)</f>
        <v>0</v>
      </c>
      <c r="AJ39" s="198" cm="1">
        <f t="array" ref="AJ39">IFERROR(SUM(_xlfn._xlws.FILTER(E39:AI39,ISNUMBER(E39:AI39))),0)</f>
        <v>0</v>
      </c>
      <c r="AK39" s="198"/>
      <c r="AL39" s="216">
        <f t="shared" ref="AL39" si="144">IFERROR(AJ39*(1+AK39%),0)</f>
        <v>0</v>
      </c>
      <c r="AM39" s="233"/>
      <c r="AN39" s="201">
        <f t="shared" ref="AN39" si="145">IFERROR(SUM(E39:AC39)/D39,0)</f>
        <v>0</v>
      </c>
      <c r="AO39" s="255"/>
      <c r="AQ39" s="254"/>
      <c r="AR39" s="254"/>
      <c r="AS39" s="254"/>
      <c r="AT39" s="254"/>
      <c r="AU39" s="254"/>
      <c r="AV39" s="254"/>
      <c r="AY39" s="253">
        <f t="shared" ref="AY39" si="146">IFERROR((AQ39*20)/60,0)</f>
        <v>0</v>
      </c>
      <c r="AZ39" s="253">
        <f t="shared" ref="AZ39" si="147">IFERROR(AX39 + AY39 + BI39,0)</f>
        <v>0</v>
      </c>
      <c r="BA39" s="252">
        <f t="shared" ref="BA39" si="148">IFERROR(AZ39/8,0)</f>
        <v>0</v>
      </c>
      <c r="BB39" s="252">
        <f t="shared" ref="BB39" si="149">IFERROR(MAX(AQ39-BA39,0),0)</f>
        <v>0</v>
      </c>
      <c r="BD39" s="234">
        <f t="shared" ref="BD39" si="150">IFERROR(10000*D39,0)</f>
        <v>0</v>
      </c>
      <c r="BE39" s="234"/>
      <c r="BF39" s="234"/>
      <c r="BG39" s="234">
        <f t="shared" ref="BG39" si="151">IFERROR(-IF(AH39=$K$3,0,IF(AH39=$M$3,15*680*D39,IF(AH39=$O$3,30*680*D39,IF(AH39=0,50*680*D39,0)))),0)</f>
        <v>0</v>
      </c>
      <c r="BH39" s="234"/>
      <c r="BI39" s="234"/>
      <c r="BJ39" s="234"/>
    </row>
    <row r="40" spans="1:62" ht="18" hidden="1" customHeight="1" outlineLevel="1">
      <c r="A40" s="212"/>
      <c r="B40" s="88">
        <f>'Tong hop cac ma'!B40</f>
        <v>0</v>
      </c>
      <c r="C40" s="314">
        <f>'Tong hop cac ma'!C40</f>
        <v>0</v>
      </c>
      <c r="D40" s="197">
        <f t="shared" si="1"/>
        <v>0</v>
      </c>
      <c r="E40" s="228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29"/>
      <c r="AJ40" s="230"/>
      <c r="AK40" s="230"/>
      <c r="AL40" s="231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2"/>
      <c r="AX40" s="212"/>
      <c r="AY40" s="212"/>
      <c r="AZ40" s="212"/>
      <c r="BA40" s="258"/>
      <c r="BB40" s="258"/>
      <c r="BC40" s="212"/>
      <c r="BD40" s="212"/>
      <c r="BE40" s="212"/>
      <c r="BF40" s="212"/>
      <c r="BG40" s="212"/>
      <c r="BH40" s="212"/>
      <c r="BI40" s="212"/>
      <c r="BJ40" s="212"/>
    </row>
    <row r="41" spans="1:62" ht="18" customHeight="1" outlineLevel="1">
      <c r="A41" s="89">
        <v>17</v>
      </c>
      <c r="B41" s="88">
        <f>'Tong hop cac ma'!B41</f>
        <v>0</v>
      </c>
      <c r="C41" s="314">
        <f>'Tong hop cac ma'!C41</f>
        <v>0</v>
      </c>
      <c r="D41" s="197">
        <f t="shared" si="1"/>
        <v>0</v>
      </c>
      <c r="E41" s="213">
        <f>+'Tong hop cac ma'!S41</f>
        <v>0</v>
      </c>
      <c r="F41" s="214"/>
      <c r="G41" s="214"/>
      <c r="H41" s="214"/>
      <c r="I41" s="214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>
        <f t="shared" ref="AF41" si="152">IFERROR(SUM(F41:AC41)*0.2,0)</f>
        <v>0</v>
      </c>
      <c r="AG41" s="210"/>
      <c r="AH41" s="210" t="s">
        <v>192</v>
      </c>
      <c r="AI41" s="215">
        <f t="shared" ref="AI41" si="153">IFERROR(130*D41,0)</f>
        <v>0</v>
      </c>
      <c r="AJ41" s="198" cm="1">
        <f t="array" ref="AJ41">IFERROR(SUM(_xlfn._xlws.FILTER(E41:AI41,ISNUMBER(E41:AI41))),0)</f>
        <v>0</v>
      </c>
      <c r="AK41" s="198"/>
      <c r="AL41" s="216">
        <f t="shared" ref="AL41" si="154">IFERROR(AJ41*(1+AK41%),0)</f>
        <v>0</v>
      </c>
      <c r="AM41" s="233"/>
      <c r="AN41" s="201">
        <f t="shared" ref="AN41" si="155">IFERROR(SUM(E41:AC41)/D41,0)</f>
        <v>0</v>
      </c>
      <c r="AO41" s="255"/>
      <c r="AQ41" s="254"/>
      <c r="AR41" s="254"/>
      <c r="AS41" s="254"/>
      <c r="AT41" s="254"/>
      <c r="AU41" s="254"/>
      <c r="AV41" s="254"/>
      <c r="AY41" s="253">
        <f t="shared" ref="AY41" si="156">IFERROR((AQ41*20)/60,0)</f>
        <v>0</v>
      </c>
      <c r="AZ41" s="253">
        <f t="shared" ref="AZ41" si="157">IFERROR(AX41 + AY41 + BI41,0)</f>
        <v>0</v>
      </c>
      <c r="BA41" s="252">
        <f t="shared" ref="BA41" si="158">IFERROR(AZ41/8,0)</f>
        <v>0</v>
      </c>
      <c r="BB41" s="252">
        <f t="shared" ref="BB41" si="159">IFERROR(MAX(AQ41-BA41,0),0)</f>
        <v>0</v>
      </c>
      <c r="BD41" s="234">
        <f t="shared" ref="BD41" si="160">IFERROR(10000*D41,0)</f>
        <v>0</v>
      </c>
      <c r="BE41" s="234"/>
      <c r="BF41" s="234"/>
      <c r="BG41" s="234">
        <f t="shared" ref="BG41" si="161">IFERROR(-IF(AH41=$K$3,0,IF(AH41=$M$3,15*680*D41,IF(AH41=$O$3,30*680*D41,IF(AH41=0,50*680*D41,0)))),0)</f>
        <v>0</v>
      </c>
      <c r="BH41" s="234"/>
      <c r="BI41" s="234"/>
      <c r="BJ41" s="234"/>
    </row>
    <row r="42" spans="1:62" ht="18" hidden="1" customHeight="1" outlineLevel="1">
      <c r="A42" s="81"/>
      <c r="B42" s="88">
        <f>'Tong hop cac ma'!B42</f>
        <v>0</v>
      </c>
      <c r="C42" s="314">
        <f>'Tong hop cac ma'!C42</f>
        <v>0</v>
      </c>
      <c r="D42" s="197">
        <f t="shared" si="1"/>
        <v>0</v>
      </c>
      <c r="E42" s="228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29"/>
      <c r="AJ42" s="230"/>
      <c r="AK42" s="230"/>
      <c r="AL42" s="231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2"/>
      <c r="AX42" s="212"/>
      <c r="AY42" s="212"/>
      <c r="AZ42" s="212"/>
      <c r="BA42" s="258"/>
      <c r="BB42" s="258"/>
      <c r="BC42" s="212"/>
      <c r="BD42" s="212"/>
      <c r="BE42" s="212"/>
      <c r="BF42" s="212"/>
      <c r="BG42" s="212"/>
      <c r="BH42" s="212"/>
      <c r="BI42" s="212"/>
      <c r="BJ42" s="212"/>
    </row>
    <row r="43" spans="1:62" ht="18" customHeight="1" outlineLevel="1">
      <c r="A43" s="86">
        <v>18</v>
      </c>
      <c r="B43" s="88">
        <f>'Tong hop cac ma'!B43</f>
        <v>0</v>
      </c>
      <c r="C43" s="314">
        <f>'Tong hop cac ma'!C43</f>
        <v>0</v>
      </c>
      <c r="D43" s="197">
        <f t="shared" si="1"/>
        <v>0</v>
      </c>
      <c r="E43" s="213">
        <f>+'Tong hop cac ma'!S43</f>
        <v>0</v>
      </c>
      <c r="F43" s="214"/>
      <c r="G43" s="214"/>
      <c r="H43" s="214"/>
      <c r="I43" s="214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>
        <f t="shared" ref="AF43" si="162">IFERROR(SUM(F43:AC43)*0.2,0)</f>
        <v>0</v>
      </c>
      <c r="AG43" s="210"/>
      <c r="AH43" s="210" t="s">
        <v>192</v>
      </c>
      <c r="AI43" s="215">
        <f t="shared" ref="AI43" si="163">IFERROR(130*D43,0)</f>
        <v>0</v>
      </c>
      <c r="AJ43" s="198" cm="1">
        <f t="array" ref="AJ43">IFERROR(SUM(_xlfn._xlws.FILTER(E43:AI43,ISNUMBER(E43:AI43))),0)</f>
        <v>0</v>
      </c>
      <c r="AK43" s="198"/>
      <c r="AL43" s="216">
        <f t="shared" ref="AL43" si="164">IFERROR(AJ43*(1+AK43%),0)</f>
        <v>0</v>
      </c>
      <c r="AM43" s="233"/>
      <c r="AN43" s="201">
        <f t="shared" ref="AN43" si="165">IFERROR(SUM(E43:AC43)/D43,0)</f>
        <v>0</v>
      </c>
      <c r="AO43" s="255"/>
      <c r="AQ43" s="254"/>
      <c r="AR43" s="254"/>
      <c r="AS43" s="254"/>
      <c r="AT43" s="254"/>
      <c r="AU43" s="254"/>
      <c r="AV43" s="254"/>
      <c r="AY43" s="253">
        <f t="shared" ref="AY43" si="166">IFERROR((AQ43*20)/60,0)</f>
        <v>0</v>
      </c>
      <c r="AZ43" s="253">
        <f t="shared" ref="AZ43" si="167">IFERROR(AX43 + AY43 + BI43,0)</f>
        <v>0</v>
      </c>
      <c r="BA43" s="252">
        <f t="shared" ref="BA43" si="168">IFERROR(AZ43/8,0)</f>
        <v>0</v>
      </c>
      <c r="BB43" s="252">
        <f t="shared" ref="BB43" si="169">IFERROR(MAX(AQ43-BA43,0),0)</f>
        <v>0</v>
      </c>
      <c r="BD43" s="234">
        <f t="shared" ref="BD43" si="170">IFERROR(10000*D43,0)</f>
        <v>0</v>
      </c>
      <c r="BE43" s="234"/>
      <c r="BF43" s="234"/>
      <c r="BG43" s="234">
        <f t="shared" ref="BG43" si="171">IFERROR(-IF(AH43=$K$3,0,IF(AH43=$M$3,15*680*D43,IF(AH43=$O$3,30*680*D43,IF(AH43=0,50*680*D43,0)))),0)</f>
        <v>0</v>
      </c>
      <c r="BH43" s="234"/>
      <c r="BI43" s="234"/>
      <c r="BJ43" s="234"/>
    </row>
    <row r="44" spans="1:62" ht="18" hidden="1" customHeight="1" outlineLevel="1">
      <c r="A44" s="212"/>
      <c r="B44" s="88">
        <f>'Tong hop cac ma'!B44</f>
        <v>0</v>
      </c>
      <c r="C44" s="314">
        <f>'Tong hop cac ma'!C44</f>
        <v>0</v>
      </c>
      <c r="D44" s="197">
        <f t="shared" si="1"/>
        <v>0</v>
      </c>
      <c r="E44" s="228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29"/>
      <c r="AJ44" s="230"/>
      <c r="AK44" s="230"/>
      <c r="AL44" s="231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2"/>
      <c r="AX44" s="212"/>
      <c r="AY44" s="212"/>
      <c r="AZ44" s="212"/>
      <c r="BA44" s="258"/>
      <c r="BB44" s="258"/>
      <c r="BC44" s="212"/>
      <c r="BD44" s="212"/>
      <c r="BE44" s="212"/>
      <c r="BF44" s="212"/>
      <c r="BG44" s="212"/>
      <c r="BH44" s="212"/>
      <c r="BI44" s="212"/>
      <c r="BJ44" s="212"/>
    </row>
    <row r="45" spans="1:62" ht="18" customHeight="1" outlineLevel="1">
      <c r="A45" s="89">
        <v>19</v>
      </c>
      <c r="B45" s="88">
        <f>'Tong hop cac ma'!B45</f>
        <v>0</v>
      </c>
      <c r="C45" s="314">
        <f>'Tong hop cac ma'!C45</f>
        <v>0</v>
      </c>
      <c r="D45" s="197">
        <f t="shared" si="1"/>
        <v>0</v>
      </c>
      <c r="E45" s="213">
        <f>+'Tong hop cac ma'!S45</f>
        <v>0</v>
      </c>
      <c r="F45" s="214"/>
      <c r="G45" s="214"/>
      <c r="H45" s="214"/>
      <c r="I45" s="214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>
        <f t="shared" ref="AF45" si="172">IFERROR(SUM(F45:AC45)*0.2,0)</f>
        <v>0</v>
      </c>
      <c r="AG45" s="210"/>
      <c r="AH45" s="210" t="s">
        <v>192</v>
      </c>
      <c r="AI45" s="215">
        <f t="shared" ref="AI45" si="173">IFERROR(130*D45,0)</f>
        <v>0</v>
      </c>
      <c r="AJ45" s="198" cm="1">
        <f t="array" ref="AJ45">IFERROR(SUM(_xlfn._xlws.FILTER(E45:AI45,ISNUMBER(E45:AI45))),0)</f>
        <v>0</v>
      </c>
      <c r="AK45" s="198"/>
      <c r="AL45" s="216">
        <f t="shared" ref="AL45" si="174">IFERROR(AJ45*(1+AK45%),0)</f>
        <v>0</v>
      </c>
      <c r="AM45" s="233"/>
      <c r="AN45" s="201">
        <f t="shared" ref="AN45" si="175">IFERROR(SUM(E45:AC45)/D45,0)</f>
        <v>0</v>
      </c>
      <c r="AO45" s="255"/>
      <c r="AQ45" s="254"/>
      <c r="AR45" s="254"/>
      <c r="AS45" s="254"/>
      <c r="AT45" s="254"/>
      <c r="AU45" s="254"/>
      <c r="AV45" s="254"/>
      <c r="AY45" s="253">
        <f t="shared" ref="AY45" si="176">IFERROR((AQ45*20)/60,0)</f>
        <v>0</v>
      </c>
      <c r="AZ45" s="253">
        <f t="shared" ref="AZ45" si="177">IFERROR(AX45 + AY45 + BI45,0)</f>
        <v>0</v>
      </c>
      <c r="BA45" s="252">
        <f t="shared" ref="BA45" si="178">IFERROR(AZ45/8,0)</f>
        <v>0</v>
      </c>
      <c r="BB45" s="252">
        <f t="shared" ref="BB45" si="179">IFERROR(MAX(AQ45-BA45,0),0)</f>
        <v>0</v>
      </c>
      <c r="BD45" s="234">
        <f t="shared" ref="BD45" si="180">IFERROR(10000*D45,0)</f>
        <v>0</v>
      </c>
      <c r="BE45" s="234"/>
      <c r="BF45" s="234"/>
      <c r="BG45" s="234">
        <f t="shared" ref="BG45" si="181">IFERROR(-IF(AH45=$K$3,0,IF(AH45=$M$3,15*680*D45,IF(AH45=$O$3,30*680*D45,IF(AH45=0,50*680*D45,0)))),0)</f>
        <v>0</v>
      </c>
      <c r="BH45" s="234"/>
      <c r="BI45" s="234"/>
      <c r="BJ45" s="234"/>
    </row>
    <row r="46" spans="1:62" ht="18" hidden="1" customHeight="1" outlineLevel="1">
      <c r="A46" s="81"/>
      <c r="B46" s="88">
        <f>'Tong hop cac ma'!B46</f>
        <v>0</v>
      </c>
      <c r="C46" s="314">
        <f>'Tong hop cac ma'!C46</f>
        <v>0</v>
      </c>
      <c r="D46" s="197">
        <f t="shared" si="1"/>
        <v>0</v>
      </c>
      <c r="E46" s="228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29"/>
      <c r="AJ46" s="230"/>
      <c r="AK46" s="230"/>
      <c r="AL46" s="231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2"/>
      <c r="AX46" s="212"/>
      <c r="AY46" s="212"/>
      <c r="AZ46" s="212"/>
      <c r="BA46" s="258"/>
      <c r="BB46" s="258"/>
      <c r="BC46" s="212"/>
      <c r="BD46" s="212"/>
      <c r="BE46" s="212"/>
      <c r="BF46" s="212"/>
      <c r="BG46" s="212"/>
      <c r="BH46" s="212"/>
      <c r="BI46" s="212"/>
      <c r="BJ46" s="212"/>
    </row>
    <row r="47" spans="1:62" ht="18" customHeight="1" outlineLevel="1">
      <c r="A47" s="86">
        <v>20</v>
      </c>
      <c r="B47" s="88">
        <f>'Tong hop cac ma'!B47</f>
        <v>0</v>
      </c>
      <c r="C47" s="314">
        <f>'Tong hop cac ma'!C47</f>
        <v>0</v>
      </c>
      <c r="D47" s="197">
        <f t="shared" si="1"/>
        <v>0</v>
      </c>
      <c r="E47" s="213">
        <f>+'Tong hop cac ma'!S47</f>
        <v>0</v>
      </c>
      <c r="F47" s="214"/>
      <c r="G47" s="214"/>
      <c r="H47" s="214"/>
      <c r="I47" s="214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>
        <f t="shared" ref="AF47" si="182">IFERROR(SUM(F47:AC47)*0.2,0)</f>
        <v>0</v>
      </c>
      <c r="AG47" s="210"/>
      <c r="AH47" s="210" t="s">
        <v>192</v>
      </c>
      <c r="AI47" s="215">
        <f t="shared" ref="AI47" si="183">IFERROR(130*D47,0)</f>
        <v>0</v>
      </c>
      <c r="AJ47" s="198" cm="1">
        <f t="array" ref="AJ47">IFERROR(SUM(_xlfn._xlws.FILTER(E47:AI47,ISNUMBER(E47:AI47))),0)</f>
        <v>0</v>
      </c>
      <c r="AK47" s="198"/>
      <c r="AL47" s="216">
        <f t="shared" ref="AL47" si="184">IFERROR(AJ47*(1+AK47%),0)</f>
        <v>0</v>
      </c>
      <c r="AM47" s="233"/>
      <c r="AN47" s="201">
        <f t="shared" ref="AN47" si="185">IFERROR(SUM(E47:AC47)/D47,0)</f>
        <v>0</v>
      </c>
      <c r="AO47" s="255"/>
      <c r="AQ47" s="254"/>
      <c r="AR47" s="254"/>
      <c r="AS47" s="254"/>
      <c r="AT47" s="254"/>
      <c r="AU47" s="254"/>
      <c r="AV47" s="254"/>
      <c r="AY47" s="253">
        <f t="shared" ref="AY47" si="186">IFERROR((AQ47*20)/60,0)</f>
        <v>0</v>
      </c>
      <c r="AZ47" s="253">
        <f t="shared" ref="AZ47" si="187">IFERROR(AX47 + AY47 + BI47,0)</f>
        <v>0</v>
      </c>
      <c r="BA47" s="252">
        <f t="shared" ref="BA47" si="188">IFERROR(AZ47/8,0)</f>
        <v>0</v>
      </c>
      <c r="BB47" s="252">
        <f t="shared" ref="BB47" si="189">IFERROR(MAX(AQ47-BA47,0),0)</f>
        <v>0</v>
      </c>
      <c r="BD47" s="234">
        <f t="shared" ref="BD47" si="190">IFERROR(10000*D47,0)</f>
        <v>0</v>
      </c>
      <c r="BE47" s="234"/>
      <c r="BF47" s="234"/>
      <c r="BG47" s="234">
        <f t="shared" ref="BG47" si="191">IFERROR(-IF(AH47=$K$3,0,IF(AH47=$M$3,15*680*D47,IF(AH47=$O$3,30*680*D47,IF(AH47=0,50*680*D47,0)))),0)</f>
        <v>0</v>
      </c>
      <c r="BH47" s="234"/>
      <c r="BI47" s="234"/>
      <c r="BJ47" s="234"/>
    </row>
    <row r="48" spans="1:62" ht="18" hidden="1" customHeight="1" outlineLevel="1">
      <c r="A48" s="212"/>
      <c r="B48" s="88">
        <f>'Tong hop cac ma'!B48</f>
        <v>0</v>
      </c>
      <c r="C48" s="314">
        <f>'Tong hop cac ma'!C48</f>
        <v>0</v>
      </c>
      <c r="D48" s="197">
        <f t="shared" si="1"/>
        <v>0</v>
      </c>
      <c r="E48" s="228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29"/>
      <c r="AJ48" s="230"/>
      <c r="AK48" s="230"/>
      <c r="AL48" s="231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2"/>
      <c r="AX48" s="212"/>
      <c r="AY48" s="212"/>
      <c r="AZ48" s="212"/>
      <c r="BA48" s="258"/>
      <c r="BB48" s="258"/>
      <c r="BC48" s="212"/>
      <c r="BD48" s="212"/>
      <c r="BE48" s="212"/>
      <c r="BF48" s="212"/>
      <c r="BG48" s="212"/>
      <c r="BH48" s="212"/>
      <c r="BI48" s="212"/>
      <c r="BJ48" s="212"/>
    </row>
    <row r="49" spans="1:62" ht="18" customHeight="1" outlineLevel="1">
      <c r="A49" s="89">
        <v>21</v>
      </c>
      <c r="B49" s="88">
        <f>'Tong hop cac ma'!B49</f>
        <v>0</v>
      </c>
      <c r="C49" s="314">
        <f>'Tong hop cac ma'!C49</f>
        <v>0</v>
      </c>
      <c r="D49" s="197">
        <f t="shared" si="1"/>
        <v>0</v>
      </c>
      <c r="E49" s="213">
        <f>+'Tong hop cac ma'!S49</f>
        <v>0</v>
      </c>
      <c r="F49" s="214"/>
      <c r="G49" s="214"/>
      <c r="H49" s="214"/>
      <c r="I49" s="214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>
        <f t="shared" ref="AF49" si="192">IFERROR(SUM(F49:AC49)*0.2,0)</f>
        <v>0</v>
      </c>
      <c r="AG49" s="210"/>
      <c r="AH49" s="210" t="s">
        <v>192</v>
      </c>
      <c r="AI49" s="215">
        <f t="shared" ref="AI49" si="193">IFERROR(130*D49,0)</f>
        <v>0</v>
      </c>
      <c r="AJ49" s="198" cm="1">
        <f t="array" ref="AJ49">IFERROR(SUM(_xlfn._xlws.FILTER(E49:AI49,ISNUMBER(E49:AI49))),0)</f>
        <v>0</v>
      </c>
      <c r="AK49" s="198"/>
      <c r="AL49" s="216">
        <f t="shared" ref="AL49" si="194">IFERROR(AJ49*(1+AK49%),0)</f>
        <v>0</v>
      </c>
      <c r="AM49" s="233"/>
      <c r="AN49" s="201">
        <f t="shared" ref="AN49" si="195">IFERROR(SUM(E49:AC49)/D49,0)</f>
        <v>0</v>
      </c>
      <c r="AO49" s="255"/>
      <c r="AQ49" s="254"/>
      <c r="AR49" s="254"/>
      <c r="AS49" s="254"/>
      <c r="AT49" s="254"/>
      <c r="AU49" s="254"/>
      <c r="AV49" s="254"/>
      <c r="AY49" s="253">
        <f t="shared" ref="AY49" si="196">IFERROR((AQ49*20)/60,0)</f>
        <v>0</v>
      </c>
      <c r="AZ49" s="253">
        <f t="shared" ref="AZ49" si="197">IFERROR(AX49 + AY49 + BI49,0)</f>
        <v>0</v>
      </c>
      <c r="BA49" s="252">
        <f t="shared" ref="BA49" si="198">IFERROR(AZ49/8,0)</f>
        <v>0</v>
      </c>
      <c r="BB49" s="252">
        <f t="shared" ref="BB49" si="199">IFERROR(MAX(AQ49-BA49,0),0)</f>
        <v>0</v>
      </c>
      <c r="BD49" s="234">
        <f t="shared" ref="BD49" si="200">IFERROR(10000*D49,0)</f>
        <v>0</v>
      </c>
      <c r="BE49" s="234"/>
      <c r="BF49" s="234"/>
      <c r="BG49" s="234">
        <f t="shared" ref="BG49" si="201">IFERROR(-IF(AH49=$K$3,0,IF(AH49=$M$3,15*680*D49,IF(AH49=$O$3,30*680*D49,IF(AH49=0,50*680*D49,0)))),0)</f>
        <v>0</v>
      </c>
      <c r="BH49" s="234"/>
      <c r="BI49" s="234"/>
      <c r="BJ49" s="234"/>
    </row>
    <row r="50" spans="1:62" ht="18" hidden="1" customHeight="1" outlineLevel="1">
      <c r="A50" s="81"/>
      <c r="B50" s="88">
        <f>'Tong hop cac ma'!B50</f>
        <v>0</v>
      </c>
      <c r="C50" s="314">
        <f>'Tong hop cac ma'!C50</f>
        <v>0</v>
      </c>
      <c r="D50" s="197">
        <f t="shared" si="1"/>
        <v>0</v>
      </c>
      <c r="E50" s="228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29"/>
      <c r="AJ50" s="230"/>
      <c r="AK50" s="230"/>
      <c r="AL50" s="231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2"/>
      <c r="AX50" s="212"/>
      <c r="AY50" s="212"/>
      <c r="AZ50" s="212"/>
      <c r="BA50" s="258"/>
      <c r="BB50" s="258"/>
      <c r="BC50" s="212"/>
      <c r="BD50" s="212"/>
      <c r="BE50" s="212"/>
      <c r="BF50" s="212"/>
      <c r="BG50" s="212"/>
      <c r="BH50" s="212"/>
      <c r="BI50" s="212"/>
      <c r="BJ50" s="212"/>
    </row>
    <row r="51" spans="1:62" ht="18" customHeight="1" outlineLevel="1">
      <c r="A51" s="86">
        <v>22</v>
      </c>
      <c r="B51" s="88">
        <f>'Tong hop cac ma'!B51</f>
        <v>0</v>
      </c>
      <c r="C51" s="314">
        <f>'Tong hop cac ma'!C51</f>
        <v>0</v>
      </c>
      <c r="D51" s="197">
        <f t="shared" si="1"/>
        <v>0</v>
      </c>
      <c r="E51" s="213">
        <f>+'Tong hop cac ma'!S51</f>
        <v>0</v>
      </c>
      <c r="F51" s="214"/>
      <c r="G51" s="214"/>
      <c r="H51" s="214"/>
      <c r="I51" s="214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>
        <f t="shared" ref="AF51" si="202">IFERROR(SUM(F51:AC51)*0.2,0)</f>
        <v>0</v>
      </c>
      <c r="AG51" s="210"/>
      <c r="AH51" s="210" t="s">
        <v>192</v>
      </c>
      <c r="AI51" s="215">
        <f t="shared" ref="AI51" si="203">IFERROR(130*D51,0)</f>
        <v>0</v>
      </c>
      <c r="AJ51" s="198" cm="1">
        <f t="array" ref="AJ51">IFERROR(SUM(_xlfn._xlws.FILTER(E51:AI51,ISNUMBER(E51:AI51))),0)</f>
        <v>0</v>
      </c>
      <c r="AK51" s="198"/>
      <c r="AL51" s="216">
        <f t="shared" ref="AL51" si="204">IFERROR(AJ51*(1+AK51%),0)</f>
        <v>0</v>
      </c>
      <c r="AM51" s="233"/>
      <c r="AN51" s="201">
        <f t="shared" ref="AN51" si="205">IFERROR(SUM(E51:AC51)/D51,0)</f>
        <v>0</v>
      </c>
      <c r="AO51" s="255"/>
      <c r="AQ51" s="254"/>
      <c r="AR51" s="254"/>
      <c r="AS51" s="254"/>
      <c r="AT51" s="254"/>
      <c r="AU51" s="254"/>
      <c r="AV51" s="254"/>
      <c r="AY51" s="253">
        <f t="shared" ref="AY51" si="206">IFERROR((AQ51*20)/60,0)</f>
        <v>0</v>
      </c>
      <c r="AZ51" s="253">
        <f t="shared" ref="AZ51" si="207">IFERROR(AX51 + AY51 + BI51,0)</f>
        <v>0</v>
      </c>
      <c r="BA51" s="252">
        <f t="shared" ref="BA51" si="208">IFERROR(AZ51/8,0)</f>
        <v>0</v>
      </c>
      <c r="BB51" s="252">
        <f t="shared" ref="BB51" si="209">IFERROR(MAX(AQ51-BA51,0),0)</f>
        <v>0</v>
      </c>
      <c r="BD51" s="234">
        <f t="shared" ref="BD51" si="210">IFERROR(10000*D51,0)</f>
        <v>0</v>
      </c>
      <c r="BE51" s="234"/>
      <c r="BF51" s="234"/>
      <c r="BG51" s="234">
        <f t="shared" ref="BG51" si="211">IFERROR(-IF(AH51=$K$3,0,IF(AH51=$M$3,15*680*D51,IF(AH51=$O$3,30*680*D51,IF(AH51=0,50*680*D51,0)))),0)</f>
        <v>0</v>
      </c>
      <c r="BH51" s="234"/>
      <c r="BI51" s="234"/>
      <c r="BJ51" s="234"/>
    </row>
    <row r="52" spans="1:62" ht="18" hidden="1" customHeight="1" outlineLevel="1">
      <c r="A52" s="212"/>
      <c r="B52" s="88">
        <f>'Tong hop cac ma'!B52</f>
        <v>0</v>
      </c>
      <c r="C52" s="314">
        <f>'Tong hop cac ma'!C52</f>
        <v>0</v>
      </c>
      <c r="D52" s="197">
        <f t="shared" si="1"/>
        <v>0</v>
      </c>
      <c r="E52" s="228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29"/>
      <c r="AJ52" s="230"/>
      <c r="AK52" s="230"/>
      <c r="AL52" s="231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2"/>
      <c r="AX52" s="212"/>
      <c r="AY52" s="212"/>
      <c r="AZ52" s="212"/>
      <c r="BA52" s="258"/>
      <c r="BB52" s="258"/>
      <c r="BC52" s="212"/>
      <c r="BD52" s="212"/>
      <c r="BE52" s="212"/>
      <c r="BF52" s="212"/>
      <c r="BG52" s="212"/>
      <c r="BH52" s="212"/>
      <c r="BI52" s="212"/>
      <c r="BJ52" s="212"/>
    </row>
    <row r="53" spans="1:62" ht="18" customHeight="1" outlineLevel="1">
      <c r="A53" s="89">
        <v>23</v>
      </c>
      <c r="B53" s="88">
        <f>'Tong hop cac ma'!B53</f>
        <v>0</v>
      </c>
      <c r="C53" s="314">
        <f>'Tong hop cac ma'!C53</f>
        <v>0</v>
      </c>
      <c r="D53" s="197">
        <f t="shared" si="1"/>
        <v>0</v>
      </c>
      <c r="E53" s="213">
        <f>+'Tong hop cac ma'!S53</f>
        <v>0</v>
      </c>
      <c r="F53" s="214"/>
      <c r="G53" s="214"/>
      <c r="H53" s="214"/>
      <c r="I53" s="214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>
        <f t="shared" ref="AF53" si="212">IFERROR(SUM(F53:AC53)*0.2,0)</f>
        <v>0</v>
      </c>
      <c r="AG53" s="210"/>
      <c r="AH53" s="210" t="s">
        <v>192</v>
      </c>
      <c r="AI53" s="215">
        <f t="shared" ref="AI53" si="213">IFERROR(130*D53,0)</f>
        <v>0</v>
      </c>
      <c r="AJ53" s="198" cm="1">
        <f t="array" ref="AJ53">IFERROR(SUM(_xlfn._xlws.FILTER(E53:AI53,ISNUMBER(E53:AI53))),0)</f>
        <v>0</v>
      </c>
      <c r="AK53" s="198"/>
      <c r="AL53" s="216">
        <f t="shared" ref="AL53" si="214">IFERROR(AJ53*(1+AK53%),0)</f>
        <v>0</v>
      </c>
      <c r="AM53" s="233"/>
      <c r="AN53" s="201">
        <f t="shared" ref="AN53" si="215">IFERROR(SUM(E53:AC53)/D53,0)</f>
        <v>0</v>
      </c>
      <c r="AO53" s="255"/>
      <c r="AQ53" s="254"/>
      <c r="AR53" s="254"/>
      <c r="AS53" s="254"/>
      <c r="AT53" s="254"/>
      <c r="AU53" s="254"/>
      <c r="AV53" s="254"/>
      <c r="AY53" s="253">
        <f t="shared" ref="AY53" si="216">IFERROR((AQ53*20)/60,0)</f>
        <v>0</v>
      </c>
      <c r="AZ53" s="253">
        <f t="shared" ref="AZ53" si="217">IFERROR(AX53 + AY53 + BI53,0)</f>
        <v>0</v>
      </c>
      <c r="BA53" s="252">
        <f t="shared" ref="BA53" si="218">IFERROR(AZ53/8,0)</f>
        <v>0</v>
      </c>
      <c r="BB53" s="252">
        <f t="shared" ref="BB53" si="219">IFERROR(MAX(AQ53-BA53,0),0)</f>
        <v>0</v>
      </c>
      <c r="BD53" s="234">
        <f t="shared" ref="BD53" si="220">IFERROR(10000*D53,0)</f>
        <v>0</v>
      </c>
      <c r="BE53" s="234"/>
      <c r="BF53" s="234"/>
      <c r="BG53" s="234">
        <f t="shared" ref="BG53" si="221">IFERROR(-IF(AH53=$K$3,0,IF(AH53=$M$3,15*680*D53,IF(AH53=$O$3,30*680*D53,IF(AH53=0,50*680*D53,0)))),0)</f>
        <v>0</v>
      </c>
      <c r="BH53" s="234"/>
      <c r="BI53" s="234"/>
      <c r="BJ53" s="234"/>
    </row>
    <row r="54" spans="1:62" ht="18" hidden="1" customHeight="1" outlineLevel="1">
      <c r="A54" s="81"/>
      <c r="B54" s="88">
        <f>'Tong hop cac ma'!B54</f>
        <v>0</v>
      </c>
      <c r="C54" s="314">
        <f>'Tong hop cac ma'!C54</f>
        <v>0</v>
      </c>
      <c r="D54" s="197">
        <f t="shared" si="1"/>
        <v>0</v>
      </c>
      <c r="E54" s="228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29"/>
      <c r="AJ54" s="230"/>
      <c r="AK54" s="230"/>
      <c r="AL54" s="231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2"/>
      <c r="AX54" s="212"/>
      <c r="AY54" s="212"/>
      <c r="AZ54" s="212"/>
      <c r="BA54" s="258"/>
      <c r="BB54" s="258"/>
      <c r="BC54" s="212"/>
      <c r="BD54" s="212"/>
      <c r="BE54" s="212"/>
      <c r="BF54" s="212"/>
      <c r="BG54" s="212"/>
      <c r="BH54" s="212"/>
      <c r="BI54" s="212"/>
      <c r="BJ54" s="212"/>
    </row>
    <row r="55" spans="1:62" ht="18" customHeight="1" outlineLevel="1">
      <c r="A55" s="86">
        <v>24</v>
      </c>
      <c r="B55" s="88">
        <f>'Tong hop cac ma'!B55</f>
        <v>0</v>
      </c>
      <c r="C55" s="314">
        <f>'Tong hop cac ma'!C55</f>
        <v>0</v>
      </c>
      <c r="D55" s="197">
        <f t="shared" si="1"/>
        <v>0</v>
      </c>
      <c r="E55" s="213">
        <f>+'Tong hop cac ma'!S55</f>
        <v>0</v>
      </c>
      <c r="F55" s="214"/>
      <c r="G55" s="214"/>
      <c r="H55" s="214"/>
      <c r="I55" s="214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>
        <f t="shared" ref="AF55" si="222">IFERROR(SUM(F55:AC55)*0.2,0)</f>
        <v>0</v>
      </c>
      <c r="AG55" s="210"/>
      <c r="AH55" s="210" t="s">
        <v>192</v>
      </c>
      <c r="AI55" s="215">
        <f t="shared" ref="AI55" si="223">IFERROR(130*D55,0)</f>
        <v>0</v>
      </c>
      <c r="AJ55" s="198" cm="1">
        <f t="array" ref="AJ55">IFERROR(SUM(_xlfn._xlws.FILTER(E55:AI55,ISNUMBER(E55:AI55))),0)</f>
        <v>0</v>
      </c>
      <c r="AK55" s="198"/>
      <c r="AL55" s="216">
        <f t="shared" ref="AL55" si="224">IFERROR(AJ55*(1+AK55%),0)</f>
        <v>0</v>
      </c>
      <c r="AM55" s="233"/>
      <c r="AN55" s="201">
        <f t="shared" ref="AN55" si="225">IFERROR(SUM(E55:AC55)/D55,0)</f>
        <v>0</v>
      </c>
      <c r="AO55" s="255"/>
      <c r="AQ55" s="254"/>
      <c r="AR55" s="254"/>
      <c r="AS55" s="254"/>
      <c r="AT55" s="254"/>
      <c r="AU55" s="254"/>
      <c r="AV55" s="254"/>
      <c r="AY55" s="253">
        <f t="shared" ref="AY55" si="226">IFERROR((AQ55*20)/60,0)</f>
        <v>0</v>
      </c>
      <c r="AZ55" s="253">
        <f t="shared" ref="AZ55" si="227">IFERROR(AX55 + AY55 + BI55,0)</f>
        <v>0</v>
      </c>
      <c r="BA55" s="252">
        <f t="shared" ref="BA55" si="228">IFERROR(AZ55/8,0)</f>
        <v>0</v>
      </c>
      <c r="BB55" s="252">
        <f t="shared" ref="BB55" si="229">IFERROR(MAX(AQ55-BA55,0),0)</f>
        <v>0</v>
      </c>
      <c r="BD55" s="234">
        <f t="shared" ref="BD55" si="230">IFERROR(10000*D55,0)</f>
        <v>0</v>
      </c>
      <c r="BE55" s="234"/>
      <c r="BF55" s="234"/>
      <c r="BG55" s="234">
        <f t="shared" ref="BG55" si="231">IFERROR(-IF(AH55=$K$3,0,IF(AH55=$M$3,15*680*D55,IF(AH55=$O$3,30*680*D55,IF(AH55=0,50*680*D55,0)))),0)</f>
        <v>0</v>
      </c>
      <c r="BH55" s="234"/>
      <c r="BI55" s="234"/>
      <c r="BJ55" s="234"/>
    </row>
    <row r="56" spans="1:62" ht="18" hidden="1" customHeight="1" outlineLevel="1">
      <c r="A56" s="212"/>
      <c r="B56" s="88">
        <f>'Tong hop cac ma'!B56</f>
        <v>0</v>
      </c>
      <c r="C56" s="314">
        <f>'Tong hop cac ma'!C56</f>
        <v>0</v>
      </c>
      <c r="D56" s="197">
        <f t="shared" si="1"/>
        <v>0</v>
      </c>
      <c r="E56" s="228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29"/>
      <c r="AJ56" s="230"/>
      <c r="AK56" s="230"/>
      <c r="AL56" s="231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58"/>
      <c r="BB56" s="258"/>
      <c r="BC56" s="212"/>
      <c r="BD56" s="212"/>
      <c r="BE56" s="212"/>
      <c r="BF56" s="212"/>
      <c r="BG56" s="212"/>
      <c r="BH56" s="212"/>
      <c r="BI56" s="212"/>
      <c r="BJ56" s="212"/>
    </row>
    <row r="57" spans="1:62" ht="18" customHeight="1" outlineLevel="1">
      <c r="A57" s="89">
        <v>25</v>
      </c>
      <c r="B57" s="88">
        <f>'Tong hop cac ma'!B57</f>
        <v>0</v>
      </c>
      <c r="C57" s="314">
        <f>'Tong hop cac ma'!C57</f>
        <v>0</v>
      </c>
      <c r="D57" s="197">
        <f t="shared" si="1"/>
        <v>0</v>
      </c>
      <c r="E57" s="213">
        <f>+'Tong hop cac ma'!S57</f>
        <v>0</v>
      </c>
      <c r="F57" s="214"/>
      <c r="G57" s="214"/>
      <c r="H57" s="214"/>
      <c r="I57" s="214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>
        <f t="shared" ref="AF57" si="232">IFERROR(SUM(F57:AC57)*0.2,0)</f>
        <v>0</v>
      </c>
      <c r="AG57" s="210"/>
      <c r="AH57" s="210" t="s">
        <v>192</v>
      </c>
      <c r="AI57" s="215">
        <f t="shared" ref="AI57" si="233">IFERROR(130*D57,0)</f>
        <v>0</v>
      </c>
      <c r="AJ57" s="198" cm="1">
        <f t="array" ref="AJ57">IFERROR(SUM(_xlfn._xlws.FILTER(E57:AI57,ISNUMBER(E57:AI57))),0)</f>
        <v>0</v>
      </c>
      <c r="AK57" s="198"/>
      <c r="AL57" s="216">
        <f t="shared" ref="AL57" si="234">IFERROR(AJ57*(1+AK57%),0)</f>
        <v>0</v>
      </c>
      <c r="AM57" s="233"/>
      <c r="AN57" s="201">
        <f t="shared" ref="AN57" si="235">IFERROR(SUM(E57:AC57)/D57,0)</f>
        <v>0</v>
      </c>
      <c r="AO57" s="255"/>
      <c r="AQ57" s="254"/>
      <c r="AR57" s="254"/>
      <c r="AS57" s="254"/>
      <c r="AT57" s="254"/>
      <c r="AU57" s="254"/>
      <c r="AV57" s="254"/>
      <c r="AY57" s="253">
        <f t="shared" ref="AY57" si="236">IFERROR((AQ57*20)/60,0)</f>
        <v>0</v>
      </c>
      <c r="AZ57" s="253">
        <f t="shared" ref="AZ57" si="237">IFERROR(AX57 + AY57 + BI57,0)</f>
        <v>0</v>
      </c>
      <c r="BA57" s="252">
        <f t="shared" ref="BA57" si="238">IFERROR(AZ57/8,0)</f>
        <v>0</v>
      </c>
      <c r="BB57" s="252">
        <f t="shared" ref="BB57" si="239">IFERROR(MAX(AQ57-BA57,0),0)</f>
        <v>0</v>
      </c>
      <c r="BD57" s="234">
        <f t="shared" ref="BD57" si="240">IFERROR(10000*D57,0)</f>
        <v>0</v>
      </c>
      <c r="BE57" s="234"/>
      <c r="BF57" s="234"/>
      <c r="BG57" s="234">
        <f t="shared" ref="BG57" si="241">IFERROR(-IF(AH57=$K$3,0,IF(AH57=$M$3,15*680*D57,IF(AH57=$O$3,30*680*D57,IF(AH57=0,50*680*D57,0)))),0)</f>
        <v>0</v>
      </c>
      <c r="BH57" s="234"/>
      <c r="BI57" s="234"/>
      <c r="BJ57" s="234"/>
    </row>
    <row r="58" spans="1:62" ht="18" hidden="1" customHeight="1" outlineLevel="1">
      <c r="A58" s="81"/>
      <c r="B58" s="88">
        <f>'Tong hop cac ma'!B58</f>
        <v>0</v>
      </c>
      <c r="C58" s="314">
        <f>'Tong hop cac ma'!C58</f>
        <v>0</v>
      </c>
      <c r="D58" s="197">
        <f t="shared" si="1"/>
        <v>0</v>
      </c>
      <c r="E58" s="228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29"/>
      <c r="AJ58" s="230"/>
      <c r="AK58" s="230"/>
      <c r="AL58" s="231"/>
      <c r="AM58" s="212"/>
      <c r="AN58" s="212"/>
      <c r="AO58" s="212"/>
      <c r="AP58" s="212"/>
      <c r="AQ58" s="212"/>
      <c r="AR58" s="212"/>
      <c r="AS58" s="212"/>
      <c r="AT58" s="212"/>
      <c r="AU58" s="212"/>
      <c r="AV58" s="212"/>
      <c r="AW58" s="212"/>
      <c r="AX58" s="212"/>
      <c r="AY58" s="212"/>
      <c r="AZ58" s="212"/>
      <c r="BA58" s="258"/>
      <c r="BB58" s="258"/>
      <c r="BC58" s="212"/>
      <c r="BD58" s="212"/>
      <c r="BE58" s="212"/>
      <c r="BF58" s="212"/>
      <c r="BG58" s="212"/>
      <c r="BH58" s="212"/>
      <c r="BI58" s="212"/>
      <c r="BJ58" s="212"/>
    </row>
    <row r="59" spans="1:62" ht="18" customHeight="1" outlineLevel="1">
      <c r="A59" s="86">
        <v>26</v>
      </c>
      <c r="B59" s="88">
        <f>'Tong hop cac ma'!B59</f>
        <v>0</v>
      </c>
      <c r="C59" s="314">
        <f>'Tong hop cac ma'!C59</f>
        <v>0</v>
      </c>
      <c r="D59" s="197">
        <f t="shared" si="1"/>
        <v>0</v>
      </c>
      <c r="E59" s="213">
        <f>+'Tong hop cac ma'!S59</f>
        <v>0</v>
      </c>
      <c r="F59" s="214"/>
      <c r="G59" s="214"/>
      <c r="H59" s="214"/>
      <c r="I59" s="214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>
        <f t="shared" ref="AF59" si="242">IFERROR(SUM(F59:AC59)*0.2,0)</f>
        <v>0</v>
      </c>
      <c r="AG59" s="210"/>
      <c r="AH59" s="210" t="s">
        <v>192</v>
      </c>
      <c r="AI59" s="215">
        <f t="shared" ref="AI59" si="243">IFERROR(130*D59,0)</f>
        <v>0</v>
      </c>
      <c r="AJ59" s="198" cm="1">
        <f t="array" ref="AJ59">IFERROR(SUM(_xlfn._xlws.FILTER(E59:AI59,ISNUMBER(E59:AI59))),0)</f>
        <v>0</v>
      </c>
      <c r="AK59" s="198"/>
      <c r="AL59" s="216">
        <f t="shared" ref="AL59" si="244">IFERROR(AJ59*(1+AK59%),0)</f>
        <v>0</v>
      </c>
      <c r="AM59" s="233"/>
      <c r="AN59" s="201">
        <f t="shared" ref="AN59" si="245">IFERROR(SUM(E59:AC59)/D59,0)</f>
        <v>0</v>
      </c>
      <c r="AO59" s="255"/>
      <c r="AQ59" s="254"/>
      <c r="AR59" s="254"/>
      <c r="AS59" s="254"/>
      <c r="AT59" s="254"/>
      <c r="AU59" s="254"/>
      <c r="AV59" s="254"/>
      <c r="AY59" s="253">
        <f t="shared" ref="AY59" si="246">IFERROR((AQ59*20)/60,0)</f>
        <v>0</v>
      </c>
      <c r="AZ59" s="253">
        <f t="shared" ref="AZ59" si="247">IFERROR(AX59 + AY59 + BI59,0)</f>
        <v>0</v>
      </c>
      <c r="BA59" s="252">
        <f t="shared" ref="BA59" si="248">IFERROR(AZ59/8,0)</f>
        <v>0</v>
      </c>
      <c r="BB59" s="252">
        <f t="shared" ref="BB59" si="249">IFERROR(MAX(AQ59-BA59,0),0)</f>
        <v>0</v>
      </c>
      <c r="BD59" s="234">
        <f t="shared" ref="BD59" si="250">IFERROR(10000*D59,0)</f>
        <v>0</v>
      </c>
      <c r="BE59" s="234"/>
      <c r="BF59" s="234"/>
      <c r="BG59" s="234">
        <f t="shared" ref="BG59" si="251">IFERROR(-IF(AH59=$K$3,0,IF(AH59=$M$3,15*680*D59,IF(AH59=$O$3,30*680*D59,IF(AH59=0,50*680*D59,0)))),0)</f>
        <v>0</v>
      </c>
      <c r="BH59" s="234"/>
      <c r="BI59" s="234"/>
      <c r="BJ59" s="234"/>
    </row>
    <row r="60" spans="1:62" ht="18" hidden="1" customHeight="1" outlineLevel="1">
      <c r="A60" s="212"/>
      <c r="B60" s="88">
        <f>'Tong hop cac ma'!B60</f>
        <v>0</v>
      </c>
      <c r="C60" s="314">
        <f>'Tong hop cac ma'!C60</f>
        <v>0</v>
      </c>
      <c r="D60" s="197">
        <f t="shared" si="1"/>
        <v>0</v>
      </c>
      <c r="E60" s="228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29"/>
      <c r="AJ60" s="230"/>
      <c r="AK60" s="230"/>
      <c r="AL60" s="231"/>
      <c r="AM60" s="212"/>
      <c r="AN60" s="212"/>
      <c r="AO60" s="212"/>
      <c r="AP60" s="212"/>
      <c r="AQ60" s="212"/>
      <c r="AR60" s="212"/>
      <c r="AS60" s="212"/>
      <c r="AT60" s="212"/>
      <c r="AU60" s="212"/>
      <c r="AV60" s="212"/>
      <c r="AW60" s="212"/>
      <c r="AX60" s="212"/>
      <c r="AY60" s="212"/>
      <c r="AZ60" s="212"/>
      <c r="BA60" s="258"/>
      <c r="BB60" s="258"/>
      <c r="BC60" s="212"/>
      <c r="BD60" s="212"/>
      <c r="BE60" s="212"/>
      <c r="BF60" s="212"/>
      <c r="BG60" s="212"/>
      <c r="BH60" s="212"/>
      <c r="BI60" s="212"/>
      <c r="BJ60" s="212"/>
    </row>
    <row r="61" spans="1:62" ht="18" customHeight="1" outlineLevel="1">
      <c r="A61" s="89">
        <v>27</v>
      </c>
      <c r="B61" s="88">
        <f>'Tong hop cac ma'!B61</f>
        <v>0</v>
      </c>
      <c r="C61" s="314">
        <f>'Tong hop cac ma'!C61</f>
        <v>0</v>
      </c>
      <c r="D61" s="197">
        <f t="shared" si="1"/>
        <v>0</v>
      </c>
      <c r="E61" s="213">
        <f>+'Tong hop cac ma'!S61</f>
        <v>0</v>
      </c>
      <c r="F61" s="214"/>
      <c r="G61" s="214"/>
      <c r="H61" s="214"/>
      <c r="I61" s="214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>
        <f t="shared" ref="AF61" si="252">IFERROR(SUM(F61:AC61)*0.2,0)</f>
        <v>0</v>
      </c>
      <c r="AG61" s="210"/>
      <c r="AH61" s="210" t="s">
        <v>192</v>
      </c>
      <c r="AI61" s="215">
        <f t="shared" ref="AI61" si="253">IFERROR(130*D61,0)</f>
        <v>0</v>
      </c>
      <c r="AJ61" s="198" cm="1">
        <f t="array" ref="AJ61">IFERROR(SUM(_xlfn._xlws.FILTER(E61:AI61,ISNUMBER(E61:AI61))),0)</f>
        <v>0</v>
      </c>
      <c r="AK61" s="198"/>
      <c r="AL61" s="216">
        <f t="shared" ref="AL61" si="254">IFERROR(AJ61*(1+AK61%),0)</f>
        <v>0</v>
      </c>
      <c r="AM61" s="233"/>
      <c r="AN61" s="201">
        <f t="shared" ref="AN61" si="255">IFERROR(SUM(E61:AC61)/D61,0)</f>
        <v>0</v>
      </c>
      <c r="AO61" s="255"/>
      <c r="AQ61" s="254"/>
      <c r="AR61" s="254"/>
      <c r="AS61" s="254"/>
      <c r="AT61" s="254"/>
      <c r="AU61" s="254"/>
      <c r="AV61" s="254"/>
      <c r="AY61" s="253">
        <f t="shared" ref="AY61" si="256">IFERROR((AQ61*20)/60,0)</f>
        <v>0</v>
      </c>
      <c r="AZ61" s="253">
        <f t="shared" ref="AZ61" si="257">IFERROR(AX61 + AY61 + BI61,0)</f>
        <v>0</v>
      </c>
      <c r="BA61" s="252">
        <f t="shared" ref="BA61" si="258">IFERROR(AZ61/8,0)</f>
        <v>0</v>
      </c>
      <c r="BB61" s="252">
        <f t="shared" ref="BB61" si="259">IFERROR(MAX(AQ61-BA61,0),0)</f>
        <v>0</v>
      </c>
      <c r="BD61" s="234">
        <f t="shared" ref="BD61" si="260">IFERROR(10000*D61,0)</f>
        <v>0</v>
      </c>
      <c r="BE61" s="234"/>
      <c r="BF61" s="234"/>
      <c r="BG61" s="234">
        <f t="shared" ref="BG61" si="261">IFERROR(-IF(AH61=$K$3,0,IF(AH61=$M$3,15*680*D61,IF(AH61=$O$3,30*680*D61,IF(AH61=0,50*680*D61,0)))),0)</f>
        <v>0</v>
      </c>
      <c r="BH61" s="234"/>
      <c r="BI61" s="234"/>
      <c r="BJ61" s="234"/>
    </row>
    <row r="62" spans="1:62" ht="18" hidden="1" customHeight="1" outlineLevel="1">
      <c r="A62" s="81"/>
      <c r="B62" s="88">
        <f>'Tong hop cac ma'!B62</f>
        <v>0</v>
      </c>
      <c r="C62" s="314">
        <f>'Tong hop cac ma'!C62</f>
        <v>0</v>
      </c>
      <c r="D62" s="197">
        <f t="shared" si="1"/>
        <v>0</v>
      </c>
      <c r="E62" s="228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29"/>
      <c r="AJ62" s="230"/>
      <c r="AK62" s="230"/>
      <c r="AL62" s="231"/>
      <c r="AM62" s="212"/>
      <c r="AN62" s="212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58"/>
      <c r="BB62" s="258"/>
      <c r="BC62" s="212"/>
      <c r="BD62" s="212"/>
      <c r="BE62" s="212"/>
      <c r="BF62" s="212"/>
      <c r="BG62" s="212"/>
      <c r="BH62" s="212"/>
      <c r="BI62" s="212"/>
      <c r="BJ62" s="212"/>
    </row>
    <row r="63" spans="1:62" ht="18" customHeight="1" outlineLevel="1">
      <c r="A63" s="86">
        <v>28</v>
      </c>
      <c r="B63" s="88">
        <f>'Tong hop cac ma'!B63</f>
        <v>0</v>
      </c>
      <c r="C63" s="314">
        <f>'Tong hop cac ma'!C63</f>
        <v>0</v>
      </c>
      <c r="D63" s="197">
        <f t="shared" si="1"/>
        <v>0</v>
      </c>
      <c r="E63" s="213">
        <f>+'Tong hop cac ma'!S63</f>
        <v>0</v>
      </c>
      <c r="F63" s="214"/>
      <c r="G63" s="214"/>
      <c r="H63" s="214"/>
      <c r="I63" s="214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0"/>
      <c r="AE63" s="210"/>
      <c r="AF63" s="210">
        <f t="shared" ref="AF63" si="262">IFERROR(SUM(F63:AC63)*0.2,0)</f>
        <v>0</v>
      </c>
      <c r="AG63" s="210"/>
      <c r="AH63" s="210" t="s">
        <v>192</v>
      </c>
      <c r="AI63" s="215">
        <f t="shared" ref="AI63" si="263">IFERROR(130*D63,0)</f>
        <v>0</v>
      </c>
      <c r="AJ63" s="198" cm="1">
        <f t="array" ref="AJ63">IFERROR(SUM(_xlfn._xlws.FILTER(E63:AI63,ISNUMBER(E63:AI63))),0)</f>
        <v>0</v>
      </c>
      <c r="AK63" s="198"/>
      <c r="AL63" s="216">
        <f t="shared" ref="AL63" si="264">IFERROR(AJ63*(1+AK63%),0)</f>
        <v>0</v>
      </c>
      <c r="AM63" s="233"/>
      <c r="AN63" s="201">
        <f t="shared" ref="AN63" si="265">IFERROR(SUM(E63:AC63)/D63,0)</f>
        <v>0</v>
      </c>
      <c r="AO63" s="255"/>
      <c r="AQ63" s="254"/>
      <c r="AR63" s="254"/>
      <c r="AS63" s="254"/>
      <c r="AT63" s="254"/>
      <c r="AU63" s="254"/>
      <c r="AV63" s="254"/>
      <c r="AY63" s="253">
        <f t="shared" ref="AY63" si="266">IFERROR((AQ63*20)/60,0)</f>
        <v>0</v>
      </c>
      <c r="AZ63" s="253">
        <f t="shared" ref="AZ63" si="267">IFERROR(AX63 + AY63 + BI63,0)</f>
        <v>0</v>
      </c>
      <c r="BA63" s="252">
        <f t="shared" ref="BA63" si="268">IFERROR(AZ63/8,0)</f>
        <v>0</v>
      </c>
      <c r="BB63" s="252">
        <f t="shared" ref="BB63" si="269">IFERROR(MAX(AQ63-BA63,0),0)</f>
        <v>0</v>
      </c>
      <c r="BD63" s="234">
        <f t="shared" ref="BD63" si="270">IFERROR(10000*D63,0)</f>
        <v>0</v>
      </c>
      <c r="BE63" s="234"/>
      <c r="BF63" s="234"/>
      <c r="BG63" s="234">
        <f t="shared" ref="BG63" si="271">IFERROR(-IF(AH63=$K$3,0,IF(AH63=$M$3,15*680*D63,IF(AH63=$O$3,30*680*D63,IF(AH63=0,50*680*D63,0)))),0)</f>
        <v>0</v>
      </c>
      <c r="BH63" s="234"/>
      <c r="BI63" s="234"/>
      <c r="BJ63" s="234"/>
    </row>
    <row r="64" spans="1:62" ht="18" hidden="1" customHeight="1" outlineLevel="1">
      <c r="A64" s="212"/>
      <c r="B64" s="88">
        <f>'Tong hop cac ma'!B64</f>
        <v>0</v>
      </c>
      <c r="C64" s="314">
        <f>'Tong hop cac ma'!C64</f>
        <v>0</v>
      </c>
      <c r="D64" s="197">
        <f t="shared" si="1"/>
        <v>0</v>
      </c>
      <c r="E64" s="228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29"/>
      <c r="AJ64" s="230"/>
      <c r="AK64" s="230"/>
      <c r="AL64" s="231"/>
      <c r="AM64" s="212"/>
      <c r="AN64" s="212"/>
      <c r="AO64" s="212"/>
      <c r="AP64" s="212"/>
      <c r="AQ64" s="212"/>
      <c r="AR64" s="212"/>
      <c r="AS64" s="212"/>
      <c r="AT64" s="212"/>
      <c r="AU64" s="212"/>
      <c r="AV64" s="212"/>
      <c r="AW64" s="212"/>
      <c r="AX64" s="212"/>
      <c r="AY64" s="212"/>
      <c r="AZ64" s="212"/>
      <c r="BA64" s="258"/>
      <c r="BB64" s="258"/>
      <c r="BC64" s="212"/>
      <c r="BD64" s="212"/>
      <c r="BE64" s="212"/>
      <c r="BF64" s="212"/>
      <c r="BG64" s="212"/>
      <c r="BH64" s="212"/>
      <c r="BI64" s="212"/>
      <c r="BJ64" s="212"/>
    </row>
    <row r="65" spans="1:62" ht="18" customHeight="1" outlineLevel="1">
      <c r="A65" s="89">
        <v>29</v>
      </c>
      <c r="B65" s="88">
        <f>'Tong hop cac ma'!B65</f>
        <v>0</v>
      </c>
      <c r="C65" s="314">
        <f>'Tong hop cac ma'!C65</f>
        <v>0</v>
      </c>
      <c r="D65" s="197">
        <f t="shared" si="1"/>
        <v>0</v>
      </c>
      <c r="E65" s="213">
        <f>+'Tong hop cac ma'!S65</f>
        <v>0</v>
      </c>
      <c r="F65" s="214"/>
      <c r="G65" s="214"/>
      <c r="H65" s="214"/>
      <c r="I65" s="214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>
        <f t="shared" ref="AF65" si="272">IFERROR(SUM(F65:AC65)*0.2,0)</f>
        <v>0</v>
      </c>
      <c r="AG65" s="210"/>
      <c r="AH65" s="210" t="s">
        <v>192</v>
      </c>
      <c r="AI65" s="215">
        <f t="shared" ref="AI65" si="273">IFERROR(130*D65,0)</f>
        <v>0</v>
      </c>
      <c r="AJ65" s="198" cm="1">
        <f t="array" ref="AJ65">IFERROR(SUM(_xlfn._xlws.FILTER(E65:AI65,ISNUMBER(E65:AI65))),0)</f>
        <v>0</v>
      </c>
      <c r="AK65" s="198"/>
      <c r="AL65" s="216">
        <f t="shared" ref="AL65" si="274">IFERROR(AJ65*(1+AK65%),0)</f>
        <v>0</v>
      </c>
      <c r="AM65" s="233"/>
      <c r="AN65" s="201">
        <f t="shared" ref="AN65" si="275">IFERROR(SUM(E65:AC65)/D65,0)</f>
        <v>0</v>
      </c>
      <c r="AO65" s="255"/>
      <c r="AQ65" s="254"/>
      <c r="AR65" s="254"/>
      <c r="AS65" s="254"/>
      <c r="AT65" s="254"/>
      <c r="AU65" s="254"/>
      <c r="AV65" s="254"/>
      <c r="AY65" s="253">
        <f t="shared" ref="AY65" si="276">IFERROR((AQ65*20)/60,0)</f>
        <v>0</v>
      </c>
      <c r="AZ65" s="253">
        <f t="shared" ref="AZ65" si="277">IFERROR(AX65 + AY65 + BI65,0)</f>
        <v>0</v>
      </c>
      <c r="BA65" s="252">
        <f t="shared" ref="BA65" si="278">IFERROR(AZ65/8,0)</f>
        <v>0</v>
      </c>
      <c r="BB65" s="252">
        <f t="shared" ref="BB65" si="279">IFERROR(MAX(AQ65-BA65,0),0)</f>
        <v>0</v>
      </c>
      <c r="BD65" s="234">
        <f t="shared" ref="BD65" si="280">IFERROR(10000*D65,0)</f>
        <v>0</v>
      </c>
      <c r="BE65" s="234"/>
      <c r="BF65" s="234"/>
      <c r="BG65" s="234">
        <f t="shared" ref="BG65" si="281">IFERROR(-IF(AH65=$K$3,0,IF(AH65=$M$3,15*680*D65,IF(AH65=$O$3,30*680*D65,IF(AH65=0,50*680*D65,0)))),0)</f>
        <v>0</v>
      </c>
      <c r="BH65" s="234"/>
      <c r="BI65" s="234"/>
      <c r="BJ65" s="234"/>
    </row>
    <row r="66" spans="1:62" ht="18" hidden="1" customHeight="1" outlineLevel="1">
      <c r="A66" s="81"/>
      <c r="B66" s="88">
        <f>'Tong hop cac ma'!B66</f>
        <v>0</v>
      </c>
      <c r="C66" s="314">
        <f>'Tong hop cac ma'!C66</f>
        <v>0</v>
      </c>
      <c r="D66" s="197">
        <f t="shared" si="1"/>
        <v>0</v>
      </c>
      <c r="E66" s="228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29"/>
      <c r="AJ66" s="230"/>
      <c r="AK66" s="230"/>
      <c r="AL66" s="231"/>
      <c r="AM66" s="212"/>
      <c r="AN66" s="212"/>
      <c r="AO66" s="212"/>
      <c r="AP66" s="212"/>
      <c r="AQ66" s="212"/>
      <c r="AR66" s="212"/>
      <c r="AS66" s="212"/>
      <c r="AT66" s="212"/>
      <c r="AU66" s="212"/>
      <c r="AV66" s="212"/>
      <c r="AW66" s="212"/>
      <c r="AX66" s="212"/>
      <c r="AY66" s="212"/>
      <c r="AZ66" s="212"/>
      <c r="BA66" s="258"/>
      <c r="BB66" s="258"/>
      <c r="BC66" s="212"/>
      <c r="BD66" s="212"/>
      <c r="BE66" s="212"/>
      <c r="BF66" s="212"/>
      <c r="BG66" s="212"/>
      <c r="BH66" s="212"/>
      <c r="BI66" s="212"/>
      <c r="BJ66" s="212"/>
    </row>
    <row r="67" spans="1:62" ht="18" customHeight="1" outlineLevel="1">
      <c r="A67" s="86">
        <v>30</v>
      </c>
      <c r="B67" s="88">
        <f>'Tong hop cac ma'!B67</f>
        <v>0</v>
      </c>
      <c r="C67" s="314">
        <f>'Tong hop cac ma'!C67</f>
        <v>0</v>
      </c>
      <c r="D67" s="197">
        <f t="shared" si="1"/>
        <v>0</v>
      </c>
      <c r="E67" s="213">
        <f>+'Tong hop cac ma'!S67</f>
        <v>0</v>
      </c>
      <c r="F67" s="214"/>
      <c r="G67" s="214"/>
      <c r="H67" s="214"/>
      <c r="I67" s="214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  <c r="AD67" s="210"/>
      <c r="AE67" s="210"/>
      <c r="AF67" s="210">
        <f t="shared" ref="AF67" si="282">IFERROR(SUM(F67:AC67)*0.2,0)</f>
        <v>0</v>
      </c>
      <c r="AG67" s="210"/>
      <c r="AH67" s="210" t="s">
        <v>192</v>
      </c>
      <c r="AI67" s="215">
        <f t="shared" ref="AI67" si="283">IFERROR(130*D67,0)</f>
        <v>0</v>
      </c>
      <c r="AJ67" s="198" cm="1">
        <f t="array" ref="AJ67">IFERROR(SUM(_xlfn._xlws.FILTER(E67:AI67,ISNUMBER(E67:AI67))),0)</f>
        <v>0</v>
      </c>
      <c r="AK67" s="198"/>
      <c r="AL67" s="216">
        <f t="shared" ref="AL67" si="284">IFERROR(AJ67*(1+AK67%),0)</f>
        <v>0</v>
      </c>
      <c r="AM67" s="233"/>
      <c r="AN67" s="201">
        <f t="shared" ref="AN67" si="285">IFERROR(SUM(E67:AC67)/D67,0)</f>
        <v>0</v>
      </c>
      <c r="AO67" s="255"/>
      <c r="AQ67" s="254"/>
      <c r="AR67" s="254"/>
      <c r="AS67" s="254"/>
      <c r="AT67" s="254"/>
      <c r="AU67" s="254"/>
      <c r="AV67" s="254"/>
      <c r="AY67" s="253">
        <f t="shared" ref="AY67" si="286">IFERROR((AQ67*20)/60,0)</f>
        <v>0</v>
      </c>
      <c r="AZ67" s="253">
        <f t="shared" ref="AZ67" si="287">IFERROR(AX67 + AY67 + BI67,0)</f>
        <v>0</v>
      </c>
      <c r="BA67" s="252">
        <f t="shared" ref="BA67" si="288">IFERROR(AZ67/8,0)</f>
        <v>0</v>
      </c>
      <c r="BB67" s="252">
        <f t="shared" ref="BB67" si="289">IFERROR(MAX(AQ67-BA67,0),0)</f>
        <v>0</v>
      </c>
      <c r="BD67" s="234">
        <f t="shared" ref="BD67" si="290">IFERROR(10000*D67,0)</f>
        <v>0</v>
      </c>
      <c r="BE67" s="234"/>
      <c r="BF67" s="234"/>
      <c r="BG67" s="234">
        <f t="shared" ref="BG67" si="291">IFERROR(-IF(AH67=$K$3,0,IF(AH67=$M$3,15*680*D67,IF(AH67=$O$3,30*680*D67,IF(AH67=0,50*680*D67,0)))),0)</f>
        <v>0</v>
      </c>
      <c r="BH67" s="234"/>
      <c r="BI67" s="234"/>
      <c r="BJ67" s="234"/>
    </row>
    <row r="68" spans="1:62" ht="18" hidden="1" customHeight="1" outlineLevel="1">
      <c r="A68" s="212"/>
      <c r="B68" s="88">
        <f>'Tong hop cac ma'!B68</f>
        <v>0</v>
      </c>
      <c r="C68" s="314">
        <f>'Tong hop cac ma'!C68</f>
        <v>0</v>
      </c>
      <c r="D68" s="197">
        <f t="shared" si="1"/>
        <v>0</v>
      </c>
      <c r="E68" s="228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29"/>
      <c r="AJ68" s="230"/>
      <c r="AK68" s="230"/>
      <c r="AL68" s="231"/>
      <c r="AM68" s="212"/>
      <c r="AN68" s="212"/>
      <c r="AO68" s="212"/>
      <c r="AP68" s="212"/>
      <c r="AQ68" s="212"/>
      <c r="AR68" s="212"/>
      <c r="AS68" s="212"/>
      <c r="AT68" s="212"/>
      <c r="AU68" s="212"/>
      <c r="AV68" s="212"/>
      <c r="AW68" s="212"/>
      <c r="AX68" s="212"/>
      <c r="AY68" s="212"/>
      <c r="AZ68" s="212"/>
      <c r="BA68" s="258"/>
      <c r="BB68" s="258"/>
      <c r="BC68" s="212"/>
      <c r="BD68" s="212"/>
      <c r="BE68" s="212"/>
      <c r="BF68" s="212"/>
      <c r="BG68" s="212"/>
      <c r="BH68" s="212"/>
      <c r="BI68" s="212"/>
      <c r="BJ68" s="212"/>
    </row>
    <row r="69" spans="1:62" ht="18" customHeight="1" outlineLevel="1">
      <c r="A69" s="89">
        <v>31</v>
      </c>
      <c r="B69" s="88">
        <f>'Tong hop cac ma'!B69</f>
        <v>0</v>
      </c>
      <c r="C69" s="314">
        <f>'Tong hop cac ma'!C69</f>
        <v>0</v>
      </c>
      <c r="D69" s="197">
        <f t="shared" si="1"/>
        <v>0</v>
      </c>
      <c r="E69" s="213">
        <f>+'Tong hop cac ma'!S69</f>
        <v>0</v>
      </c>
      <c r="F69" s="214"/>
      <c r="G69" s="214"/>
      <c r="H69" s="214"/>
      <c r="I69" s="214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>
        <f t="shared" ref="AF69" si="292">IFERROR(SUM(F69:AC69)*0.2,0)</f>
        <v>0</v>
      </c>
      <c r="AG69" s="210"/>
      <c r="AH69" s="210" t="s">
        <v>192</v>
      </c>
      <c r="AI69" s="215">
        <f t="shared" ref="AI69" si="293">IFERROR(130*D69,0)</f>
        <v>0</v>
      </c>
      <c r="AJ69" s="198" cm="1">
        <f t="array" ref="AJ69">IFERROR(SUM(_xlfn._xlws.FILTER(E69:AI69,ISNUMBER(E69:AI69))),0)</f>
        <v>0</v>
      </c>
      <c r="AK69" s="198"/>
      <c r="AL69" s="216">
        <f t="shared" ref="AL69" si="294">IFERROR(AJ69*(1+AK69%),0)</f>
        <v>0</v>
      </c>
      <c r="AM69" s="233"/>
      <c r="AN69" s="201">
        <f t="shared" ref="AN69" si="295">IFERROR(SUM(E69:AC69)/D69,0)</f>
        <v>0</v>
      </c>
      <c r="AO69" s="255"/>
      <c r="AQ69" s="254"/>
      <c r="AR69" s="254"/>
      <c r="AS69" s="254"/>
      <c r="AT69" s="254"/>
      <c r="AU69" s="254"/>
      <c r="AV69" s="254"/>
      <c r="AY69" s="253">
        <f t="shared" ref="AY69" si="296">IFERROR((AQ69*20)/60,0)</f>
        <v>0</v>
      </c>
      <c r="AZ69" s="253">
        <f t="shared" ref="AZ69" si="297">IFERROR(AX69 + AY69 + BI69,0)</f>
        <v>0</v>
      </c>
      <c r="BA69" s="252">
        <f t="shared" ref="BA69" si="298">IFERROR(AZ69/8,0)</f>
        <v>0</v>
      </c>
      <c r="BB69" s="252">
        <f t="shared" ref="BB69" si="299">IFERROR(MAX(AQ69-BA69,0),0)</f>
        <v>0</v>
      </c>
      <c r="BD69" s="234">
        <f t="shared" ref="BD69" si="300">IFERROR(10000*D69,0)</f>
        <v>0</v>
      </c>
      <c r="BE69" s="234"/>
      <c r="BF69" s="234"/>
      <c r="BG69" s="234">
        <f t="shared" ref="BG69" si="301">IFERROR(-IF(AH69=$K$3,0,IF(AH69=$M$3,15*680*D69,IF(AH69=$O$3,30*680*D69,IF(AH69=0,50*680*D69,0)))),0)</f>
        <v>0</v>
      </c>
      <c r="BH69" s="234"/>
      <c r="BI69" s="234"/>
      <c r="BJ69" s="234"/>
    </row>
    <row r="70" spans="1:62" ht="18" hidden="1" customHeight="1" outlineLevel="1">
      <c r="A70" s="81"/>
      <c r="B70" s="88">
        <f>'Tong hop cac ma'!B70</f>
        <v>0</v>
      </c>
      <c r="C70" s="314">
        <f>'Tong hop cac ma'!C70</f>
        <v>0</v>
      </c>
      <c r="D70" s="197">
        <f t="shared" si="1"/>
        <v>0</v>
      </c>
      <c r="E70" s="228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29"/>
      <c r="AJ70" s="230"/>
      <c r="AK70" s="230"/>
      <c r="AL70" s="231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58"/>
      <c r="BB70" s="258"/>
      <c r="BC70" s="212"/>
      <c r="BD70" s="212"/>
      <c r="BE70" s="212"/>
      <c r="BF70" s="212"/>
      <c r="BG70" s="212"/>
      <c r="BH70" s="212"/>
      <c r="BI70" s="212"/>
      <c r="BJ70" s="212"/>
    </row>
    <row r="71" spans="1:62" ht="18" customHeight="1" outlineLevel="1">
      <c r="A71" s="86">
        <v>32</v>
      </c>
      <c r="B71" s="88">
        <f>'Tong hop cac ma'!B71</f>
        <v>0</v>
      </c>
      <c r="C71" s="314">
        <f>'Tong hop cac ma'!C71</f>
        <v>0</v>
      </c>
      <c r="D71" s="197">
        <f t="shared" si="1"/>
        <v>0</v>
      </c>
      <c r="E71" s="213">
        <f>+'Tong hop cac ma'!S71</f>
        <v>0</v>
      </c>
      <c r="F71" s="214"/>
      <c r="G71" s="214"/>
      <c r="H71" s="214"/>
      <c r="I71" s="214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>
        <f t="shared" ref="AF71" si="302">IFERROR(SUM(F71:AC71)*0.2,0)</f>
        <v>0</v>
      </c>
      <c r="AG71" s="210"/>
      <c r="AH71" s="210" t="s">
        <v>192</v>
      </c>
      <c r="AI71" s="215">
        <f t="shared" ref="AI71" si="303">IFERROR(130*D71,0)</f>
        <v>0</v>
      </c>
      <c r="AJ71" s="198" cm="1">
        <f t="array" ref="AJ71">IFERROR(SUM(_xlfn._xlws.FILTER(E71:AI71,ISNUMBER(E71:AI71))),0)</f>
        <v>0</v>
      </c>
      <c r="AK71" s="198"/>
      <c r="AL71" s="216">
        <f t="shared" ref="AL71" si="304">IFERROR(AJ71*(1+AK71%),0)</f>
        <v>0</v>
      </c>
      <c r="AM71" s="233"/>
      <c r="AN71" s="201">
        <f t="shared" ref="AN71" si="305">IFERROR(SUM(E71:AC71)/D71,0)</f>
        <v>0</v>
      </c>
      <c r="AO71" s="255"/>
      <c r="AQ71" s="254"/>
      <c r="AR71" s="254"/>
      <c r="AS71" s="254"/>
      <c r="AT71" s="254"/>
      <c r="AU71" s="254"/>
      <c r="AV71" s="254"/>
      <c r="AY71" s="253">
        <f t="shared" ref="AY71" si="306">IFERROR((AQ71*20)/60,0)</f>
        <v>0</v>
      </c>
      <c r="AZ71" s="253">
        <f t="shared" ref="AZ71" si="307">IFERROR(AX71 + AY71 + BI71,0)</f>
        <v>0</v>
      </c>
      <c r="BA71" s="252">
        <f t="shared" ref="BA71" si="308">IFERROR(AZ71/8,0)</f>
        <v>0</v>
      </c>
      <c r="BB71" s="252">
        <f t="shared" ref="BB71" si="309">IFERROR(MAX(AQ71-BA71,0),0)</f>
        <v>0</v>
      </c>
      <c r="BD71" s="234">
        <f t="shared" ref="BD71" si="310">IFERROR(10000*D71,0)</f>
        <v>0</v>
      </c>
      <c r="BE71" s="234"/>
      <c r="BF71" s="234"/>
      <c r="BG71" s="234">
        <f t="shared" ref="BG71" si="311">IFERROR(-IF(AH71=$K$3,0,IF(AH71=$M$3,15*680*D71,IF(AH71=$O$3,30*680*D71,IF(AH71=0,50*680*D71,0)))),0)</f>
        <v>0</v>
      </c>
      <c r="BH71" s="234"/>
      <c r="BI71" s="234"/>
      <c r="BJ71" s="234"/>
    </row>
    <row r="72" spans="1:62" ht="18" hidden="1" customHeight="1" outlineLevel="1">
      <c r="A72" s="212"/>
      <c r="B72" s="88">
        <f>'Tong hop cac ma'!B72</f>
        <v>0</v>
      </c>
      <c r="C72" s="314">
        <f>'Tong hop cac ma'!C72</f>
        <v>0</v>
      </c>
      <c r="D72" s="197">
        <f t="shared" si="1"/>
        <v>0</v>
      </c>
      <c r="E72" s="228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29"/>
      <c r="AJ72" s="230"/>
      <c r="AK72" s="230"/>
      <c r="AL72" s="231"/>
      <c r="AM72" s="212"/>
      <c r="AN72" s="212"/>
      <c r="AO72" s="212"/>
      <c r="AP72" s="212"/>
      <c r="AQ72" s="212"/>
      <c r="AR72" s="212"/>
      <c r="AS72" s="212"/>
      <c r="AT72" s="212"/>
      <c r="AU72" s="212"/>
      <c r="AV72" s="212"/>
      <c r="AW72" s="212"/>
      <c r="AX72" s="212"/>
      <c r="AY72" s="212"/>
      <c r="AZ72" s="212"/>
      <c r="BA72" s="258"/>
      <c r="BB72" s="258"/>
      <c r="BC72" s="212"/>
      <c r="BD72" s="212"/>
      <c r="BE72" s="212"/>
      <c r="BF72" s="212"/>
      <c r="BG72" s="212"/>
      <c r="BH72" s="212"/>
      <c r="BI72" s="212"/>
      <c r="BJ72" s="212"/>
    </row>
    <row r="73" spans="1:62" ht="18" customHeight="1" outlineLevel="1">
      <c r="A73" s="89">
        <v>33</v>
      </c>
      <c r="B73" s="88">
        <f>'Tong hop cac ma'!B73</f>
        <v>0</v>
      </c>
      <c r="C73" s="314">
        <f>'Tong hop cac ma'!C73</f>
        <v>0</v>
      </c>
      <c r="D73" s="197">
        <f t="shared" si="1"/>
        <v>0</v>
      </c>
      <c r="E73" s="213">
        <f>+'Tong hop cac ma'!S73</f>
        <v>0</v>
      </c>
      <c r="F73" s="214"/>
      <c r="G73" s="214"/>
      <c r="H73" s="214"/>
      <c r="I73" s="214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>
        <f t="shared" ref="AF73" si="312">IFERROR(SUM(F73:AC73)*0.2,0)</f>
        <v>0</v>
      </c>
      <c r="AG73" s="210"/>
      <c r="AH73" s="210" t="s">
        <v>192</v>
      </c>
      <c r="AI73" s="215">
        <f t="shared" ref="AI73" si="313">IFERROR(130*D73,0)</f>
        <v>0</v>
      </c>
      <c r="AJ73" s="198" cm="1">
        <f t="array" ref="AJ73">IFERROR(SUM(_xlfn._xlws.FILTER(E73:AI73,ISNUMBER(E73:AI73))),0)</f>
        <v>0</v>
      </c>
      <c r="AK73" s="198"/>
      <c r="AL73" s="216">
        <f t="shared" ref="AL73" si="314">IFERROR(AJ73*(1+AK73%),0)</f>
        <v>0</v>
      </c>
      <c r="AM73" s="233"/>
      <c r="AN73" s="201">
        <f t="shared" ref="AN73" si="315">IFERROR(SUM(E73:AC73)/D73,0)</f>
        <v>0</v>
      </c>
      <c r="AO73" s="255"/>
      <c r="AQ73" s="254"/>
      <c r="AR73" s="254"/>
      <c r="AS73" s="254"/>
      <c r="AT73" s="254"/>
      <c r="AU73" s="254"/>
      <c r="AV73" s="254"/>
      <c r="AY73" s="253">
        <f t="shared" ref="AY73" si="316">IFERROR((AQ73*20)/60,0)</f>
        <v>0</v>
      </c>
      <c r="AZ73" s="253">
        <f t="shared" ref="AZ73" si="317">IFERROR(AX73 + AY73 + BI73,0)</f>
        <v>0</v>
      </c>
      <c r="BA73" s="252">
        <f t="shared" ref="BA73" si="318">IFERROR(AZ73/8,0)</f>
        <v>0</v>
      </c>
      <c r="BB73" s="252">
        <f t="shared" ref="BB73" si="319">IFERROR(MAX(AQ73-BA73,0),0)</f>
        <v>0</v>
      </c>
      <c r="BD73" s="234">
        <f t="shared" ref="BD73" si="320">IFERROR(10000*D73,0)</f>
        <v>0</v>
      </c>
      <c r="BE73" s="234"/>
      <c r="BF73" s="234"/>
      <c r="BG73" s="234">
        <f t="shared" ref="BG73" si="321">IFERROR(-IF(AH73=$K$3,0,IF(AH73=$M$3,15*680*D73,IF(AH73=$O$3,30*680*D73,IF(AH73=0,50*680*D73,0)))),0)</f>
        <v>0</v>
      </c>
      <c r="BH73" s="234"/>
      <c r="BI73" s="234"/>
      <c r="BJ73" s="234"/>
    </row>
    <row r="74" spans="1:62" ht="18" hidden="1" customHeight="1" outlineLevel="1">
      <c r="A74" s="81"/>
      <c r="B74" s="88">
        <f>'Tong hop cac ma'!B74</f>
        <v>0</v>
      </c>
      <c r="C74" s="314">
        <f>'Tong hop cac ma'!C74</f>
        <v>0</v>
      </c>
      <c r="D74" s="197">
        <f t="shared" ref="D74:D137" si="322">AQ74</f>
        <v>0</v>
      </c>
      <c r="E74" s="228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29"/>
      <c r="AJ74" s="230"/>
      <c r="AK74" s="230"/>
      <c r="AL74" s="231"/>
      <c r="AM74" s="212"/>
      <c r="AN74" s="212"/>
      <c r="AO74" s="212"/>
      <c r="AP74" s="212"/>
      <c r="AQ74" s="212"/>
      <c r="AR74" s="212"/>
      <c r="AS74" s="212"/>
      <c r="AT74" s="212"/>
      <c r="AU74" s="212"/>
      <c r="AV74" s="212"/>
      <c r="AW74" s="212"/>
      <c r="AX74" s="212"/>
      <c r="AY74" s="212"/>
      <c r="AZ74" s="212"/>
      <c r="BA74" s="258"/>
      <c r="BB74" s="258"/>
      <c r="BC74" s="212"/>
      <c r="BD74" s="212"/>
      <c r="BE74" s="212"/>
      <c r="BF74" s="212"/>
      <c r="BG74" s="212"/>
      <c r="BH74" s="212"/>
      <c r="BI74" s="212"/>
      <c r="BJ74" s="212"/>
    </row>
    <row r="75" spans="1:62" ht="18" customHeight="1" outlineLevel="1">
      <c r="A75" s="86">
        <v>34</v>
      </c>
      <c r="B75" s="88">
        <f>'Tong hop cac ma'!B75</f>
        <v>0</v>
      </c>
      <c r="C75" s="314">
        <f>'Tong hop cac ma'!C75</f>
        <v>0</v>
      </c>
      <c r="D75" s="197">
        <f t="shared" si="322"/>
        <v>0</v>
      </c>
      <c r="E75" s="213">
        <f>+'Tong hop cac ma'!S75</f>
        <v>0</v>
      </c>
      <c r="F75" s="214"/>
      <c r="G75" s="214"/>
      <c r="H75" s="214"/>
      <c r="I75" s="214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>
        <f t="shared" ref="AF75" si="323">IFERROR(SUM(F75:AC75)*0.2,0)</f>
        <v>0</v>
      </c>
      <c r="AG75" s="210"/>
      <c r="AH75" s="210" t="s">
        <v>192</v>
      </c>
      <c r="AI75" s="215">
        <f t="shared" ref="AI75" si="324">IFERROR(130*D75,0)</f>
        <v>0</v>
      </c>
      <c r="AJ75" s="198" cm="1">
        <f t="array" ref="AJ75">IFERROR(SUM(_xlfn._xlws.FILTER(E75:AI75,ISNUMBER(E75:AI75))),0)</f>
        <v>0</v>
      </c>
      <c r="AK75" s="198"/>
      <c r="AL75" s="216">
        <f t="shared" ref="AL75" si="325">IFERROR(AJ75*(1+AK75%),0)</f>
        <v>0</v>
      </c>
      <c r="AM75" s="233"/>
      <c r="AN75" s="201">
        <f t="shared" ref="AN75" si="326">IFERROR(SUM(E75:AC75)/D75,0)</f>
        <v>0</v>
      </c>
      <c r="AO75" s="255"/>
      <c r="AQ75" s="254"/>
      <c r="AR75" s="254"/>
      <c r="AS75" s="254"/>
      <c r="AT75" s="254"/>
      <c r="AU75" s="254"/>
      <c r="AV75" s="254"/>
      <c r="AY75" s="253">
        <f t="shared" ref="AY75" si="327">IFERROR((AQ75*20)/60,0)</f>
        <v>0</v>
      </c>
      <c r="AZ75" s="253">
        <f t="shared" ref="AZ75" si="328">IFERROR(AX75 + AY75 + BI75,0)</f>
        <v>0</v>
      </c>
      <c r="BA75" s="252">
        <f t="shared" ref="BA75" si="329">IFERROR(AZ75/8,0)</f>
        <v>0</v>
      </c>
      <c r="BB75" s="252">
        <f t="shared" ref="BB75" si="330">IFERROR(MAX(AQ75-BA75,0),0)</f>
        <v>0</v>
      </c>
      <c r="BD75" s="234">
        <f t="shared" ref="BD75" si="331">IFERROR(10000*D75,0)</f>
        <v>0</v>
      </c>
      <c r="BE75" s="234"/>
      <c r="BF75" s="234"/>
      <c r="BG75" s="234">
        <f t="shared" ref="BG75" si="332">IFERROR(-IF(AH75=$K$3,0,IF(AH75=$M$3,15*680*D75,IF(AH75=$O$3,30*680*D75,IF(AH75=0,50*680*D75,0)))),0)</f>
        <v>0</v>
      </c>
      <c r="BH75" s="234"/>
      <c r="BI75" s="234"/>
      <c r="BJ75" s="234"/>
    </row>
    <row r="76" spans="1:62" ht="18" hidden="1" customHeight="1" outlineLevel="1">
      <c r="A76" s="212"/>
      <c r="B76" s="88">
        <f>'Tong hop cac ma'!B76</f>
        <v>0</v>
      </c>
      <c r="C76" s="314">
        <f>'Tong hop cac ma'!C76</f>
        <v>0</v>
      </c>
      <c r="D76" s="197">
        <f t="shared" si="322"/>
        <v>0</v>
      </c>
      <c r="E76" s="228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29"/>
      <c r="AJ76" s="230"/>
      <c r="AK76" s="230"/>
      <c r="AL76" s="231"/>
      <c r="AM76" s="212"/>
      <c r="AN76" s="212"/>
      <c r="AO76" s="212"/>
      <c r="AP76" s="212"/>
      <c r="AQ76" s="212"/>
      <c r="AR76" s="212"/>
      <c r="AS76" s="212"/>
      <c r="AT76" s="212"/>
      <c r="AU76" s="212"/>
      <c r="AV76" s="212"/>
      <c r="AW76" s="212"/>
      <c r="AX76" s="212"/>
      <c r="AY76" s="212"/>
      <c r="AZ76" s="212"/>
      <c r="BA76" s="258"/>
      <c r="BB76" s="258"/>
      <c r="BC76" s="212"/>
      <c r="BD76" s="212"/>
      <c r="BE76" s="212"/>
      <c r="BF76" s="212"/>
      <c r="BG76" s="212"/>
      <c r="BH76" s="212"/>
      <c r="BI76" s="212"/>
      <c r="BJ76" s="212"/>
    </row>
    <row r="77" spans="1:62" ht="18" customHeight="1" outlineLevel="1">
      <c r="A77" s="89">
        <v>35</v>
      </c>
      <c r="B77" s="88">
        <f>'Tong hop cac ma'!B77</f>
        <v>0</v>
      </c>
      <c r="C77" s="314">
        <f>'Tong hop cac ma'!C77</f>
        <v>0</v>
      </c>
      <c r="D77" s="197">
        <f t="shared" si="322"/>
        <v>0</v>
      </c>
      <c r="E77" s="213">
        <f>+'Tong hop cac ma'!S77</f>
        <v>0</v>
      </c>
      <c r="F77" s="214"/>
      <c r="G77" s="214"/>
      <c r="H77" s="214"/>
      <c r="I77" s="214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>
        <f t="shared" ref="AF77" si="333">IFERROR(SUM(F77:AC77)*0.2,0)</f>
        <v>0</v>
      </c>
      <c r="AG77" s="210"/>
      <c r="AH77" s="210" t="s">
        <v>192</v>
      </c>
      <c r="AI77" s="215">
        <f t="shared" ref="AI77" si="334">IFERROR(130*D77,0)</f>
        <v>0</v>
      </c>
      <c r="AJ77" s="198" cm="1">
        <f t="array" ref="AJ77">IFERROR(SUM(_xlfn._xlws.FILTER(E77:AI77,ISNUMBER(E77:AI77))),0)</f>
        <v>0</v>
      </c>
      <c r="AK77" s="198"/>
      <c r="AL77" s="216">
        <f t="shared" ref="AL77" si="335">IFERROR(AJ77*(1+AK77%),0)</f>
        <v>0</v>
      </c>
      <c r="AM77" s="233"/>
      <c r="AN77" s="201">
        <f t="shared" ref="AN77" si="336">IFERROR(SUM(E77:AC77)/D77,0)</f>
        <v>0</v>
      </c>
      <c r="AO77" s="255"/>
      <c r="AQ77" s="254"/>
      <c r="AR77" s="254"/>
      <c r="AS77" s="254"/>
      <c r="AT77" s="254"/>
      <c r="AU77" s="254"/>
      <c r="AV77" s="254"/>
      <c r="AY77" s="253">
        <f t="shared" ref="AY77" si="337">IFERROR((AQ77*20)/60,0)</f>
        <v>0</v>
      </c>
      <c r="AZ77" s="253">
        <f t="shared" ref="AZ77" si="338">IFERROR(AX77 + AY77 + BI77,0)</f>
        <v>0</v>
      </c>
      <c r="BA77" s="252">
        <f t="shared" ref="BA77" si="339">IFERROR(AZ77/8,0)</f>
        <v>0</v>
      </c>
      <c r="BB77" s="252">
        <f t="shared" ref="BB77" si="340">IFERROR(MAX(AQ77-BA77,0),0)</f>
        <v>0</v>
      </c>
      <c r="BD77" s="234">
        <f t="shared" ref="BD77" si="341">IFERROR(10000*D77,0)</f>
        <v>0</v>
      </c>
      <c r="BE77" s="234"/>
      <c r="BF77" s="234"/>
      <c r="BG77" s="234">
        <f t="shared" ref="BG77" si="342">IFERROR(-IF(AH77=$K$3,0,IF(AH77=$M$3,15*680*D77,IF(AH77=$O$3,30*680*D77,IF(AH77=0,50*680*D77,0)))),0)</f>
        <v>0</v>
      </c>
      <c r="BH77" s="234"/>
      <c r="BI77" s="234"/>
      <c r="BJ77" s="234"/>
    </row>
    <row r="78" spans="1:62" ht="18" hidden="1" customHeight="1" outlineLevel="1">
      <c r="A78" s="81"/>
      <c r="B78" s="88">
        <f>'Tong hop cac ma'!B78</f>
        <v>0</v>
      </c>
      <c r="C78" s="314">
        <f>'Tong hop cac ma'!C78</f>
        <v>0</v>
      </c>
      <c r="D78" s="197">
        <f t="shared" si="322"/>
        <v>0</v>
      </c>
      <c r="E78" s="228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29"/>
      <c r="AJ78" s="230"/>
      <c r="AK78" s="230"/>
      <c r="AL78" s="231"/>
      <c r="AM78" s="212"/>
      <c r="AN78" s="212"/>
      <c r="AO78" s="212"/>
      <c r="AP78" s="212"/>
      <c r="AQ78" s="212"/>
      <c r="AR78" s="212"/>
      <c r="AS78" s="212"/>
      <c r="AT78" s="212"/>
      <c r="AU78" s="212"/>
      <c r="AV78" s="212"/>
      <c r="AW78" s="212"/>
      <c r="AX78" s="212"/>
      <c r="AY78" s="212"/>
      <c r="AZ78" s="212"/>
      <c r="BA78" s="258"/>
      <c r="BB78" s="258"/>
      <c r="BC78" s="212"/>
      <c r="BD78" s="212"/>
      <c r="BE78" s="212"/>
      <c r="BF78" s="212"/>
      <c r="BG78" s="212"/>
      <c r="BH78" s="212"/>
      <c r="BI78" s="212"/>
      <c r="BJ78" s="212"/>
    </row>
    <row r="79" spans="1:62" ht="18" customHeight="1" outlineLevel="1">
      <c r="A79" s="86">
        <v>36</v>
      </c>
      <c r="B79" s="88">
        <f>'Tong hop cac ma'!B79</f>
        <v>0</v>
      </c>
      <c r="C79" s="314">
        <f>'Tong hop cac ma'!C79</f>
        <v>0</v>
      </c>
      <c r="D79" s="197">
        <f t="shared" si="322"/>
        <v>0</v>
      </c>
      <c r="E79" s="213">
        <f>+'Tong hop cac ma'!S79</f>
        <v>0</v>
      </c>
      <c r="F79" s="214"/>
      <c r="G79" s="214"/>
      <c r="H79" s="214"/>
      <c r="I79" s="214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>
        <f t="shared" ref="AF79" si="343">IFERROR(SUM(F79:AC79)*0.2,0)</f>
        <v>0</v>
      </c>
      <c r="AG79" s="210"/>
      <c r="AH79" s="210" t="s">
        <v>192</v>
      </c>
      <c r="AI79" s="215">
        <f t="shared" ref="AI79" si="344">IFERROR(130*D79,0)</f>
        <v>0</v>
      </c>
      <c r="AJ79" s="198" cm="1">
        <f t="array" ref="AJ79">IFERROR(SUM(_xlfn._xlws.FILTER(E79:AI79,ISNUMBER(E79:AI79))),0)</f>
        <v>0</v>
      </c>
      <c r="AK79" s="198"/>
      <c r="AL79" s="216">
        <f t="shared" ref="AL79" si="345">IFERROR(AJ79*(1+AK79%),0)</f>
        <v>0</v>
      </c>
      <c r="AM79" s="233"/>
      <c r="AN79" s="201">
        <f t="shared" ref="AN79" si="346">IFERROR(SUM(E79:AC79)/D79,0)</f>
        <v>0</v>
      </c>
      <c r="AO79" s="255"/>
      <c r="AQ79" s="254"/>
      <c r="AR79" s="254"/>
      <c r="AS79" s="254"/>
      <c r="AT79" s="254"/>
      <c r="AU79" s="254"/>
      <c r="AV79" s="254"/>
      <c r="AY79" s="253">
        <f t="shared" ref="AY79" si="347">IFERROR((AQ79*20)/60,0)</f>
        <v>0</v>
      </c>
      <c r="AZ79" s="253">
        <f t="shared" ref="AZ79" si="348">IFERROR(AX79 + AY79 + BI79,0)</f>
        <v>0</v>
      </c>
      <c r="BA79" s="252">
        <f t="shared" ref="BA79" si="349">IFERROR(AZ79/8,0)</f>
        <v>0</v>
      </c>
      <c r="BB79" s="252">
        <f t="shared" ref="BB79" si="350">IFERROR(MAX(AQ79-BA79,0),0)</f>
        <v>0</v>
      </c>
      <c r="BD79" s="234">
        <f t="shared" ref="BD79" si="351">IFERROR(10000*D79,0)</f>
        <v>0</v>
      </c>
      <c r="BE79" s="234"/>
      <c r="BF79" s="234"/>
      <c r="BG79" s="234">
        <f t="shared" ref="BG79" si="352">IFERROR(-IF(AH79=$K$3,0,IF(AH79=$M$3,15*680*D79,IF(AH79=$O$3,30*680*D79,IF(AH79=0,50*680*D79,0)))),0)</f>
        <v>0</v>
      </c>
      <c r="BH79" s="234"/>
      <c r="BI79" s="234"/>
      <c r="BJ79" s="234"/>
    </row>
    <row r="80" spans="1:62" ht="18" hidden="1" customHeight="1" outlineLevel="1">
      <c r="A80" s="212"/>
      <c r="B80" s="88">
        <f>'Tong hop cac ma'!B80</f>
        <v>0</v>
      </c>
      <c r="C80" s="314">
        <f>'Tong hop cac ma'!C80</f>
        <v>0</v>
      </c>
      <c r="D80" s="197">
        <f t="shared" si="322"/>
        <v>0</v>
      </c>
      <c r="E80" s="228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29"/>
      <c r="AJ80" s="230"/>
      <c r="AK80" s="230"/>
      <c r="AL80" s="231"/>
      <c r="AM80" s="212"/>
      <c r="AN80" s="212"/>
      <c r="AO80" s="212"/>
      <c r="AP80" s="212"/>
      <c r="AQ80" s="212"/>
      <c r="AR80" s="212"/>
      <c r="AS80" s="212"/>
      <c r="AT80" s="212"/>
      <c r="AU80" s="212"/>
      <c r="AV80" s="212"/>
      <c r="AW80" s="212"/>
      <c r="AX80" s="212"/>
      <c r="AY80" s="212"/>
      <c r="AZ80" s="212"/>
      <c r="BA80" s="258"/>
      <c r="BB80" s="258"/>
      <c r="BC80" s="212"/>
      <c r="BD80" s="212"/>
      <c r="BE80" s="212"/>
      <c r="BF80" s="212"/>
      <c r="BG80" s="212"/>
      <c r="BH80" s="212"/>
      <c r="BI80" s="212"/>
      <c r="BJ80" s="212"/>
    </row>
    <row r="81" spans="1:62" ht="18" customHeight="1" outlineLevel="1">
      <c r="A81" s="89">
        <v>37</v>
      </c>
      <c r="B81" s="88">
        <f>'Tong hop cac ma'!B81</f>
        <v>0</v>
      </c>
      <c r="C81" s="314">
        <f>'Tong hop cac ma'!C81</f>
        <v>0</v>
      </c>
      <c r="D81" s="197">
        <f t="shared" si="322"/>
        <v>0</v>
      </c>
      <c r="E81" s="213">
        <f>+'Tong hop cac ma'!S81</f>
        <v>0</v>
      </c>
      <c r="F81" s="214"/>
      <c r="G81" s="214"/>
      <c r="H81" s="214"/>
      <c r="I81" s="214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>
        <f t="shared" ref="AF81" si="353">IFERROR(SUM(F81:AC81)*0.2,0)</f>
        <v>0</v>
      </c>
      <c r="AG81" s="210"/>
      <c r="AH81" s="210" t="s">
        <v>192</v>
      </c>
      <c r="AI81" s="215">
        <f t="shared" ref="AI81" si="354">IFERROR(130*D81,0)</f>
        <v>0</v>
      </c>
      <c r="AJ81" s="198" cm="1">
        <f t="array" ref="AJ81">IFERROR(SUM(_xlfn._xlws.FILTER(E81:AI81,ISNUMBER(E81:AI81))),0)</f>
        <v>0</v>
      </c>
      <c r="AK81" s="198"/>
      <c r="AL81" s="216">
        <f t="shared" ref="AL81" si="355">IFERROR(AJ81*(1+AK81%),0)</f>
        <v>0</v>
      </c>
      <c r="AM81" s="233"/>
      <c r="AN81" s="201">
        <f t="shared" ref="AN81" si="356">IFERROR(SUM(E81:AC81)/D81,0)</f>
        <v>0</v>
      </c>
      <c r="AO81" s="255"/>
      <c r="AQ81" s="254"/>
      <c r="AR81" s="254"/>
      <c r="AS81" s="254"/>
      <c r="AT81" s="254"/>
      <c r="AU81" s="254"/>
      <c r="AV81" s="254"/>
      <c r="AY81" s="253">
        <f t="shared" ref="AY81" si="357">IFERROR((AQ81*20)/60,0)</f>
        <v>0</v>
      </c>
      <c r="AZ81" s="253">
        <f t="shared" ref="AZ81" si="358">IFERROR(AX81 + AY81 + BI81,0)</f>
        <v>0</v>
      </c>
      <c r="BA81" s="252">
        <f t="shared" ref="BA81" si="359">IFERROR(AZ81/8,0)</f>
        <v>0</v>
      </c>
      <c r="BB81" s="252">
        <f t="shared" ref="BB81" si="360">IFERROR(MAX(AQ81-BA81,0),0)</f>
        <v>0</v>
      </c>
      <c r="BD81" s="234">
        <f t="shared" ref="BD81" si="361">IFERROR(10000*D81,0)</f>
        <v>0</v>
      </c>
      <c r="BE81" s="234"/>
      <c r="BF81" s="234"/>
      <c r="BG81" s="234">
        <f t="shared" ref="BG81" si="362">IFERROR(-IF(AH81=$K$3,0,IF(AH81=$M$3,15*680*D81,IF(AH81=$O$3,30*680*D81,IF(AH81=0,50*680*D81,0)))),0)</f>
        <v>0</v>
      </c>
      <c r="BH81" s="234"/>
      <c r="BI81" s="234"/>
      <c r="BJ81" s="234"/>
    </row>
    <row r="82" spans="1:62" ht="18" hidden="1" customHeight="1" outlineLevel="1">
      <c r="A82" s="81"/>
      <c r="B82" s="88">
        <f>'Tong hop cac ma'!B82</f>
        <v>0</v>
      </c>
      <c r="C82" s="314">
        <f>'Tong hop cac ma'!C82</f>
        <v>0</v>
      </c>
      <c r="D82" s="197">
        <f t="shared" si="322"/>
        <v>0</v>
      </c>
      <c r="E82" s="228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29"/>
      <c r="AJ82" s="230"/>
      <c r="AK82" s="230"/>
      <c r="AL82" s="231"/>
      <c r="AM82" s="212"/>
      <c r="AN82" s="212"/>
      <c r="AO82" s="212"/>
      <c r="AP82" s="212"/>
      <c r="AQ82" s="212"/>
      <c r="AR82" s="212"/>
      <c r="AS82" s="212"/>
      <c r="AT82" s="212"/>
      <c r="AU82" s="212"/>
      <c r="AV82" s="212"/>
      <c r="AW82" s="212"/>
      <c r="AX82" s="212"/>
      <c r="AY82" s="212"/>
      <c r="AZ82" s="212"/>
      <c r="BA82" s="258"/>
      <c r="BB82" s="258"/>
      <c r="BC82" s="212"/>
      <c r="BD82" s="212"/>
      <c r="BE82" s="212"/>
      <c r="BF82" s="212"/>
      <c r="BG82" s="212"/>
      <c r="BH82" s="212"/>
      <c r="BI82" s="212"/>
      <c r="BJ82" s="212"/>
    </row>
    <row r="83" spans="1:62" ht="18" customHeight="1" outlineLevel="1">
      <c r="A83" s="86">
        <v>38</v>
      </c>
      <c r="B83" s="88">
        <f>'Tong hop cac ma'!B83</f>
        <v>0</v>
      </c>
      <c r="C83" s="314">
        <f>'Tong hop cac ma'!C83</f>
        <v>0</v>
      </c>
      <c r="D83" s="197">
        <f t="shared" si="322"/>
        <v>0</v>
      </c>
      <c r="E83" s="213">
        <f>+'Tong hop cac ma'!S83</f>
        <v>0</v>
      </c>
      <c r="F83" s="214"/>
      <c r="G83" s="214"/>
      <c r="H83" s="214"/>
      <c r="I83" s="214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>
        <f t="shared" ref="AF83" si="363">IFERROR(SUM(F83:AC83)*0.2,0)</f>
        <v>0</v>
      </c>
      <c r="AG83" s="210"/>
      <c r="AH83" s="210" t="s">
        <v>192</v>
      </c>
      <c r="AI83" s="215">
        <f t="shared" ref="AI83" si="364">IFERROR(130*D83,0)</f>
        <v>0</v>
      </c>
      <c r="AJ83" s="198" cm="1">
        <f t="array" ref="AJ83">IFERROR(SUM(_xlfn._xlws.FILTER(E83:AI83,ISNUMBER(E83:AI83))),0)</f>
        <v>0</v>
      </c>
      <c r="AK83" s="198"/>
      <c r="AL83" s="216">
        <f t="shared" ref="AL83" si="365">IFERROR(AJ83*(1+AK83%),0)</f>
        <v>0</v>
      </c>
      <c r="AM83" s="233"/>
      <c r="AN83" s="201">
        <f t="shared" ref="AN83" si="366">IFERROR(SUM(E83:AC83)/D83,0)</f>
        <v>0</v>
      </c>
      <c r="AO83" s="255"/>
      <c r="AQ83" s="254"/>
      <c r="AR83" s="254"/>
      <c r="AS83" s="254"/>
      <c r="AT83" s="254"/>
      <c r="AU83" s="254"/>
      <c r="AV83" s="254"/>
      <c r="AY83" s="253">
        <f t="shared" ref="AY83" si="367">IFERROR((AQ83*20)/60,0)</f>
        <v>0</v>
      </c>
      <c r="AZ83" s="253">
        <f t="shared" ref="AZ83" si="368">IFERROR(AX83 + AY83 + BI83,0)</f>
        <v>0</v>
      </c>
      <c r="BA83" s="252">
        <f t="shared" ref="BA83" si="369">IFERROR(AZ83/8,0)</f>
        <v>0</v>
      </c>
      <c r="BB83" s="252">
        <f t="shared" ref="BB83" si="370">IFERROR(MAX(AQ83-BA83,0),0)</f>
        <v>0</v>
      </c>
      <c r="BD83" s="234">
        <f t="shared" ref="BD83" si="371">IFERROR(10000*D83,0)</f>
        <v>0</v>
      </c>
      <c r="BE83" s="234"/>
      <c r="BF83" s="234"/>
      <c r="BG83" s="234">
        <f t="shared" ref="BG83" si="372">IFERROR(-IF(AH83=$K$3,0,IF(AH83=$M$3,15*680*D83,IF(AH83=$O$3,30*680*D83,IF(AH83=0,50*680*D83,0)))),0)</f>
        <v>0</v>
      </c>
      <c r="BH83" s="234"/>
      <c r="BI83" s="234"/>
      <c r="BJ83" s="234"/>
    </row>
    <row r="84" spans="1:62" ht="18" hidden="1" customHeight="1" outlineLevel="1">
      <c r="A84" s="212"/>
      <c r="B84" s="88">
        <f>'Tong hop cac ma'!B84</f>
        <v>0</v>
      </c>
      <c r="C84" s="314">
        <f>'Tong hop cac ma'!C84</f>
        <v>0</v>
      </c>
      <c r="D84" s="197">
        <f t="shared" si="322"/>
        <v>0</v>
      </c>
      <c r="E84" s="228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29"/>
      <c r="AJ84" s="230"/>
      <c r="AK84" s="230"/>
      <c r="AL84" s="231"/>
      <c r="AM84" s="212"/>
      <c r="AN84" s="212"/>
      <c r="AO84" s="212"/>
      <c r="AP84" s="212"/>
      <c r="AQ84" s="212"/>
      <c r="AR84" s="212"/>
      <c r="AS84" s="212"/>
      <c r="AT84" s="212"/>
      <c r="AU84" s="212"/>
      <c r="AV84" s="212"/>
      <c r="AW84" s="212"/>
      <c r="AX84" s="212"/>
      <c r="AY84" s="212"/>
      <c r="AZ84" s="212"/>
      <c r="BA84" s="258"/>
      <c r="BB84" s="258"/>
      <c r="BC84" s="212"/>
      <c r="BD84" s="212"/>
      <c r="BE84" s="212"/>
      <c r="BF84" s="212"/>
      <c r="BG84" s="212"/>
      <c r="BH84" s="212"/>
      <c r="BI84" s="212"/>
      <c r="BJ84" s="212"/>
    </row>
    <row r="85" spans="1:62" ht="18" customHeight="1" outlineLevel="1">
      <c r="A85" s="89">
        <v>39</v>
      </c>
      <c r="B85" s="88">
        <f>'Tong hop cac ma'!B85</f>
        <v>0</v>
      </c>
      <c r="C85" s="314">
        <f>'Tong hop cac ma'!C85</f>
        <v>0</v>
      </c>
      <c r="D85" s="197">
        <f t="shared" si="322"/>
        <v>0</v>
      </c>
      <c r="E85" s="213">
        <f>+'Tong hop cac ma'!S85</f>
        <v>0</v>
      </c>
      <c r="F85" s="214"/>
      <c r="G85" s="214"/>
      <c r="H85" s="214"/>
      <c r="I85" s="214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>
        <f t="shared" ref="AF85" si="373">IFERROR(SUM(F85:AC85)*0.2,0)</f>
        <v>0</v>
      </c>
      <c r="AG85" s="210"/>
      <c r="AH85" s="210" t="s">
        <v>192</v>
      </c>
      <c r="AI85" s="215">
        <f t="shared" ref="AI85" si="374">IFERROR(130*D85,0)</f>
        <v>0</v>
      </c>
      <c r="AJ85" s="198" cm="1">
        <f t="array" ref="AJ85">IFERROR(SUM(_xlfn._xlws.FILTER(E85:AI85,ISNUMBER(E85:AI85))),0)</f>
        <v>0</v>
      </c>
      <c r="AK85" s="198"/>
      <c r="AL85" s="216">
        <f t="shared" ref="AL85" si="375">IFERROR(AJ85*(1+AK85%),0)</f>
        <v>0</v>
      </c>
      <c r="AM85" s="233"/>
      <c r="AN85" s="201">
        <f t="shared" ref="AN85" si="376">IFERROR(SUM(E85:AC85)/D85,0)</f>
        <v>0</v>
      </c>
      <c r="AO85" s="255"/>
      <c r="AQ85" s="254"/>
      <c r="AR85" s="254"/>
      <c r="AS85" s="254"/>
      <c r="AT85" s="254"/>
      <c r="AU85" s="254"/>
      <c r="AV85" s="254"/>
      <c r="AY85" s="253">
        <f t="shared" ref="AY85" si="377">IFERROR((AQ85*20)/60,0)</f>
        <v>0</v>
      </c>
      <c r="AZ85" s="253">
        <f t="shared" ref="AZ85" si="378">IFERROR(AX85 + AY85 + BI85,0)</f>
        <v>0</v>
      </c>
      <c r="BA85" s="252">
        <f t="shared" ref="BA85" si="379">IFERROR(AZ85/8,0)</f>
        <v>0</v>
      </c>
      <c r="BB85" s="252">
        <f t="shared" ref="BB85" si="380">IFERROR(MAX(AQ85-BA85,0),0)</f>
        <v>0</v>
      </c>
      <c r="BD85" s="234">
        <f t="shared" ref="BD85" si="381">IFERROR(10000*D85,0)</f>
        <v>0</v>
      </c>
      <c r="BE85" s="234"/>
      <c r="BF85" s="234"/>
      <c r="BG85" s="234">
        <f t="shared" ref="BG85" si="382">IFERROR(-IF(AH85=$K$3,0,IF(AH85=$M$3,15*680*D85,IF(AH85=$O$3,30*680*D85,IF(AH85=0,50*680*D85,0)))),0)</f>
        <v>0</v>
      </c>
      <c r="BH85" s="234"/>
      <c r="BI85" s="234"/>
      <c r="BJ85" s="234"/>
    </row>
    <row r="86" spans="1:62" ht="18" hidden="1" customHeight="1" outlineLevel="1">
      <c r="A86" s="81"/>
      <c r="B86" s="88">
        <f>'Tong hop cac ma'!B86</f>
        <v>0</v>
      </c>
      <c r="C86" s="314">
        <f>'Tong hop cac ma'!C86</f>
        <v>0</v>
      </c>
      <c r="D86" s="197">
        <f t="shared" si="322"/>
        <v>0</v>
      </c>
      <c r="E86" s="228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29"/>
      <c r="AJ86" s="230"/>
      <c r="AK86" s="230"/>
      <c r="AL86" s="231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58"/>
      <c r="BB86" s="258"/>
      <c r="BC86" s="212"/>
      <c r="BD86" s="212"/>
      <c r="BE86" s="212"/>
      <c r="BF86" s="212"/>
      <c r="BG86" s="212"/>
      <c r="BH86" s="212"/>
      <c r="BI86" s="212"/>
      <c r="BJ86" s="212"/>
    </row>
    <row r="87" spans="1:62" ht="18" customHeight="1" outlineLevel="1">
      <c r="A87" s="86">
        <v>40</v>
      </c>
      <c r="B87" s="88">
        <f>'Tong hop cac ma'!B87</f>
        <v>0</v>
      </c>
      <c r="C87" s="314">
        <f>'Tong hop cac ma'!C87</f>
        <v>0</v>
      </c>
      <c r="D87" s="197">
        <f t="shared" si="322"/>
        <v>0</v>
      </c>
      <c r="E87" s="213">
        <f>+'Tong hop cac ma'!S87</f>
        <v>0</v>
      </c>
      <c r="F87" s="214"/>
      <c r="G87" s="214"/>
      <c r="H87" s="214"/>
      <c r="I87" s="214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>
        <f t="shared" ref="AF87" si="383">IFERROR(SUM(F87:AC87)*0.2,0)</f>
        <v>0</v>
      </c>
      <c r="AG87" s="210"/>
      <c r="AH87" s="210" t="s">
        <v>192</v>
      </c>
      <c r="AI87" s="215">
        <f t="shared" ref="AI87" si="384">IFERROR(130*D87,0)</f>
        <v>0</v>
      </c>
      <c r="AJ87" s="198" cm="1">
        <f t="array" ref="AJ87">IFERROR(SUM(_xlfn._xlws.FILTER(E87:AI87,ISNUMBER(E87:AI87))),0)</f>
        <v>0</v>
      </c>
      <c r="AK87" s="198"/>
      <c r="AL87" s="216">
        <f t="shared" ref="AL87" si="385">IFERROR(AJ87*(1+AK87%),0)</f>
        <v>0</v>
      </c>
      <c r="AM87" s="233"/>
      <c r="AN87" s="201">
        <f t="shared" ref="AN87" si="386">IFERROR(SUM(E87:AC87)/D87,0)</f>
        <v>0</v>
      </c>
      <c r="AO87" s="255"/>
      <c r="AQ87" s="254"/>
      <c r="AR87" s="254"/>
      <c r="AS87" s="254"/>
      <c r="AT87" s="254"/>
      <c r="AU87" s="254"/>
      <c r="AV87" s="254"/>
      <c r="AY87" s="253">
        <f t="shared" ref="AY87" si="387">IFERROR((AQ87*20)/60,0)</f>
        <v>0</v>
      </c>
      <c r="AZ87" s="253">
        <f t="shared" ref="AZ87" si="388">IFERROR(AX87 + AY87 + BI87,0)</f>
        <v>0</v>
      </c>
      <c r="BA87" s="252">
        <f t="shared" ref="BA87" si="389">IFERROR(AZ87/8,0)</f>
        <v>0</v>
      </c>
      <c r="BB87" s="252">
        <f t="shared" ref="BB87" si="390">IFERROR(MAX(AQ87-BA87,0),0)</f>
        <v>0</v>
      </c>
      <c r="BD87" s="234">
        <f t="shared" ref="BD87" si="391">IFERROR(10000*D87,0)</f>
        <v>0</v>
      </c>
      <c r="BE87" s="234"/>
      <c r="BF87" s="234"/>
      <c r="BG87" s="234">
        <f t="shared" ref="BG87" si="392">IFERROR(-IF(AH87=$K$3,0,IF(AH87=$M$3,15*680*D87,IF(AH87=$O$3,30*680*D87,IF(AH87=0,50*680*D87,0)))),0)</f>
        <v>0</v>
      </c>
      <c r="BH87" s="234"/>
      <c r="BI87" s="234"/>
      <c r="BJ87" s="234"/>
    </row>
    <row r="88" spans="1:62" ht="18" hidden="1" customHeight="1" outlineLevel="1">
      <c r="A88" s="212"/>
      <c r="B88" s="88">
        <f>'Tong hop cac ma'!B88</f>
        <v>0</v>
      </c>
      <c r="C88" s="314">
        <f>'Tong hop cac ma'!C88</f>
        <v>0</v>
      </c>
      <c r="D88" s="197">
        <f t="shared" si="322"/>
        <v>0</v>
      </c>
      <c r="E88" s="228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29"/>
      <c r="AJ88" s="230"/>
      <c r="AK88" s="230"/>
      <c r="AL88" s="231"/>
      <c r="AM88" s="212"/>
      <c r="AN88" s="212"/>
      <c r="AO88" s="212"/>
      <c r="AP88" s="212"/>
      <c r="AQ88" s="212"/>
      <c r="AR88" s="212"/>
      <c r="AS88" s="212"/>
      <c r="AT88" s="212"/>
      <c r="AU88" s="212"/>
      <c r="AV88" s="212"/>
      <c r="AW88" s="212"/>
      <c r="AX88" s="212"/>
      <c r="AY88" s="212"/>
      <c r="AZ88" s="212"/>
      <c r="BA88" s="258"/>
      <c r="BB88" s="258"/>
      <c r="BC88" s="212"/>
      <c r="BD88" s="212"/>
      <c r="BE88" s="212"/>
      <c r="BF88" s="212"/>
      <c r="BG88" s="212"/>
      <c r="BH88" s="212"/>
      <c r="BI88" s="212"/>
      <c r="BJ88" s="212"/>
    </row>
    <row r="89" spans="1:62" ht="18" customHeight="1" outlineLevel="1">
      <c r="A89" s="89">
        <v>41</v>
      </c>
      <c r="B89" s="88">
        <f>'Tong hop cac ma'!B89</f>
        <v>0</v>
      </c>
      <c r="C89" s="314">
        <f>'Tong hop cac ma'!C89</f>
        <v>0</v>
      </c>
      <c r="D89" s="197">
        <f t="shared" si="322"/>
        <v>0</v>
      </c>
      <c r="E89" s="213">
        <f>+'Tong hop cac ma'!S89</f>
        <v>0</v>
      </c>
      <c r="F89" s="214"/>
      <c r="G89" s="214"/>
      <c r="H89" s="214"/>
      <c r="I89" s="214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>
        <f t="shared" ref="AF89" si="393">IFERROR(SUM(F89:AC89)*0.2,0)</f>
        <v>0</v>
      </c>
      <c r="AG89" s="210"/>
      <c r="AH89" s="210" t="s">
        <v>192</v>
      </c>
      <c r="AI89" s="215">
        <f t="shared" ref="AI89" si="394">IFERROR(130*D89,0)</f>
        <v>0</v>
      </c>
      <c r="AJ89" s="198" cm="1">
        <f t="array" ref="AJ89">IFERROR(SUM(_xlfn._xlws.FILTER(E89:AI89,ISNUMBER(E89:AI89))),0)</f>
        <v>0</v>
      </c>
      <c r="AK89" s="198"/>
      <c r="AL89" s="216">
        <f t="shared" ref="AL89" si="395">IFERROR(AJ89*(1+AK89%),0)</f>
        <v>0</v>
      </c>
      <c r="AM89" s="233"/>
      <c r="AN89" s="201">
        <f t="shared" ref="AN89" si="396">IFERROR(SUM(E89:AC89)/D89,0)</f>
        <v>0</v>
      </c>
      <c r="AO89" s="255"/>
      <c r="AQ89" s="254"/>
      <c r="AR89" s="254"/>
      <c r="AS89" s="254"/>
      <c r="AT89" s="254"/>
      <c r="AU89" s="254"/>
      <c r="AV89" s="254"/>
      <c r="AY89" s="253">
        <f t="shared" ref="AY89" si="397">IFERROR((AQ89*20)/60,0)</f>
        <v>0</v>
      </c>
      <c r="AZ89" s="253">
        <f t="shared" ref="AZ89" si="398">IFERROR(AX89 + AY89 + BI89,0)</f>
        <v>0</v>
      </c>
      <c r="BA89" s="252">
        <f t="shared" ref="BA89" si="399">IFERROR(AZ89/8,0)</f>
        <v>0</v>
      </c>
      <c r="BB89" s="252">
        <f t="shared" ref="BB89" si="400">IFERROR(MAX(AQ89-BA89,0),0)</f>
        <v>0</v>
      </c>
      <c r="BD89" s="234">
        <f t="shared" ref="BD89" si="401">IFERROR(10000*D89,0)</f>
        <v>0</v>
      </c>
      <c r="BE89" s="234"/>
      <c r="BF89" s="234"/>
      <c r="BG89" s="234">
        <f t="shared" ref="BG89" si="402">IFERROR(-IF(AH89=$K$3,0,IF(AH89=$M$3,15*680*D89,IF(AH89=$O$3,30*680*D89,IF(AH89=0,50*680*D89,0)))),0)</f>
        <v>0</v>
      </c>
      <c r="BH89" s="234"/>
      <c r="BI89" s="234"/>
      <c r="BJ89" s="234"/>
    </row>
    <row r="90" spans="1:62" ht="18" hidden="1" customHeight="1" outlineLevel="1">
      <c r="A90" s="81"/>
      <c r="B90" s="88">
        <f>'Tong hop cac ma'!B90</f>
        <v>0</v>
      </c>
      <c r="C90" s="314">
        <f>'Tong hop cac ma'!C90</f>
        <v>0</v>
      </c>
      <c r="D90" s="197">
        <f t="shared" si="322"/>
        <v>0</v>
      </c>
      <c r="E90" s="228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29"/>
      <c r="AJ90" s="230"/>
      <c r="AK90" s="230"/>
      <c r="AL90" s="231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212"/>
      <c r="AX90" s="212"/>
      <c r="AY90" s="212"/>
      <c r="AZ90" s="212"/>
      <c r="BA90" s="258"/>
      <c r="BB90" s="258"/>
      <c r="BC90" s="212"/>
      <c r="BD90" s="212"/>
      <c r="BE90" s="212"/>
      <c r="BF90" s="212"/>
      <c r="BG90" s="212"/>
      <c r="BH90" s="212"/>
      <c r="BI90" s="212"/>
      <c r="BJ90" s="212"/>
    </row>
    <row r="91" spans="1:62" ht="18" customHeight="1" outlineLevel="1">
      <c r="A91" s="86">
        <v>42</v>
      </c>
      <c r="B91" s="88">
        <f>'Tong hop cac ma'!B91</f>
        <v>0</v>
      </c>
      <c r="C91" s="314">
        <f>'Tong hop cac ma'!C91</f>
        <v>0</v>
      </c>
      <c r="D91" s="197">
        <f t="shared" si="322"/>
        <v>0</v>
      </c>
      <c r="E91" s="213">
        <f>+'Tong hop cac ma'!S91</f>
        <v>0</v>
      </c>
      <c r="F91" s="214"/>
      <c r="G91" s="214"/>
      <c r="H91" s="214"/>
      <c r="I91" s="214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>
        <f t="shared" ref="AF91" si="403">IFERROR(SUM(F91:AC91)*0.2,0)</f>
        <v>0</v>
      </c>
      <c r="AG91" s="210"/>
      <c r="AH91" s="210" t="s">
        <v>192</v>
      </c>
      <c r="AI91" s="215">
        <f t="shared" ref="AI91" si="404">IFERROR(130*D91,0)</f>
        <v>0</v>
      </c>
      <c r="AJ91" s="198" cm="1">
        <f t="array" ref="AJ91">IFERROR(SUM(_xlfn._xlws.FILTER(E91:AI91,ISNUMBER(E91:AI91))),0)</f>
        <v>0</v>
      </c>
      <c r="AK91" s="198"/>
      <c r="AL91" s="216">
        <f t="shared" ref="AL91" si="405">IFERROR(AJ91*(1+AK91%),0)</f>
        <v>0</v>
      </c>
      <c r="AM91" s="233"/>
      <c r="AN91" s="201">
        <f t="shared" ref="AN91" si="406">IFERROR(SUM(E91:AC91)/D91,0)</f>
        <v>0</v>
      </c>
      <c r="AO91" s="255"/>
      <c r="AQ91" s="254"/>
      <c r="AR91" s="254"/>
      <c r="AS91" s="254"/>
      <c r="AT91" s="254"/>
      <c r="AU91" s="254"/>
      <c r="AV91" s="254"/>
      <c r="AY91" s="253">
        <f t="shared" ref="AY91" si="407">IFERROR((AQ91*20)/60,0)</f>
        <v>0</v>
      </c>
      <c r="AZ91" s="253">
        <f t="shared" ref="AZ91" si="408">IFERROR(AX91 + AY91 + BI91,0)</f>
        <v>0</v>
      </c>
      <c r="BA91" s="252">
        <f t="shared" ref="BA91" si="409">IFERROR(AZ91/8,0)</f>
        <v>0</v>
      </c>
      <c r="BB91" s="252">
        <f t="shared" ref="BB91" si="410">IFERROR(MAX(AQ91-BA91,0),0)</f>
        <v>0</v>
      </c>
      <c r="BD91" s="234">
        <f t="shared" ref="BD91" si="411">IFERROR(10000*D91,0)</f>
        <v>0</v>
      </c>
      <c r="BE91" s="234"/>
      <c r="BF91" s="234"/>
      <c r="BG91" s="234">
        <f t="shared" ref="BG91" si="412">IFERROR(-IF(AH91=$K$3,0,IF(AH91=$M$3,15*680*D91,IF(AH91=$O$3,30*680*D91,IF(AH91=0,50*680*D91,0)))),0)</f>
        <v>0</v>
      </c>
      <c r="BH91" s="234"/>
      <c r="BI91" s="234"/>
      <c r="BJ91" s="234"/>
    </row>
    <row r="92" spans="1:62" ht="18" hidden="1" customHeight="1" outlineLevel="1">
      <c r="A92" s="212"/>
      <c r="B92" s="88">
        <f>'Tong hop cac ma'!B92</f>
        <v>0</v>
      </c>
      <c r="C92" s="314">
        <f>'Tong hop cac ma'!C92</f>
        <v>0</v>
      </c>
      <c r="D92" s="197">
        <f t="shared" si="322"/>
        <v>0</v>
      </c>
      <c r="E92" s="228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29"/>
      <c r="AJ92" s="230"/>
      <c r="AK92" s="230"/>
      <c r="AL92" s="231"/>
      <c r="AM92" s="212"/>
      <c r="AN92" s="212"/>
      <c r="AO92" s="212"/>
      <c r="AP92" s="212"/>
      <c r="AQ92" s="212"/>
      <c r="AR92" s="212"/>
      <c r="AS92" s="212"/>
      <c r="AT92" s="212"/>
      <c r="AU92" s="212"/>
      <c r="AV92" s="212"/>
      <c r="AW92" s="212"/>
      <c r="AX92" s="212"/>
      <c r="AY92" s="212"/>
      <c r="AZ92" s="212"/>
      <c r="BA92" s="258"/>
      <c r="BB92" s="258"/>
      <c r="BC92" s="212"/>
      <c r="BD92" s="212"/>
      <c r="BE92" s="212"/>
      <c r="BF92" s="212"/>
      <c r="BG92" s="212"/>
      <c r="BH92" s="212"/>
      <c r="BI92" s="212"/>
      <c r="BJ92" s="212"/>
    </row>
    <row r="93" spans="1:62" ht="18" customHeight="1">
      <c r="A93" s="89">
        <v>43</v>
      </c>
      <c r="B93" s="88">
        <f>'Tong hop cac ma'!B93</f>
        <v>0</v>
      </c>
      <c r="C93" s="314">
        <f>'Tong hop cac ma'!C93</f>
        <v>0</v>
      </c>
      <c r="D93" s="197">
        <f t="shared" si="322"/>
        <v>0</v>
      </c>
      <c r="E93" s="213">
        <f>+'Tong hop cac ma'!S93</f>
        <v>0</v>
      </c>
      <c r="F93" s="214"/>
      <c r="G93" s="214"/>
      <c r="H93" s="214"/>
      <c r="I93" s="214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>
        <f t="shared" ref="AF93" si="413">IFERROR(SUM(F93:AC93)*0.2,0)</f>
        <v>0</v>
      </c>
      <c r="AG93" s="210"/>
      <c r="AH93" s="210" t="s">
        <v>192</v>
      </c>
      <c r="AI93" s="215">
        <f t="shared" ref="AI93" si="414">IFERROR(130*D93,0)</f>
        <v>0</v>
      </c>
      <c r="AJ93" s="198" cm="1">
        <f t="array" ref="AJ93">IFERROR(SUM(_xlfn._xlws.FILTER(E93:AI93,ISNUMBER(E93:AI93))),0)</f>
        <v>0</v>
      </c>
      <c r="AK93" s="198"/>
      <c r="AL93" s="216">
        <f t="shared" ref="AL93" si="415">IFERROR(AJ93*(1+AK93%),0)</f>
        <v>0</v>
      </c>
      <c r="AM93" s="233"/>
      <c r="AN93" s="201">
        <f t="shared" ref="AN93" si="416">IFERROR(SUM(E93:AC93)/D93,0)</f>
        <v>0</v>
      </c>
      <c r="AO93" s="255"/>
      <c r="AQ93" s="254"/>
      <c r="AR93" s="254"/>
      <c r="AS93" s="254"/>
      <c r="AT93" s="254"/>
      <c r="AU93" s="254"/>
      <c r="AV93" s="254"/>
      <c r="AY93" s="253">
        <f t="shared" ref="AY93" si="417">IFERROR((AQ93*20)/60,0)</f>
        <v>0</v>
      </c>
      <c r="AZ93" s="253">
        <f t="shared" ref="AZ93" si="418">IFERROR(AX93 + AY93 + BI93,0)</f>
        <v>0</v>
      </c>
      <c r="BA93" s="252">
        <f t="shared" ref="BA93" si="419">IFERROR(AZ93/8,0)</f>
        <v>0</v>
      </c>
      <c r="BB93" s="252">
        <f t="shared" ref="BB93" si="420">IFERROR(MAX(AQ93-BA93,0),0)</f>
        <v>0</v>
      </c>
      <c r="BD93" s="234">
        <f t="shared" ref="BD93" si="421">IFERROR(10000*D93,0)</f>
        <v>0</v>
      </c>
      <c r="BE93" s="234"/>
      <c r="BF93" s="234"/>
      <c r="BG93" s="234">
        <f t="shared" ref="BG93" si="422">IFERROR(-IF(AH93=$K$3,0,IF(AH93=$M$3,15*680*D93,IF(AH93=$O$3,30*680*D93,IF(AH93=0,50*680*D93,0)))),0)</f>
        <v>0</v>
      </c>
      <c r="BH93" s="234"/>
      <c r="BI93" s="234"/>
      <c r="BJ93" s="234"/>
    </row>
    <row r="94" spans="1:62" ht="18" hidden="1" customHeight="1" outlineLevel="1">
      <c r="A94" s="81"/>
      <c r="B94" s="88">
        <f>'Tong hop cac ma'!B94</f>
        <v>0</v>
      </c>
      <c r="C94" s="314">
        <f>'Tong hop cac ma'!C94</f>
        <v>0</v>
      </c>
      <c r="D94" s="197">
        <f t="shared" si="322"/>
        <v>0</v>
      </c>
      <c r="E94" s="228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29"/>
      <c r="AJ94" s="230"/>
      <c r="AK94" s="230"/>
      <c r="AL94" s="231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212"/>
      <c r="AX94" s="212"/>
      <c r="AY94" s="212"/>
      <c r="AZ94" s="212"/>
      <c r="BA94" s="258"/>
      <c r="BB94" s="258"/>
      <c r="BC94" s="212"/>
      <c r="BD94" s="212"/>
      <c r="BE94" s="212"/>
      <c r="BF94" s="212"/>
      <c r="BG94" s="212"/>
      <c r="BH94" s="212"/>
      <c r="BI94" s="212"/>
      <c r="BJ94" s="212"/>
    </row>
    <row r="95" spans="1:62" ht="18" customHeight="1" outlineLevel="1">
      <c r="A95" s="86">
        <v>44</v>
      </c>
      <c r="B95" s="88">
        <f>'Tong hop cac ma'!B95</f>
        <v>0</v>
      </c>
      <c r="C95" s="314">
        <f>'Tong hop cac ma'!C95</f>
        <v>0</v>
      </c>
      <c r="D95" s="197">
        <f t="shared" si="322"/>
        <v>0</v>
      </c>
      <c r="E95" s="213">
        <f>+'Tong hop cac ma'!S95</f>
        <v>0</v>
      </c>
      <c r="F95" s="214"/>
      <c r="G95" s="214"/>
      <c r="H95" s="214"/>
      <c r="I95" s="214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>
        <f t="shared" ref="AF95" si="423">IFERROR(SUM(F95:AC95)*0.2,0)</f>
        <v>0</v>
      </c>
      <c r="AG95" s="210"/>
      <c r="AH95" s="210" t="s">
        <v>192</v>
      </c>
      <c r="AI95" s="215">
        <f t="shared" ref="AI95" si="424">IFERROR(130*D95,0)</f>
        <v>0</v>
      </c>
      <c r="AJ95" s="198" cm="1">
        <f t="array" ref="AJ95">IFERROR(SUM(_xlfn._xlws.FILTER(E95:AI95,ISNUMBER(E95:AI95))),0)</f>
        <v>0</v>
      </c>
      <c r="AK95" s="198"/>
      <c r="AL95" s="216">
        <f t="shared" ref="AL95" si="425">IFERROR(AJ95*(1+AK95%),0)</f>
        <v>0</v>
      </c>
      <c r="AM95" s="233"/>
      <c r="AN95" s="201">
        <f t="shared" ref="AN95" si="426">IFERROR(SUM(E95:AC95)/D95,0)</f>
        <v>0</v>
      </c>
      <c r="AO95" s="255"/>
      <c r="AQ95" s="254"/>
      <c r="AR95" s="254"/>
      <c r="AS95" s="254"/>
      <c r="AT95" s="254"/>
      <c r="AU95" s="254"/>
      <c r="AV95" s="254"/>
      <c r="AY95" s="253">
        <f t="shared" ref="AY95" si="427">IFERROR((AQ95*20)/60,0)</f>
        <v>0</v>
      </c>
      <c r="AZ95" s="253">
        <f t="shared" ref="AZ95" si="428">IFERROR(AX95 + AY95 + BI95,0)</f>
        <v>0</v>
      </c>
      <c r="BA95" s="252">
        <f t="shared" ref="BA95" si="429">IFERROR(AZ95/8,0)</f>
        <v>0</v>
      </c>
      <c r="BB95" s="252">
        <f t="shared" ref="BB95" si="430">IFERROR(MAX(AQ95-BA95,0),0)</f>
        <v>0</v>
      </c>
      <c r="BD95" s="234">
        <f t="shared" ref="BD95" si="431">IFERROR(10000*D95,0)</f>
        <v>0</v>
      </c>
      <c r="BE95" s="234"/>
      <c r="BF95" s="234"/>
      <c r="BG95" s="234">
        <f t="shared" ref="BG95" si="432">IFERROR(-IF(AH95=$K$3,0,IF(AH95=$M$3,15*680*D95,IF(AH95=$O$3,30*680*D95,IF(AH95=0,50*680*D95,0)))),0)</f>
        <v>0</v>
      </c>
      <c r="BH95" s="234"/>
      <c r="BI95" s="234"/>
      <c r="BJ95" s="234"/>
    </row>
    <row r="96" spans="1:62" ht="18" hidden="1" customHeight="1">
      <c r="A96" s="212"/>
      <c r="B96" s="88">
        <f>'Tong hop cac ma'!B96</f>
        <v>0</v>
      </c>
      <c r="C96" s="314">
        <f>'Tong hop cac ma'!C96</f>
        <v>0</v>
      </c>
      <c r="D96" s="197">
        <f t="shared" si="322"/>
        <v>0</v>
      </c>
      <c r="E96" s="228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29"/>
      <c r="AJ96" s="230"/>
      <c r="AK96" s="230"/>
      <c r="AL96" s="231"/>
      <c r="AM96" s="212"/>
      <c r="AN96" s="212"/>
      <c r="AO96" s="212"/>
      <c r="AP96" s="212"/>
      <c r="AQ96" s="212"/>
      <c r="AR96" s="212"/>
      <c r="AS96" s="212"/>
      <c r="AT96" s="212"/>
      <c r="AU96" s="212"/>
      <c r="AV96" s="212"/>
      <c r="AW96" s="212"/>
      <c r="AX96" s="212"/>
      <c r="AY96" s="212"/>
      <c r="AZ96" s="212"/>
      <c r="BA96" s="258"/>
      <c r="BB96" s="258"/>
      <c r="BC96" s="212"/>
      <c r="BD96" s="212"/>
      <c r="BE96" s="212"/>
      <c r="BF96" s="212"/>
      <c r="BG96" s="212"/>
      <c r="BH96" s="212"/>
      <c r="BI96" s="212"/>
      <c r="BJ96" s="212"/>
    </row>
    <row r="97" spans="1:62" ht="18" customHeight="1">
      <c r="A97" s="89">
        <v>45</v>
      </c>
      <c r="B97" s="88">
        <f>'Tong hop cac ma'!B97</f>
        <v>0</v>
      </c>
      <c r="C97" s="314">
        <f>'Tong hop cac ma'!C97</f>
        <v>0</v>
      </c>
      <c r="D97" s="197">
        <f t="shared" si="322"/>
        <v>0</v>
      </c>
      <c r="E97" s="213">
        <f>+'Tong hop cac ma'!S97</f>
        <v>0</v>
      </c>
      <c r="F97" s="214"/>
      <c r="G97" s="214"/>
      <c r="H97" s="214"/>
      <c r="I97" s="214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>
        <f t="shared" ref="AF97" si="433">IFERROR(SUM(F97:AC97)*0.2,0)</f>
        <v>0</v>
      </c>
      <c r="AG97" s="210"/>
      <c r="AH97" s="210" t="s">
        <v>192</v>
      </c>
      <c r="AI97" s="215">
        <f t="shared" ref="AI97" si="434">IFERROR(130*D97,0)</f>
        <v>0</v>
      </c>
      <c r="AJ97" s="198" cm="1">
        <f t="array" ref="AJ97">IFERROR(SUM(_xlfn._xlws.FILTER(E97:AI97,ISNUMBER(E97:AI97))),0)</f>
        <v>0</v>
      </c>
      <c r="AK97" s="198"/>
      <c r="AL97" s="216">
        <f t="shared" ref="AL97" si="435">IFERROR(AJ97*(1+AK97%),0)</f>
        <v>0</v>
      </c>
      <c r="AM97" s="233"/>
      <c r="AN97" s="201">
        <f t="shared" ref="AN97" si="436">IFERROR(SUM(E97:AC97)/D97,0)</f>
        <v>0</v>
      </c>
      <c r="AO97" s="255"/>
      <c r="AQ97" s="254"/>
      <c r="AR97" s="254"/>
      <c r="AS97" s="254"/>
      <c r="AT97" s="254"/>
      <c r="AU97" s="254"/>
      <c r="AV97" s="254"/>
      <c r="AY97" s="253">
        <f t="shared" ref="AY97" si="437">IFERROR((AQ97*20)/60,0)</f>
        <v>0</v>
      </c>
      <c r="AZ97" s="253">
        <f t="shared" ref="AZ97" si="438">IFERROR(AX97 + AY97 + BI97,0)</f>
        <v>0</v>
      </c>
      <c r="BA97" s="252">
        <f t="shared" ref="BA97" si="439">IFERROR(AZ97/8,0)</f>
        <v>0</v>
      </c>
      <c r="BB97" s="252">
        <f t="shared" ref="BB97" si="440">IFERROR(MAX(AQ97-BA97,0),0)</f>
        <v>0</v>
      </c>
      <c r="BD97" s="234">
        <f t="shared" ref="BD97" si="441">IFERROR(10000*D97,0)</f>
        <v>0</v>
      </c>
      <c r="BE97" s="234"/>
      <c r="BF97" s="234"/>
      <c r="BG97" s="234">
        <f t="shared" ref="BG97" si="442">IFERROR(-IF(AH97=$K$3,0,IF(AH97=$M$3,15*680*D97,IF(AH97=$O$3,30*680*D97,IF(AH97=0,50*680*D97,0)))),0)</f>
        <v>0</v>
      </c>
      <c r="BH97" s="234"/>
      <c r="BI97" s="234"/>
      <c r="BJ97" s="234"/>
    </row>
    <row r="98" spans="1:62" ht="18" hidden="1" customHeight="1">
      <c r="A98" s="81"/>
      <c r="B98" s="88">
        <f>'Tong hop cac ma'!B98</f>
        <v>0</v>
      </c>
      <c r="C98" s="314">
        <f>'Tong hop cac ma'!C98</f>
        <v>0</v>
      </c>
      <c r="D98" s="197">
        <f t="shared" si="322"/>
        <v>0</v>
      </c>
      <c r="E98" s="228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29"/>
      <c r="AJ98" s="230"/>
      <c r="AK98" s="230"/>
      <c r="AL98" s="231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212"/>
      <c r="AX98" s="212"/>
      <c r="AY98" s="212"/>
      <c r="AZ98" s="212"/>
      <c r="BA98" s="258"/>
      <c r="BB98" s="258"/>
      <c r="BC98" s="212"/>
      <c r="BD98" s="212"/>
      <c r="BE98" s="212"/>
      <c r="BF98" s="212"/>
      <c r="BG98" s="212"/>
      <c r="BH98" s="212"/>
      <c r="BI98" s="212"/>
      <c r="BJ98" s="212"/>
    </row>
    <row r="99" spans="1:62" ht="18" customHeight="1">
      <c r="A99" s="86">
        <v>46</v>
      </c>
      <c r="B99" s="88">
        <f>'Tong hop cac ma'!B99</f>
        <v>0</v>
      </c>
      <c r="C99" s="314">
        <f>'Tong hop cac ma'!C99</f>
        <v>0</v>
      </c>
      <c r="D99" s="197">
        <f t="shared" si="322"/>
        <v>0</v>
      </c>
      <c r="E99" s="213">
        <f>+'Tong hop cac ma'!S99</f>
        <v>0</v>
      </c>
      <c r="F99" s="214"/>
      <c r="G99" s="214"/>
      <c r="H99" s="214"/>
      <c r="I99" s="214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>
        <f t="shared" ref="AF99" si="443">IFERROR(SUM(F99:AC99)*0.2,0)</f>
        <v>0</v>
      </c>
      <c r="AG99" s="210"/>
      <c r="AH99" s="210" t="s">
        <v>192</v>
      </c>
      <c r="AI99" s="215">
        <f t="shared" ref="AI99" si="444">IFERROR(130*D99,0)</f>
        <v>0</v>
      </c>
      <c r="AJ99" s="198" cm="1">
        <f t="array" ref="AJ99">IFERROR(SUM(_xlfn._xlws.FILTER(E99:AI99,ISNUMBER(E99:AI99))),0)</f>
        <v>0</v>
      </c>
      <c r="AK99" s="198"/>
      <c r="AL99" s="216">
        <f t="shared" ref="AL99" si="445">IFERROR(AJ99*(1+AK99%),0)</f>
        <v>0</v>
      </c>
      <c r="AM99" s="233"/>
      <c r="AN99" s="201">
        <f t="shared" ref="AN99" si="446">IFERROR(SUM(E99:AC99)/D99,0)</f>
        <v>0</v>
      </c>
      <c r="AO99" s="255"/>
      <c r="AQ99" s="254"/>
      <c r="AR99" s="254"/>
      <c r="AS99" s="254"/>
      <c r="AT99" s="254"/>
      <c r="AU99" s="254"/>
      <c r="AV99" s="254"/>
      <c r="AY99" s="253">
        <f t="shared" ref="AY99" si="447">IFERROR((AQ99*20)/60,0)</f>
        <v>0</v>
      </c>
      <c r="AZ99" s="253">
        <f t="shared" ref="AZ99" si="448">IFERROR(AX99 + AY99 + BI99,0)</f>
        <v>0</v>
      </c>
      <c r="BA99" s="252">
        <f t="shared" ref="BA99" si="449">IFERROR(AZ99/8,0)</f>
        <v>0</v>
      </c>
      <c r="BB99" s="252">
        <f t="shared" ref="BB99" si="450">IFERROR(MAX(AQ99-BA99,0),0)</f>
        <v>0</v>
      </c>
      <c r="BD99" s="234">
        <f t="shared" ref="BD99" si="451">IFERROR(10000*D99,0)</f>
        <v>0</v>
      </c>
      <c r="BE99" s="234"/>
      <c r="BF99" s="234"/>
      <c r="BG99" s="234">
        <f t="shared" ref="BG99" si="452">IFERROR(-IF(AH99=$K$3,0,IF(AH99=$M$3,15*680*D99,IF(AH99=$O$3,30*680*D99,IF(AH99=0,50*680*D99,0)))),0)</f>
        <v>0</v>
      </c>
      <c r="BH99" s="234"/>
      <c r="BI99" s="234"/>
      <c r="BJ99" s="234"/>
    </row>
    <row r="100" spans="1:62" ht="18" hidden="1" customHeight="1">
      <c r="A100" s="212"/>
      <c r="B100" s="88">
        <f>'Tong hop cac ma'!B100</f>
        <v>0</v>
      </c>
      <c r="C100" s="314">
        <f>'Tong hop cac ma'!C100</f>
        <v>0</v>
      </c>
      <c r="D100" s="197">
        <f t="shared" si="322"/>
        <v>0</v>
      </c>
      <c r="E100" s="228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29"/>
      <c r="AJ100" s="230"/>
      <c r="AK100" s="230"/>
      <c r="AL100" s="231"/>
      <c r="AM100" s="212"/>
      <c r="AN100" s="212"/>
      <c r="AO100" s="212"/>
      <c r="AP100" s="212"/>
      <c r="AQ100" s="212"/>
      <c r="AR100" s="212"/>
      <c r="AS100" s="212"/>
      <c r="AT100" s="212"/>
      <c r="AU100" s="212"/>
      <c r="AV100" s="212"/>
      <c r="AW100" s="212"/>
      <c r="AX100" s="212"/>
      <c r="AY100" s="212"/>
      <c r="AZ100" s="212"/>
      <c r="BA100" s="258"/>
      <c r="BB100" s="258"/>
      <c r="BC100" s="212"/>
      <c r="BD100" s="212"/>
      <c r="BE100" s="212"/>
      <c r="BF100" s="212"/>
      <c r="BG100" s="212"/>
      <c r="BH100" s="212"/>
      <c r="BI100" s="212"/>
      <c r="BJ100" s="212"/>
    </row>
    <row r="101" spans="1:62" ht="18" customHeight="1">
      <c r="A101" s="89">
        <v>47</v>
      </c>
      <c r="B101" s="88">
        <f>'Tong hop cac ma'!B101</f>
        <v>0</v>
      </c>
      <c r="C101" s="314">
        <f>'Tong hop cac ma'!C101</f>
        <v>0</v>
      </c>
      <c r="D101" s="197">
        <f t="shared" si="322"/>
        <v>0</v>
      </c>
      <c r="E101" s="213">
        <f>+'Tong hop cac ma'!S101</f>
        <v>0</v>
      </c>
      <c r="F101" s="214"/>
      <c r="G101" s="214"/>
      <c r="H101" s="214"/>
      <c r="I101" s="214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>
        <f t="shared" ref="AF101" si="453">IFERROR(SUM(F101:AC101)*0.2,0)</f>
        <v>0</v>
      </c>
      <c r="AG101" s="210"/>
      <c r="AH101" s="210" t="s">
        <v>192</v>
      </c>
      <c r="AI101" s="215">
        <f t="shared" ref="AI101" si="454">IFERROR(130*D101,0)</f>
        <v>0</v>
      </c>
      <c r="AJ101" s="198" cm="1">
        <f t="array" ref="AJ101">IFERROR(SUM(_xlfn._xlws.FILTER(E101:AI101,ISNUMBER(E101:AI101))),0)</f>
        <v>0</v>
      </c>
      <c r="AK101" s="198"/>
      <c r="AL101" s="216">
        <f t="shared" ref="AL101" si="455">IFERROR(AJ101*(1+AK101%),0)</f>
        <v>0</v>
      </c>
      <c r="AM101" s="233"/>
      <c r="AN101" s="201">
        <f t="shared" ref="AN101" si="456">IFERROR(SUM(E101:AC101)/D101,0)</f>
        <v>0</v>
      </c>
      <c r="AO101" s="255"/>
      <c r="AQ101" s="254"/>
      <c r="AR101" s="254"/>
      <c r="AS101" s="254"/>
      <c r="AT101" s="254"/>
      <c r="AU101" s="254"/>
      <c r="AV101" s="254"/>
      <c r="AY101" s="253">
        <f t="shared" ref="AY101" si="457">IFERROR((AQ101*20)/60,0)</f>
        <v>0</v>
      </c>
      <c r="AZ101" s="253">
        <f t="shared" ref="AZ101" si="458">IFERROR(AX101 + AY101 + BI101,0)</f>
        <v>0</v>
      </c>
      <c r="BA101" s="252">
        <f t="shared" ref="BA101" si="459">IFERROR(AZ101/8,0)</f>
        <v>0</v>
      </c>
      <c r="BB101" s="252">
        <f t="shared" ref="BB101" si="460">IFERROR(MAX(AQ101-BA101,0),0)</f>
        <v>0</v>
      </c>
      <c r="BD101" s="234">
        <f t="shared" ref="BD101" si="461">IFERROR(10000*D101,0)</f>
        <v>0</v>
      </c>
      <c r="BE101" s="234"/>
      <c r="BF101" s="234"/>
      <c r="BG101" s="234">
        <f t="shared" ref="BG101" si="462">IFERROR(-IF(AH101=$K$3,0,IF(AH101=$M$3,15*680*D101,IF(AH101=$O$3,30*680*D101,IF(AH101=0,50*680*D101,0)))),0)</f>
        <v>0</v>
      </c>
      <c r="BH101" s="234"/>
      <c r="BI101" s="234"/>
      <c r="BJ101" s="234"/>
    </row>
    <row r="102" spans="1:62" ht="18" hidden="1" customHeight="1">
      <c r="A102" s="81"/>
      <c r="B102" s="88">
        <f>'Tong hop cac ma'!B102</f>
        <v>0</v>
      </c>
      <c r="C102" s="314">
        <f>'Tong hop cac ma'!C102</f>
        <v>0</v>
      </c>
      <c r="D102" s="197">
        <f t="shared" si="322"/>
        <v>0</v>
      </c>
      <c r="E102" s="228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29"/>
      <c r="AJ102" s="230"/>
      <c r="AK102" s="230"/>
      <c r="AL102" s="231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212"/>
      <c r="AX102" s="212"/>
      <c r="AY102" s="212"/>
      <c r="AZ102" s="212"/>
      <c r="BA102" s="258"/>
      <c r="BB102" s="258"/>
      <c r="BC102" s="212"/>
      <c r="BD102" s="212"/>
      <c r="BE102" s="212"/>
      <c r="BF102" s="212"/>
      <c r="BG102" s="212"/>
      <c r="BH102" s="212"/>
      <c r="BI102" s="212"/>
      <c r="BJ102" s="212"/>
    </row>
    <row r="103" spans="1:62" ht="18" customHeight="1">
      <c r="A103" s="86">
        <v>48</v>
      </c>
      <c r="B103" s="88">
        <f>'Tong hop cac ma'!B103</f>
        <v>0</v>
      </c>
      <c r="C103" s="314">
        <f>'Tong hop cac ma'!C103</f>
        <v>0</v>
      </c>
      <c r="D103" s="197">
        <f t="shared" si="322"/>
        <v>0</v>
      </c>
      <c r="E103" s="213">
        <f>+'Tong hop cac ma'!S103</f>
        <v>0</v>
      </c>
      <c r="F103" s="214"/>
      <c r="G103" s="214"/>
      <c r="H103" s="214"/>
      <c r="I103" s="214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>
        <f t="shared" ref="AF103" si="463">IFERROR(SUM(F103:AC103)*0.2,0)</f>
        <v>0</v>
      </c>
      <c r="AG103" s="210"/>
      <c r="AH103" s="210" t="s">
        <v>192</v>
      </c>
      <c r="AI103" s="215">
        <f t="shared" ref="AI103" si="464">IFERROR(130*D103,0)</f>
        <v>0</v>
      </c>
      <c r="AJ103" s="198" cm="1">
        <f t="array" ref="AJ103">IFERROR(SUM(_xlfn._xlws.FILTER(E103:AI103,ISNUMBER(E103:AI103))),0)</f>
        <v>0</v>
      </c>
      <c r="AK103" s="198"/>
      <c r="AL103" s="216">
        <f t="shared" ref="AL103" si="465">IFERROR(AJ103*(1+AK103%),0)</f>
        <v>0</v>
      </c>
      <c r="AM103" s="233"/>
      <c r="AN103" s="201">
        <f t="shared" ref="AN103" si="466">IFERROR(SUM(E103:AC103)/D103,0)</f>
        <v>0</v>
      </c>
      <c r="AO103" s="255"/>
      <c r="AQ103" s="254"/>
      <c r="AR103" s="254"/>
      <c r="AS103" s="254"/>
      <c r="AT103" s="254"/>
      <c r="AU103" s="254"/>
      <c r="AV103" s="254"/>
      <c r="AY103" s="253">
        <f t="shared" ref="AY103" si="467">IFERROR((AQ103*20)/60,0)</f>
        <v>0</v>
      </c>
      <c r="AZ103" s="253">
        <f t="shared" ref="AZ103" si="468">IFERROR(AX103 + AY103 + BI103,0)</f>
        <v>0</v>
      </c>
      <c r="BA103" s="252">
        <f t="shared" ref="BA103" si="469">IFERROR(AZ103/8,0)</f>
        <v>0</v>
      </c>
      <c r="BB103" s="252">
        <f t="shared" ref="BB103" si="470">IFERROR(MAX(AQ103-BA103,0),0)</f>
        <v>0</v>
      </c>
      <c r="BD103" s="234">
        <f t="shared" ref="BD103" si="471">IFERROR(10000*D103,0)</f>
        <v>0</v>
      </c>
      <c r="BE103" s="234"/>
      <c r="BF103" s="234"/>
      <c r="BG103" s="234">
        <f t="shared" ref="BG103" si="472">IFERROR(-IF(AH103=$K$3,0,IF(AH103=$M$3,15*680*D103,IF(AH103=$O$3,30*680*D103,IF(AH103=0,50*680*D103,0)))),0)</f>
        <v>0</v>
      </c>
      <c r="BH103" s="234"/>
      <c r="BI103" s="234"/>
      <c r="BJ103" s="234"/>
    </row>
    <row r="104" spans="1:62" ht="18" hidden="1" customHeight="1">
      <c r="A104" s="212"/>
      <c r="B104" s="88">
        <f>'Tong hop cac ma'!B104</f>
        <v>0</v>
      </c>
      <c r="C104" s="314">
        <f>'Tong hop cac ma'!C104</f>
        <v>0</v>
      </c>
      <c r="D104" s="197">
        <f t="shared" si="322"/>
        <v>0</v>
      </c>
      <c r="E104" s="228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29"/>
      <c r="AJ104" s="230"/>
      <c r="AK104" s="230"/>
      <c r="AL104" s="231"/>
      <c r="AM104" s="212"/>
      <c r="AN104" s="212"/>
      <c r="AO104" s="212"/>
      <c r="AP104" s="212"/>
      <c r="AQ104" s="212"/>
      <c r="AR104" s="212"/>
      <c r="AS104" s="212"/>
      <c r="AT104" s="212"/>
      <c r="AU104" s="212"/>
      <c r="AV104" s="212"/>
      <c r="AW104" s="212"/>
      <c r="AX104" s="212"/>
      <c r="AY104" s="212"/>
      <c r="AZ104" s="212"/>
      <c r="BA104" s="258"/>
      <c r="BB104" s="258"/>
      <c r="BC104" s="212"/>
      <c r="BD104" s="212"/>
      <c r="BE104" s="212"/>
      <c r="BF104" s="212"/>
      <c r="BG104" s="212"/>
      <c r="BH104" s="212"/>
      <c r="BI104" s="212"/>
      <c r="BJ104" s="212"/>
    </row>
    <row r="105" spans="1:62" ht="18" customHeight="1">
      <c r="A105" s="89">
        <v>49</v>
      </c>
      <c r="B105" s="88">
        <f>'Tong hop cac ma'!B105</f>
        <v>0</v>
      </c>
      <c r="C105" s="314">
        <f>'Tong hop cac ma'!C105</f>
        <v>0</v>
      </c>
      <c r="D105" s="197">
        <f t="shared" si="322"/>
        <v>0</v>
      </c>
      <c r="E105" s="213">
        <f>+'Tong hop cac ma'!S105</f>
        <v>0</v>
      </c>
      <c r="F105" s="214"/>
      <c r="G105" s="214"/>
      <c r="H105" s="214"/>
      <c r="I105" s="214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>
        <f t="shared" ref="AF105" si="473">IFERROR(SUM(F105:AC105)*0.2,0)</f>
        <v>0</v>
      </c>
      <c r="AG105" s="210"/>
      <c r="AH105" s="210" t="s">
        <v>192</v>
      </c>
      <c r="AI105" s="215">
        <f t="shared" ref="AI105" si="474">IFERROR(130*D105,0)</f>
        <v>0</v>
      </c>
      <c r="AJ105" s="198" cm="1">
        <f t="array" ref="AJ105">IFERROR(SUM(_xlfn._xlws.FILTER(E105:AI105,ISNUMBER(E105:AI105))),0)</f>
        <v>0</v>
      </c>
      <c r="AK105" s="198"/>
      <c r="AL105" s="216">
        <f t="shared" ref="AL105" si="475">IFERROR(AJ105*(1+AK105%),0)</f>
        <v>0</v>
      </c>
      <c r="AM105" s="233"/>
      <c r="AN105" s="201">
        <f t="shared" ref="AN105" si="476">IFERROR(SUM(E105:AC105)/D105,0)</f>
        <v>0</v>
      </c>
      <c r="AO105" s="255"/>
      <c r="AQ105" s="254"/>
      <c r="AR105" s="254"/>
      <c r="AS105" s="254"/>
      <c r="AT105" s="254"/>
      <c r="AU105" s="254"/>
      <c r="AV105" s="254"/>
      <c r="AY105" s="253">
        <f t="shared" ref="AY105" si="477">IFERROR((AQ105*20)/60,0)</f>
        <v>0</v>
      </c>
      <c r="AZ105" s="253">
        <f t="shared" ref="AZ105" si="478">IFERROR(AX105 + AY105 + BI105,0)</f>
        <v>0</v>
      </c>
      <c r="BA105" s="252">
        <f t="shared" ref="BA105" si="479">IFERROR(AZ105/8,0)</f>
        <v>0</v>
      </c>
      <c r="BB105" s="252">
        <f t="shared" ref="BB105" si="480">IFERROR(MAX(AQ105-BA105,0),0)</f>
        <v>0</v>
      </c>
      <c r="BD105" s="234">
        <f t="shared" ref="BD105" si="481">IFERROR(10000*D105,0)</f>
        <v>0</v>
      </c>
      <c r="BE105" s="234"/>
      <c r="BF105" s="234"/>
      <c r="BG105" s="234">
        <f t="shared" ref="BG105" si="482">IFERROR(-IF(AH105=$K$3,0,IF(AH105=$M$3,15*680*D105,IF(AH105=$O$3,30*680*D105,IF(AH105=0,50*680*D105,0)))),0)</f>
        <v>0</v>
      </c>
      <c r="BH105" s="234"/>
      <c r="BI105" s="234"/>
      <c r="BJ105" s="234"/>
    </row>
    <row r="106" spans="1:62" ht="18" hidden="1" customHeight="1">
      <c r="A106" s="81"/>
      <c r="B106" s="88">
        <f>'Tong hop cac ma'!B106</f>
        <v>0</v>
      </c>
      <c r="C106" s="314">
        <f>'Tong hop cac ma'!C106</f>
        <v>0</v>
      </c>
      <c r="D106" s="197">
        <f t="shared" si="322"/>
        <v>0</v>
      </c>
      <c r="E106" s="228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29"/>
      <c r="AJ106" s="230"/>
      <c r="AK106" s="230"/>
      <c r="AL106" s="231"/>
      <c r="AM106" s="212"/>
      <c r="AN106" s="212"/>
      <c r="AO106" s="212"/>
      <c r="AP106" s="212"/>
      <c r="AQ106" s="212"/>
      <c r="AR106" s="212"/>
      <c r="AS106" s="212"/>
      <c r="AT106" s="212"/>
      <c r="AU106" s="212"/>
      <c r="AV106" s="212"/>
      <c r="AW106" s="212"/>
      <c r="AX106" s="212"/>
      <c r="AY106" s="212"/>
      <c r="AZ106" s="212"/>
      <c r="BA106" s="258"/>
      <c r="BB106" s="258"/>
      <c r="BC106" s="212"/>
      <c r="BD106" s="212"/>
      <c r="BE106" s="212"/>
      <c r="BF106" s="212"/>
      <c r="BG106" s="212"/>
      <c r="BH106" s="212"/>
      <c r="BI106" s="212"/>
      <c r="BJ106" s="212"/>
    </row>
    <row r="107" spans="1:62" ht="18" customHeight="1">
      <c r="A107" s="86">
        <v>50</v>
      </c>
      <c r="B107" s="88">
        <f>'Tong hop cac ma'!B107</f>
        <v>0</v>
      </c>
      <c r="C107" s="314">
        <f>'Tong hop cac ma'!C107</f>
        <v>0</v>
      </c>
      <c r="D107" s="197">
        <f t="shared" si="322"/>
        <v>0</v>
      </c>
      <c r="E107" s="213">
        <f>+'Tong hop cac ma'!S107</f>
        <v>0</v>
      </c>
      <c r="F107" s="214"/>
      <c r="G107" s="214"/>
      <c r="H107" s="214"/>
      <c r="I107" s="214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>
        <f t="shared" ref="AF107" si="483">IFERROR(SUM(F107:AC107)*0.2,0)</f>
        <v>0</v>
      </c>
      <c r="AG107" s="210"/>
      <c r="AH107" s="210" t="s">
        <v>192</v>
      </c>
      <c r="AI107" s="215">
        <f t="shared" ref="AI107" si="484">IFERROR(130*D107,0)</f>
        <v>0</v>
      </c>
      <c r="AJ107" s="198" cm="1">
        <f t="array" ref="AJ107">IFERROR(SUM(_xlfn._xlws.FILTER(E107:AI107,ISNUMBER(E107:AI107))),0)</f>
        <v>0</v>
      </c>
      <c r="AK107" s="198"/>
      <c r="AL107" s="216">
        <f t="shared" ref="AL107" si="485">IFERROR(AJ107*(1+AK107%),0)</f>
        <v>0</v>
      </c>
      <c r="AM107" s="233"/>
      <c r="AN107" s="201">
        <f t="shared" ref="AN107" si="486">IFERROR(SUM(E107:AC107)/D107,0)</f>
        <v>0</v>
      </c>
      <c r="AO107" s="255"/>
      <c r="AQ107" s="254"/>
      <c r="AR107" s="254"/>
      <c r="AS107" s="254"/>
      <c r="AT107" s="254"/>
      <c r="AU107" s="254"/>
      <c r="AV107" s="254"/>
      <c r="AY107" s="253">
        <f t="shared" ref="AY107" si="487">IFERROR((AQ107*20)/60,0)</f>
        <v>0</v>
      </c>
      <c r="AZ107" s="253">
        <f t="shared" ref="AZ107" si="488">IFERROR(AX107 + AY107 + BI107,0)</f>
        <v>0</v>
      </c>
      <c r="BA107" s="252">
        <f t="shared" ref="BA107" si="489">IFERROR(AZ107/8,0)</f>
        <v>0</v>
      </c>
      <c r="BB107" s="252">
        <f t="shared" ref="BB107" si="490">IFERROR(MAX(AQ107-BA107,0),0)</f>
        <v>0</v>
      </c>
      <c r="BD107" s="234">
        <f t="shared" ref="BD107" si="491">IFERROR(10000*D107,0)</f>
        <v>0</v>
      </c>
      <c r="BE107" s="234"/>
      <c r="BF107" s="234"/>
      <c r="BG107" s="234">
        <f t="shared" ref="BG107" si="492">IFERROR(-IF(AH107=$K$3,0,IF(AH107=$M$3,15*680*D107,IF(AH107=$O$3,30*680*D107,IF(AH107=0,50*680*D107,0)))),0)</f>
        <v>0</v>
      </c>
      <c r="BH107" s="234"/>
      <c r="BI107" s="234"/>
      <c r="BJ107" s="234"/>
    </row>
    <row r="108" spans="1:62" ht="18" hidden="1" customHeight="1">
      <c r="A108" s="212"/>
      <c r="B108" s="88">
        <f>'Tong hop cac ma'!B108</f>
        <v>0</v>
      </c>
      <c r="C108" s="314">
        <f>'Tong hop cac ma'!C108</f>
        <v>0</v>
      </c>
      <c r="D108" s="197">
        <f t="shared" si="322"/>
        <v>0</v>
      </c>
      <c r="E108" s="228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29"/>
      <c r="AJ108" s="230"/>
      <c r="AK108" s="230"/>
      <c r="AL108" s="231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58"/>
      <c r="BB108" s="258"/>
      <c r="BC108" s="212"/>
      <c r="BD108" s="212"/>
      <c r="BE108" s="212"/>
      <c r="BF108" s="212"/>
      <c r="BG108" s="212"/>
      <c r="BH108" s="212"/>
      <c r="BI108" s="212"/>
      <c r="BJ108" s="212"/>
    </row>
    <row r="109" spans="1:62" ht="18" customHeight="1">
      <c r="A109" s="89">
        <v>51</v>
      </c>
      <c r="B109" s="88">
        <f>'Tong hop cac ma'!B109</f>
        <v>0</v>
      </c>
      <c r="C109" s="314">
        <f>'Tong hop cac ma'!C109</f>
        <v>0</v>
      </c>
      <c r="D109" s="197">
        <f t="shared" si="322"/>
        <v>0</v>
      </c>
      <c r="E109" s="213">
        <f>+'Tong hop cac ma'!S109</f>
        <v>0</v>
      </c>
      <c r="F109" s="214"/>
      <c r="G109" s="214"/>
      <c r="H109" s="214"/>
      <c r="I109" s="214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>
        <f t="shared" ref="AF109" si="493">IFERROR(SUM(F109:AC109)*0.2,0)</f>
        <v>0</v>
      </c>
      <c r="AG109" s="210"/>
      <c r="AH109" s="210" t="s">
        <v>192</v>
      </c>
      <c r="AI109" s="215">
        <f t="shared" ref="AI109" si="494">IFERROR(130*D109,0)</f>
        <v>0</v>
      </c>
      <c r="AJ109" s="198" cm="1">
        <f t="array" ref="AJ109">IFERROR(SUM(_xlfn._xlws.FILTER(E109:AI109,ISNUMBER(E109:AI109))),0)</f>
        <v>0</v>
      </c>
      <c r="AK109" s="198"/>
      <c r="AL109" s="216">
        <f t="shared" ref="AL109" si="495">IFERROR(AJ109*(1+AK109%),0)</f>
        <v>0</v>
      </c>
      <c r="AM109" s="233"/>
      <c r="AN109" s="201">
        <f t="shared" ref="AN109" si="496">IFERROR(SUM(E109:AC109)/D109,0)</f>
        <v>0</v>
      </c>
      <c r="AO109" s="255"/>
      <c r="AQ109" s="254"/>
      <c r="AR109" s="254"/>
      <c r="AS109" s="254"/>
      <c r="AT109" s="254"/>
      <c r="AU109" s="254"/>
      <c r="AV109" s="254"/>
      <c r="AY109" s="253">
        <f t="shared" ref="AY109" si="497">IFERROR((AQ109*20)/60,0)</f>
        <v>0</v>
      </c>
      <c r="AZ109" s="253">
        <f t="shared" ref="AZ109" si="498">IFERROR(AX109 + AY109 + BI109,0)</f>
        <v>0</v>
      </c>
      <c r="BA109" s="252">
        <f t="shared" ref="BA109" si="499">IFERROR(AZ109/8,0)</f>
        <v>0</v>
      </c>
      <c r="BB109" s="252">
        <f t="shared" ref="BB109" si="500">IFERROR(MAX(AQ109-BA109,0),0)</f>
        <v>0</v>
      </c>
      <c r="BD109" s="234">
        <f t="shared" ref="BD109" si="501">IFERROR(10000*D109,0)</f>
        <v>0</v>
      </c>
      <c r="BE109" s="234"/>
      <c r="BF109" s="234"/>
      <c r="BG109" s="234">
        <f t="shared" ref="BG109" si="502">IFERROR(-IF(AH109=$K$3,0,IF(AH109=$M$3,15*680*D109,IF(AH109=$O$3,30*680*D109,IF(AH109=0,50*680*D109,0)))),0)</f>
        <v>0</v>
      </c>
      <c r="BH109" s="234"/>
      <c r="BI109" s="234"/>
      <c r="BJ109" s="234"/>
    </row>
    <row r="110" spans="1:62" ht="18" hidden="1" customHeight="1">
      <c r="A110" s="81"/>
      <c r="B110" s="88">
        <f>'Tong hop cac ma'!B110</f>
        <v>0</v>
      </c>
      <c r="C110" s="314">
        <f>'Tong hop cac ma'!C110</f>
        <v>0</v>
      </c>
      <c r="D110" s="197">
        <f t="shared" si="322"/>
        <v>0</v>
      </c>
      <c r="E110" s="228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29"/>
      <c r="AJ110" s="230"/>
      <c r="AK110" s="230"/>
      <c r="AL110" s="231"/>
      <c r="AM110" s="212"/>
      <c r="AN110" s="212"/>
      <c r="AO110" s="212"/>
      <c r="AP110" s="212"/>
      <c r="AQ110" s="212"/>
      <c r="AR110" s="212"/>
      <c r="AS110" s="212"/>
      <c r="AT110" s="212"/>
      <c r="AU110" s="212"/>
      <c r="AV110" s="212"/>
      <c r="AW110" s="212"/>
      <c r="AX110" s="212"/>
      <c r="AY110" s="212"/>
      <c r="AZ110" s="212"/>
      <c r="BA110" s="258"/>
      <c r="BB110" s="258"/>
      <c r="BC110" s="212"/>
      <c r="BD110" s="212"/>
      <c r="BE110" s="212"/>
      <c r="BF110" s="212"/>
      <c r="BG110" s="212"/>
      <c r="BH110" s="212"/>
      <c r="BI110" s="212"/>
      <c r="BJ110" s="212"/>
    </row>
    <row r="111" spans="1:62" ht="18" customHeight="1">
      <c r="A111" s="86">
        <v>52</v>
      </c>
      <c r="B111" s="88">
        <f>'Tong hop cac ma'!B111</f>
        <v>0</v>
      </c>
      <c r="C111" s="314">
        <f>'Tong hop cac ma'!C111</f>
        <v>0</v>
      </c>
      <c r="D111" s="197">
        <f t="shared" si="322"/>
        <v>0</v>
      </c>
      <c r="E111" s="213">
        <f>+'Tong hop cac ma'!S111</f>
        <v>0</v>
      </c>
      <c r="F111" s="214"/>
      <c r="G111" s="214"/>
      <c r="H111" s="214"/>
      <c r="I111" s="214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>
        <f t="shared" ref="AF111" si="503">IFERROR(SUM(F111:AC111)*0.2,0)</f>
        <v>0</v>
      </c>
      <c r="AG111" s="210"/>
      <c r="AH111" s="210" t="s">
        <v>192</v>
      </c>
      <c r="AI111" s="215">
        <f t="shared" ref="AI111" si="504">IFERROR(130*D111,0)</f>
        <v>0</v>
      </c>
      <c r="AJ111" s="198" cm="1">
        <f t="array" ref="AJ111">IFERROR(SUM(_xlfn._xlws.FILTER(E111:AI111,ISNUMBER(E111:AI111))),0)</f>
        <v>0</v>
      </c>
      <c r="AK111" s="198"/>
      <c r="AL111" s="216">
        <f t="shared" ref="AL111" si="505">IFERROR(AJ111*(1+AK111%),0)</f>
        <v>0</v>
      </c>
      <c r="AM111" s="233"/>
      <c r="AN111" s="201">
        <f t="shared" ref="AN111" si="506">IFERROR(SUM(E111:AC111)/D111,0)</f>
        <v>0</v>
      </c>
      <c r="AO111" s="255"/>
      <c r="AQ111" s="254"/>
      <c r="AR111" s="254"/>
      <c r="AS111" s="254"/>
      <c r="AT111" s="254"/>
      <c r="AU111" s="254"/>
      <c r="AV111" s="254"/>
      <c r="AY111" s="253">
        <f t="shared" ref="AY111" si="507">IFERROR((AQ111*20)/60,0)</f>
        <v>0</v>
      </c>
      <c r="AZ111" s="253">
        <f t="shared" ref="AZ111" si="508">IFERROR(AX111 + AY111 + BI111,0)</f>
        <v>0</v>
      </c>
      <c r="BA111" s="252">
        <f t="shared" ref="BA111" si="509">IFERROR(AZ111/8,0)</f>
        <v>0</v>
      </c>
      <c r="BB111" s="252">
        <f t="shared" ref="BB111" si="510">IFERROR(MAX(AQ111-BA111,0),0)</f>
        <v>0</v>
      </c>
      <c r="BD111" s="234">
        <f t="shared" ref="BD111" si="511">IFERROR(10000*D111,0)</f>
        <v>0</v>
      </c>
      <c r="BE111" s="234"/>
      <c r="BF111" s="234"/>
      <c r="BG111" s="234">
        <f t="shared" ref="BG111" si="512">IFERROR(-IF(AH111=$K$3,0,IF(AH111=$M$3,15*680*D111,IF(AH111=$O$3,30*680*D111,IF(AH111=0,50*680*D111,0)))),0)</f>
        <v>0</v>
      </c>
      <c r="BH111" s="234"/>
      <c r="BI111" s="234"/>
      <c r="BJ111" s="234"/>
    </row>
    <row r="112" spans="1:62" s="305" customFormat="1" ht="18" hidden="1" customHeight="1">
      <c r="A112" s="212"/>
      <c r="B112" s="88">
        <f>'Tong hop cac ma'!B112</f>
        <v>0</v>
      </c>
      <c r="C112" s="314">
        <f>'Tong hop cac ma'!C112</f>
        <v>0</v>
      </c>
      <c r="D112" s="197">
        <f t="shared" si="322"/>
        <v>0</v>
      </c>
      <c r="E112" s="228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29"/>
      <c r="AJ112" s="230"/>
      <c r="AK112" s="230"/>
      <c r="AL112" s="231"/>
      <c r="AM112" s="212"/>
      <c r="AN112" s="212"/>
      <c r="AO112" s="212"/>
      <c r="AP112" s="212"/>
      <c r="AQ112" s="212"/>
      <c r="AR112" s="212"/>
      <c r="AS112" s="212"/>
      <c r="AT112" s="212"/>
      <c r="AU112" s="212"/>
      <c r="AV112" s="212"/>
      <c r="AW112" s="212"/>
      <c r="AX112" s="212"/>
      <c r="AY112" s="212"/>
      <c r="AZ112" s="212"/>
      <c r="BA112" s="258"/>
      <c r="BB112" s="258"/>
      <c r="BC112" s="212"/>
      <c r="BD112" s="212"/>
      <c r="BE112" s="212"/>
      <c r="BF112" s="212"/>
      <c r="BG112" s="212"/>
      <c r="BH112" s="212"/>
      <c r="BI112" s="212"/>
      <c r="BJ112" s="212"/>
    </row>
    <row r="113" spans="1:62" ht="18" customHeight="1">
      <c r="A113" s="89">
        <v>53</v>
      </c>
      <c r="B113" s="88">
        <f>'Tong hop cac ma'!B113</f>
        <v>0</v>
      </c>
      <c r="C113" s="314">
        <f>'Tong hop cac ma'!C113</f>
        <v>0</v>
      </c>
      <c r="D113" s="197">
        <f t="shared" si="322"/>
        <v>0</v>
      </c>
      <c r="E113" s="213">
        <f>+'Tong hop cac ma'!S113</f>
        <v>0</v>
      </c>
      <c r="F113" s="214"/>
      <c r="G113" s="214"/>
      <c r="H113" s="214"/>
      <c r="I113" s="214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>
        <f t="shared" ref="AF113" si="513">IFERROR(SUM(F113:AC113)*0.2,0)</f>
        <v>0</v>
      </c>
      <c r="AG113" s="210"/>
      <c r="AH113" s="210" t="s">
        <v>192</v>
      </c>
      <c r="AI113" s="215">
        <f t="shared" ref="AI113" si="514">IFERROR(130*D113,0)</f>
        <v>0</v>
      </c>
      <c r="AJ113" s="198" cm="1">
        <f t="array" ref="AJ113">IFERROR(SUM(_xlfn._xlws.FILTER(E113:AI113,ISNUMBER(E113:AI113))),0)</f>
        <v>0</v>
      </c>
      <c r="AK113" s="198"/>
      <c r="AL113" s="216">
        <f t="shared" ref="AL113" si="515">IFERROR(AJ113*(1+AK113%),0)</f>
        <v>0</v>
      </c>
      <c r="AM113" s="233"/>
      <c r="AN113" s="201">
        <f t="shared" ref="AN113" si="516">IFERROR(SUM(E113:AC113)/D113,0)</f>
        <v>0</v>
      </c>
      <c r="AO113" s="255"/>
      <c r="AQ113" s="254"/>
      <c r="AR113" s="254"/>
      <c r="AS113" s="254"/>
      <c r="AT113" s="254"/>
      <c r="AU113" s="254"/>
      <c r="AV113" s="254"/>
      <c r="AY113" s="253">
        <f t="shared" ref="AY113" si="517">IFERROR((AQ113*20)/60,0)</f>
        <v>0</v>
      </c>
      <c r="AZ113" s="253">
        <f t="shared" ref="AZ113" si="518">IFERROR(AX113 + AY113 + BI113,0)</f>
        <v>0</v>
      </c>
      <c r="BA113" s="252">
        <f t="shared" ref="BA113" si="519">IFERROR(AZ113/8,0)</f>
        <v>0</v>
      </c>
      <c r="BB113" s="252">
        <f t="shared" ref="BB113" si="520">IFERROR(MAX(AQ113-BA113,0),0)</f>
        <v>0</v>
      </c>
      <c r="BD113" s="234">
        <f t="shared" ref="BD113" si="521">IFERROR(10000*D113,0)</f>
        <v>0</v>
      </c>
      <c r="BE113" s="234"/>
      <c r="BF113" s="234"/>
      <c r="BG113" s="234">
        <f t="shared" ref="BG113" si="522">IFERROR(-IF(AH113=$K$3,0,IF(AH113=$M$3,15*680*D113,IF(AH113=$O$3,30*680*D113,IF(AH113=0,50*680*D113,0)))),0)</f>
        <v>0</v>
      </c>
      <c r="BH113" s="234"/>
      <c r="BI113" s="234"/>
      <c r="BJ113" s="234"/>
    </row>
    <row r="114" spans="1:62" ht="19.5" hidden="1" customHeight="1">
      <c r="A114" s="81"/>
      <c r="B114" s="88">
        <f>'Tong hop cac ma'!B114</f>
        <v>0</v>
      </c>
      <c r="C114" s="314">
        <f>'Tong hop cac ma'!C114</f>
        <v>0</v>
      </c>
      <c r="D114" s="197">
        <f t="shared" si="322"/>
        <v>0</v>
      </c>
      <c r="E114" s="228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29"/>
      <c r="AJ114" s="230"/>
      <c r="AK114" s="230"/>
      <c r="AL114" s="231"/>
      <c r="AM114" s="212"/>
      <c r="AN114" s="212"/>
      <c r="AO114" s="212"/>
      <c r="AP114" s="212"/>
      <c r="AQ114" s="212"/>
      <c r="AR114" s="212"/>
      <c r="AS114" s="212"/>
      <c r="AT114" s="212"/>
      <c r="AU114" s="212"/>
      <c r="AV114" s="212"/>
      <c r="AW114" s="212"/>
      <c r="AX114" s="212"/>
      <c r="AY114" s="212"/>
      <c r="AZ114" s="212"/>
      <c r="BA114" s="258"/>
      <c r="BB114" s="258"/>
      <c r="BC114" s="212"/>
      <c r="BD114" s="212"/>
      <c r="BE114" s="212"/>
      <c r="BF114" s="212"/>
      <c r="BG114" s="212"/>
      <c r="BH114" s="212"/>
      <c r="BI114" s="212"/>
      <c r="BJ114" s="212"/>
    </row>
    <row r="115" spans="1:62" ht="18" customHeight="1">
      <c r="A115" s="86">
        <v>54</v>
      </c>
      <c r="B115" s="88">
        <f>'Tong hop cac ma'!B115</f>
        <v>0</v>
      </c>
      <c r="C115" s="314">
        <f>'Tong hop cac ma'!C115</f>
        <v>0</v>
      </c>
      <c r="D115" s="197">
        <f t="shared" si="322"/>
        <v>0</v>
      </c>
      <c r="E115" s="213">
        <f>+'Tong hop cac ma'!S115</f>
        <v>0</v>
      </c>
      <c r="F115" s="214"/>
      <c r="G115" s="214"/>
      <c r="H115" s="214"/>
      <c r="I115" s="214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>
        <f t="shared" ref="AF115" si="523">IFERROR(SUM(F115:AC115)*0.2,0)</f>
        <v>0</v>
      </c>
      <c r="AG115" s="210"/>
      <c r="AH115" s="210" t="s">
        <v>192</v>
      </c>
      <c r="AI115" s="215">
        <f t="shared" ref="AI115" si="524">IFERROR(130*D115,0)</f>
        <v>0</v>
      </c>
      <c r="AJ115" s="198" cm="1">
        <f t="array" ref="AJ115">IFERROR(SUM(_xlfn._xlws.FILTER(E115:AI115,ISNUMBER(E115:AI115))),0)</f>
        <v>0</v>
      </c>
      <c r="AK115" s="198"/>
      <c r="AL115" s="216">
        <f t="shared" ref="AL115" si="525">IFERROR(AJ115*(1+AK115%),0)</f>
        <v>0</v>
      </c>
      <c r="AM115" s="233"/>
      <c r="AN115" s="201">
        <f t="shared" ref="AN115" si="526">IFERROR(SUM(E115:AC115)/D115,0)</f>
        <v>0</v>
      </c>
      <c r="AO115" s="255"/>
      <c r="AQ115" s="254"/>
      <c r="AR115" s="254"/>
      <c r="AS115" s="254"/>
      <c r="AT115" s="254"/>
      <c r="AU115" s="254"/>
      <c r="AV115" s="254"/>
      <c r="AY115" s="253">
        <f t="shared" ref="AY115" si="527">IFERROR((AQ115*20)/60,0)</f>
        <v>0</v>
      </c>
      <c r="AZ115" s="253">
        <f t="shared" ref="AZ115" si="528">IFERROR(AX115 + AY115 + BI115,0)</f>
        <v>0</v>
      </c>
      <c r="BA115" s="252">
        <f t="shared" ref="BA115" si="529">IFERROR(AZ115/8,0)</f>
        <v>0</v>
      </c>
      <c r="BB115" s="252">
        <f t="shared" ref="BB115" si="530">IFERROR(MAX(AQ115-BA115,0),0)</f>
        <v>0</v>
      </c>
      <c r="BD115" s="234">
        <f t="shared" ref="BD115" si="531">IFERROR(10000*D115,0)</f>
        <v>0</v>
      </c>
      <c r="BE115" s="234"/>
      <c r="BF115" s="234"/>
      <c r="BG115" s="234">
        <f t="shared" ref="BG115" si="532">IFERROR(-IF(AH115=$K$3,0,IF(AH115=$M$3,15*680*D115,IF(AH115=$O$3,30*680*D115,IF(AH115=0,50*680*D115,0)))),0)</f>
        <v>0</v>
      </c>
      <c r="BH115" s="234"/>
      <c r="BI115" s="234"/>
      <c r="BJ115" s="234"/>
    </row>
    <row r="116" spans="1:62" ht="18" hidden="1" customHeight="1">
      <c r="A116" s="212"/>
      <c r="B116" s="88">
        <f>'Tong hop cac ma'!B116</f>
        <v>0</v>
      </c>
      <c r="C116" s="314">
        <f>'Tong hop cac ma'!C116</f>
        <v>0</v>
      </c>
      <c r="D116" s="197">
        <f t="shared" si="322"/>
        <v>0</v>
      </c>
      <c r="E116" s="228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29"/>
      <c r="AJ116" s="230"/>
      <c r="AK116" s="230"/>
      <c r="AL116" s="231"/>
      <c r="AM116" s="212"/>
      <c r="AN116" s="212"/>
      <c r="AO116" s="212"/>
      <c r="AP116" s="212"/>
      <c r="AQ116" s="212"/>
      <c r="AR116" s="212"/>
      <c r="AS116" s="212"/>
      <c r="AT116" s="212"/>
      <c r="AU116" s="212"/>
      <c r="AV116" s="212"/>
      <c r="AW116" s="212"/>
      <c r="AX116" s="212"/>
      <c r="AY116" s="212"/>
      <c r="AZ116" s="212"/>
      <c r="BA116" s="258"/>
      <c r="BB116" s="258"/>
      <c r="BC116" s="212"/>
      <c r="BD116" s="212"/>
      <c r="BE116" s="212"/>
      <c r="BF116" s="212"/>
      <c r="BG116" s="212"/>
      <c r="BH116" s="212"/>
      <c r="BI116" s="212"/>
      <c r="BJ116" s="212"/>
    </row>
    <row r="117" spans="1:62" ht="18" customHeight="1">
      <c r="A117" s="89">
        <v>55</v>
      </c>
      <c r="B117" s="88">
        <f>'Tong hop cac ma'!B117</f>
        <v>0</v>
      </c>
      <c r="C117" s="314">
        <f>'Tong hop cac ma'!C117</f>
        <v>0</v>
      </c>
      <c r="D117" s="197">
        <f t="shared" si="322"/>
        <v>0</v>
      </c>
      <c r="E117" s="213">
        <f>+'Tong hop cac ma'!S117</f>
        <v>0</v>
      </c>
      <c r="F117" s="214"/>
      <c r="G117" s="214"/>
      <c r="H117" s="214"/>
      <c r="I117" s="214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>
        <f t="shared" ref="AF117" si="533">IFERROR(SUM(F117:AC117)*0.2,0)</f>
        <v>0</v>
      </c>
      <c r="AG117" s="210"/>
      <c r="AH117" s="210" t="s">
        <v>192</v>
      </c>
      <c r="AI117" s="215">
        <f t="shared" ref="AI117" si="534">IFERROR(130*D117,0)</f>
        <v>0</v>
      </c>
      <c r="AJ117" s="198" cm="1">
        <f t="array" ref="AJ117">IFERROR(SUM(_xlfn._xlws.FILTER(E117:AI117,ISNUMBER(E117:AI117))),0)</f>
        <v>0</v>
      </c>
      <c r="AK117" s="198"/>
      <c r="AL117" s="216">
        <f t="shared" ref="AL117" si="535">IFERROR(AJ117*(1+AK117%),0)</f>
        <v>0</v>
      </c>
      <c r="AM117" s="233"/>
      <c r="AN117" s="201">
        <f t="shared" ref="AN117" si="536">IFERROR(SUM(E117:AC117)/D117,0)</f>
        <v>0</v>
      </c>
      <c r="AO117" s="255"/>
      <c r="AQ117" s="254"/>
      <c r="AR117" s="254"/>
      <c r="AS117" s="254"/>
      <c r="AT117" s="254"/>
      <c r="AU117" s="254"/>
      <c r="AV117" s="254"/>
      <c r="AY117" s="253">
        <f t="shared" ref="AY117" si="537">IFERROR((AQ117*20)/60,0)</f>
        <v>0</v>
      </c>
      <c r="AZ117" s="253">
        <f t="shared" ref="AZ117" si="538">IFERROR(AX117 + AY117 + BI117,0)</f>
        <v>0</v>
      </c>
      <c r="BA117" s="252">
        <f t="shared" ref="BA117" si="539">IFERROR(AZ117/8,0)</f>
        <v>0</v>
      </c>
      <c r="BB117" s="252">
        <f t="shared" ref="BB117" si="540">IFERROR(MAX(AQ117-BA117,0),0)</f>
        <v>0</v>
      </c>
      <c r="BD117" s="234">
        <f t="shared" ref="BD117" si="541">IFERROR(10000*D117,0)</f>
        <v>0</v>
      </c>
      <c r="BE117" s="234"/>
      <c r="BF117" s="234"/>
      <c r="BG117" s="234">
        <f t="shared" ref="BG117" si="542">IFERROR(-IF(AH117=$K$3,0,IF(AH117=$M$3,15*680*D117,IF(AH117=$O$3,30*680*D117,IF(AH117=0,50*680*D117,0)))),0)</f>
        <v>0</v>
      </c>
      <c r="BH117" s="234"/>
      <c r="BI117" s="234"/>
      <c r="BJ117" s="234"/>
    </row>
    <row r="118" spans="1:62" ht="18" hidden="1" customHeight="1">
      <c r="A118" s="81"/>
      <c r="B118" s="88">
        <f>'Tong hop cac ma'!B118</f>
        <v>0</v>
      </c>
      <c r="C118" s="314">
        <f>'Tong hop cac ma'!C118</f>
        <v>0</v>
      </c>
      <c r="D118" s="197">
        <f t="shared" si="322"/>
        <v>0</v>
      </c>
      <c r="E118" s="228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29"/>
      <c r="AJ118" s="230"/>
      <c r="AK118" s="230"/>
      <c r="AL118" s="231"/>
      <c r="AM118" s="212"/>
      <c r="AN118" s="212"/>
      <c r="AO118" s="212"/>
      <c r="AP118" s="212"/>
      <c r="AQ118" s="212"/>
      <c r="AR118" s="212"/>
      <c r="AS118" s="212"/>
      <c r="AT118" s="212"/>
      <c r="AU118" s="212"/>
      <c r="AV118" s="212"/>
      <c r="AW118" s="212"/>
      <c r="AX118" s="212"/>
      <c r="AY118" s="212"/>
      <c r="AZ118" s="212"/>
      <c r="BA118" s="258"/>
      <c r="BB118" s="258"/>
      <c r="BC118" s="212"/>
      <c r="BD118" s="212"/>
      <c r="BE118" s="212"/>
      <c r="BF118" s="212"/>
      <c r="BG118" s="212"/>
      <c r="BH118" s="212"/>
      <c r="BI118" s="212"/>
      <c r="BJ118" s="212"/>
    </row>
    <row r="119" spans="1:62" ht="18" customHeight="1">
      <c r="A119" s="86">
        <v>56</v>
      </c>
      <c r="B119" s="88">
        <f>'Tong hop cac ma'!B119</f>
        <v>0</v>
      </c>
      <c r="C119" s="314">
        <f>'Tong hop cac ma'!C119</f>
        <v>0</v>
      </c>
      <c r="D119" s="197">
        <f t="shared" si="322"/>
        <v>0</v>
      </c>
      <c r="E119" s="213">
        <f>+'Tong hop cac ma'!S119</f>
        <v>0</v>
      </c>
      <c r="F119" s="214"/>
      <c r="G119" s="214"/>
      <c r="H119" s="214"/>
      <c r="I119" s="214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>
        <f t="shared" ref="AF119" si="543">IFERROR(SUM(F119:AC119)*0.2,0)</f>
        <v>0</v>
      </c>
      <c r="AG119" s="210"/>
      <c r="AH119" s="210" t="s">
        <v>192</v>
      </c>
      <c r="AI119" s="215">
        <f t="shared" ref="AI119" si="544">IFERROR(130*D119,0)</f>
        <v>0</v>
      </c>
      <c r="AJ119" s="198" cm="1">
        <f t="array" ref="AJ119">IFERROR(SUM(_xlfn._xlws.FILTER(E119:AI119,ISNUMBER(E119:AI119))),0)</f>
        <v>0</v>
      </c>
      <c r="AK119" s="198"/>
      <c r="AL119" s="216">
        <f t="shared" ref="AL119" si="545">IFERROR(AJ119*(1+AK119%),0)</f>
        <v>0</v>
      </c>
      <c r="AM119" s="233"/>
      <c r="AN119" s="201">
        <f t="shared" ref="AN119" si="546">IFERROR(SUM(E119:AC119)/D119,0)</f>
        <v>0</v>
      </c>
      <c r="AO119" s="255"/>
      <c r="AQ119" s="254"/>
      <c r="AR119" s="254"/>
      <c r="AS119" s="254"/>
      <c r="AT119" s="254"/>
      <c r="AU119" s="254"/>
      <c r="AV119" s="254"/>
      <c r="AY119" s="253">
        <f t="shared" ref="AY119" si="547">IFERROR((AQ119*20)/60,0)</f>
        <v>0</v>
      </c>
      <c r="AZ119" s="253">
        <f t="shared" ref="AZ119" si="548">IFERROR(AX119 + AY119 + BI119,0)</f>
        <v>0</v>
      </c>
      <c r="BA119" s="252">
        <f t="shared" ref="BA119" si="549">IFERROR(AZ119/8,0)</f>
        <v>0</v>
      </c>
      <c r="BB119" s="252">
        <f t="shared" ref="BB119" si="550">IFERROR(MAX(AQ119-BA119,0),0)</f>
        <v>0</v>
      </c>
      <c r="BD119" s="234">
        <f t="shared" ref="BD119" si="551">IFERROR(10000*D119,0)</f>
        <v>0</v>
      </c>
      <c r="BE119" s="234"/>
      <c r="BF119" s="234"/>
      <c r="BG119" s="234">
        <f t="shared" ref="BG119" si="552">IFERROR(-IF(AH119=$K$3,0,IF(AH119=$M$3,15*680*D119,IF(AH119=$O$3,30*680*D119,IF(AH119=0,50*680*D119,0)))),0)</f>
        <v>0</v>
      </c>
      <c r="BH119" s="234"/>
      <c r="BI119" s="234"/>
      <c r="BJ119" s="234"/>
    </row>
    <row r="120" spans="1:62" ht="18" hidden="1" customHeight="1">
      <c r="A120" s="212"/>
      <c r="B120" s="88">
        <f>'Tong hop cac ma'!B120</f>
        <v>0</v>
      </c>
      <c r="C120" s="314">
        <f>'Tong hop cac ma'!C120</f>
        <v>0</v>
      </c>
      <c r="D120" s="197">
        <f t="shared" si="322"/>
        <v>0</v>
      </c>
      <c r="E120" s="228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29"/>
      <c r="AJ120" s="230"/>
      <c r="AK120" s="230"/>
      <c r="AL120" s="231"/>
      <c r="AM120" s="212"/>
      <c r="AN120" s="212"/>
      <c r="AO120" s="212"/>
      <c r="AP120" s="212"/>
      <c r="AQ120" s="212"/>
      <c r="AR120" s="212"/>
      <c r="AS120" s="212"/>
      <c r="AT120" s="212"/>
      <c r="AU120" s="212"/>
      <c r="AV120" s="212"/>
      <c r="AW120" s="212"/>
      <c r="AX120" s="212"/>
      <c r="AY120" s="212"/>
      <c r="AZ120" s="212"/>
      <c r="BA120" s="258"/>
      <c r="BB120" s="258"/>
      <c r="BC120" s="212"/>
      <c r="BD120" s="212"/>
      <c r="BE120" s="212"/>
      <c r="BF120" s="212"/>
      <c r="BG120" s="212"/>
      <c r="BH120" s="212"/>
      <c r="BI120" s="212"/>
      <c r="BJ120" s="212"/>
    </row>
    <row r="121" spans="1:62" ht="18" customHeight="1">
      <c r="A121" s="89">
        <v>57</v>
      </c>
      <c r="B121" s="88">
        <f>'Tong hop cac ma'!B121</f>
        <v>0</v>
      </c>
      <c r="C121" s="314">
        <f>'Tong hop cac ma'!C121</f>
        <v>0</v>
      </c>
      <c r="D121" s="197">
        <f t="shared" si="322"/>
        <v>0</v>
      </c>
      <c r="E121" s="213">
        <f>+'Tong hop cac ma'!S121</f>
        <v>0</v>
      </c>
      <c r="F121" s="214"/>
      <c r="G121" s="214"/>
      <c r="H121" s="214"/>
      <c r="I121" s="214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>
        <f t="shared" ref="AF121" si="553">IFERROR(SUM(F121:AC121)*0.2,0)</f>
        <v>0</v>
      </c>
      <c r="AG121" s="210"/>
      <c r="AH121" s="210" t="s">
        <v>192</v>
      </c>
      <c r="AI121" s="215">
        <f t="shared" ref="AI121" si="554">IFERROR(130*D121,0)</f>
        <v>0</v>
      </c>
      <c r="AJ121" s="198" cm="1">
        <f t="array" ref="AJ121">IFERROR(SUM(_xlfn._xlws.FILTER(E121:AI121,ISNUMBER(E121:AI121))),0)</f>
        <v>0</v>
      </c>
      <c r="AK121" s="198"/>
      <c r="AL121" s="216">
        <f t="shared" ref="AL121" si="555">IFERROR(AJ121*(1+AK121%),0)</f>
        <v>0</v>
      </c>
      <c r="AM121" s="233"/>
      <c r="AN121" s="201">
        <f t="shared" ref="AN121" si="556">IFERROR(SUM(E121:AC121)/D121,0)</f>
        <v>0</v>
      </c>
      <c r="AO121" s="255"/>
      <c r="AQ121" s="254"/>
      <c r="AR121" s="254"/>
      <c r="AS121" s="254"/>
      <c r="AT121" s="254"/>
      <c r="AU121" s="254"/>
      <c r="AV121" s="254"/>
      <c r="AY121" s="253">
        <f t="shared" ref="AY121" si="557">IFERROR((AQ121*20)/60,0)</f>
        <v>0</v>
      </c>
      <c r="AZ121" s="253">
        <f t="shared" ref="AZ121" si="558">IFERROR(AX121 + AY121 + BI121,0)</f>
        <v>0</v>
      </c>
      <c r="BA121" s="252">
        <f t="shared" ref="BA121" si="559">IFERROR(AZ121/8,0)</f>
        <v>0</v>
      </c>
      <c r="BB121" s="252">
        <f t="shared" ref="BB121" si="560">IFERROR(MAX(AQ121-BA121,0),0)</f>
        <v>0</v>
      </c>
      <c r="BD121" s="234">
        <f t="shared" ref="BD121" si="561">IFERROR(10000*D121,0)</f>
        <v>0</v>
      </c>
      <c r="BE121" s="234"/>
      <c r="BF121" s="234"/>
      <c r="BG121" s="234">
        <f t="shared" ref="BG121" si="562">IFERROR(-IF(AH121=$K$3,0,IF(AH121=$M$3,15*680*D121,IF(AH121=$O$3,30*680*D121,IF(AH121=0,50*680*D121,0)))),0)</f>
        <v>0</v>
      </c>
      <c r="BH121" s="234"/>
      <c r="BI121" s="234"/>
      <c r="BJ121" s="234"/>
    </row>
    <row r="122" spans="1:62" ht="18" hidden="1" customHeight="1">
      <c r="A122" s="81"/>
      <c r="B122" s="88">
        <f>'Tong hop cac ma'!B122</f>
        <v>0</v>
      </c>
      <c r="C122" s="314">
        <f>'Tong hop cac ma'!C122</f>
        <v>0</v>
      </c>
      <c r="D122" s="197">
        <f t="shared" si="322"/>
        <v>0</v>
      </c>
      <c r="E122" s="228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29"/>
      <c r="AJ122" s="230"/>
      <c r="AK122" s="230"/>
      <c r="AL122" s="231"/>
      <c r="AM122" s="212"/>
      <c r="AN122" s="212"/>
      <c r="AO122" s="212"/>
      <c r="AP122" s="212"/>
      <c r="AQ122" s="212"/>
      <c r="AR122" s="212"/>
      <c r="AS122" s="212"/>
      <c r="AT122" s="212"/>
      <c r="AU122" s="212"/>
      <c r="AV122" s="212"/>
      <c r="AW122" s="212"/>
      <c r="AX122" s="212"/>
      <c r="AY122" s="212"/>
      <c r="AZ122" s="212"/>
      <c r="BA122" s="258"/>
      <c r="BB122" s="258"/>
      <c r="BC122" s="212"/>
      <c r="BD122" s="212"/>
      <c r="BE122" s="212"/>
      <c r="BF122" s="212"/>
      <c r="BG122" s="212"/>
      <c r="BH122" s="212"/>
      <c r="BI122" s="212"/>
      <c r="BJ122" s="212"/>
    </row>
    <row r="123" spans="1:62" ht="18" customHeight="1">
      <c r="A123" s="86">
        <v>58</v>
      </c>
      <c r="B123" s="88">
        <f>'Tong hop cac ma'!B123</f>
        <v>0</v>
      </c>
      <c r="C123" s="314">
        <f>'Tong hop cac ma'!C123</f>
        <v>0</v>
      </c>
      <c r="D123" s="197">
        <f t="shared" si="322"/>
        <v>0</v>
      </c>
      <c r="E123" s="213">
        <f>+'Tong hop cac ma'!S123</f>
        <v>0</v>
      </c>
      <c r="F123" s="214"/>
      <c r="G123" s="214"/>
      <c r="H123" s="214"/>
      <c r="I123" s="214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>
        <f t="shared" ref="AF123" si="563">IFERROR(SUM(F123:AC123)*0.2,0)</f>
        <v>0</v>
      </c>
      <c r="AG123" s="210"/>
      <c r="AH123" s="210" t="s">
        <v>192</v>
      </c>
      <c r="AI123" s="215">
        <f t="shared" ref="AI123" si="564">IFERROR(130*D123,0)</f>
        <v>0</v>
      </c>
      <c r="AJ123" s="198" cm="1">
        <f t="array" ref="AJ123">IFERROR(SUM(_xlfn._xlws.FILTER(E123:AI123,ISNUMBER(E123:AI123))),0)</f>
        <v>0</v>
      </c>
      <c r="AK123" s="198"/>
      <c r="AL123" s="216">
        <f t="shared" ref="AL123" si="565">IFERROR(AJ123*(1+AK123%),0)</f>
        <v>0</v>
      </c>
      <c r="AM123" s="233"/>
      <c r="AN123" s="201">
        <f t="shared" ref="AN123" si="566">IFERROR(SUM(E123:AC123)/D123,0)</f>
        <v>0</v>
      </c>
      <c r="AO123" s="255"/>
      <c r="AQ123" s="254"/>
      <c r="AR123" s="254"/>
      <c r="AS123" s="254"/>
      <c r="AT123" s="254"/>
      <c r="AU123" s="254"/>
      <c r="AV123" s="254"/>
      <c r="AY123" s="253">
        <f t="shared" ref="AY123" si="567">IFERROR((AQ123*20)/60,0)</f>
        <v>0</v>
      </c>
      <c r="AZ123" s="253">
        <f t="shared" ref="AZ123" si="568">IFERROR(AX123 + AY123 + BI123,0)</f>
        <v>0</v>
      </c>
      <c r="BA123" s="252">
        <f t="shared" ref="BA123" si="569">IFERROR(AZ123/8,0)</f>
        <v>0</v>
      </c>
      <c r="BB123" s="252">
        <f t="shared" ref="BB123" si="570">IFERROR(MAX(AQ123-BA123,0),0)</f>
        <v>0</v>
      </c>
      <c r="BD123" s="234">
        <f t="shared" ref="BD123" si="571">IFERROR(10000*D123,0)</f>
        <v>0</v>
      </c>
      <c r="BE123" s="234"/>
      <c r="BF123" s="234"/>
      <c r="BG123" s="234">
        <f t="shared" ref="BG123" si="572">IFERROR(-IF(AH123=$K$3,0,IF(AH123=$M$3,15*680*D123,IF(AH123=$O$3,30*680*D123,IF(AH123=0,50*680*D123,0)))),0)</f>
        <v>0</v>
      </c>
      <c r="BH123" s="234"/>
      <c r="BI123" s="234"/>
      <c r="BJ123" s="234"/>
    </row>
    <row r="124" spans="1:62" ht="18" hidden="1" customHeight="1">
      <c r="A124" s="212"/>
      <c r="B124" s="88">
        <f>'Tong hop cac ma'!B124</f>
        <v>0</v>
      </c>
      <c r="C124" s="314">
        <f>'Tong hop cac ma'!C124</f>
        <v>0</v>
      </c>
      <c r="D124" s="197">
        <f t="shared" si="322"/>
        <v>0</v>
      </c>
      <c r="E124" s="228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29"/>
      <c r="AJ124" s="230"/>
      <c r="AK124" s="230"/>
      <c r="AL124" s="231"/>
      <c r="AM124" s="212"/>
      <c r="AN124" s="212"/>
      <c r="AO124" s="212"/>
      <c r="AP124" s="212"/>
      <c r="AQ124" s="212"/>
      <c r="AR124" s="212"/>
      <c r="AS124" s="212"/>
      <c r="AT124" s="212"/>
      <c r="AU124" s="212"/>
      <c r="AV124" s="212"/>
      <c r="AW124" s="212"/>
      <c r="AX124" s="212"/>
      <c r="AY124" s="212"/>
      <c r="AZ124" s="212"/>
      <c r="BA124" s="258"/>
      <c r="BB124" s="258"/>
      <c r="BC124" s="212"/>
      <c r="BD124" s="212"/>
      <c r="BE124" s="212"/>
      <c r="BF124" s="212"/>
      <c r="BG124" s="212"/>
      <c r="BH124" s="212"/>
      <c r="BI124" s="212"/>
      <c r="BJ124" s="212"/>
    </row>
    <row r="125" spans="1:62" ht="18" customHeight="1">
      <c r="A125" s="89">
        <v>59</v>
      </c>
      <c r="B125" s="88">
        <f>'Tong hop cac ma'!B125</f>
        <v>0</v>
      </c>
      <c r="C125" s="314">
        <f>'Tong hop cac ma'!C125</f>
        <v>0</v>
      </c>
      <c r="D125" s="197">
        <f t="shared" si="322"/>
        <v>0</v>
      </c>
      <c r="E125" s="213">
        <f>+'Tong hop cac ma'!S125</f>
        <v>0</v>
      </c>
      <c r="F125" s="214"/>
      <c r="G125" s="214"/>
      <c r="H125" s="214"/>
      <c r="I125" s="214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>
        <f t="shared" ref="AF125" si="573">IFERROR(SUM(F125:AC125)*0.2,0)</f>
        <v>0</v>
      </c>
      <c r="AG125" s="210"/>
      <c r="AH125" s="210" t="s">
        <v>192</v>
      </c>
      <c r="AI125" s="215">
        <f t="shared" ref="AI125" si="574">IFERROR(130*D125,0)</f>
        <v>0</v>
      </c>
      <c r="AJ125" s="198" cm="1">
        <f t="array" ref="AJ125">IFERROR(SUM(_xlfn._xlws.FILTER(E125:AI125,ISNUMBER(E125:AI125))),0)</f>
        <v>0</v>
      </c>
      <c r="AK125" s="198"/>
      <c r="AL125" s="216">
        <f t="shared" ref="AL125" si="575">IFERROR(AJ125*(1+AK125%),0)</f>
        <v>0</v>
      </c>
      <c r="AM125" s="233"/>
      <c r="AN125" s="201">
        <f t="shared" ref="AN125" si="576">IFERROR(SUM(E125:AC125)/D125,0)</f>
        <v>0</v>
      </c>
      <c r="AO125" s="255"/>
      <c r="AQ125" s="254"/>
      <c r="AR125" s="254"/>
      <c r="AS125" s="254"/>
      <c r="AT125" s="254"/>
      <c r="AU125" s="254"/>
      <c r="AV125" s="254"/>
      <c r="AY125" s="253">
        <f t="shared" ref="AY125" si="577">IFERROR((AQ125*20)/60,0)</f>
        <v>0</v>
      </c>
      <c r="AZ125" s="253">
        <f t="shared" ref="AZ125" si="578">IFERROR(AX125 + AY125 + BI125,0)</f>
        <v>0</v>
      </c>
      <c r="BA125" s="252">
        <f t="shared" ref="BA125" si="579">IFERROR(AZ125/8,0)</f>
        <v>0</v>
      </c>
      <c r="BB125" s="252">
        <f t="shared" ref="BB125" si="580">IFERROR(MAX(AQ125-BA125,0),0)</f>
        <v>0</v>
      </c>
      <c r="BD125" s="234">
        <f t="shared" ref="BD125" si="581">IFERROR(10000*D125,0)</f>
        <v>0</v>
      </c>
      <c r="BE125" s="234"/>
      <c r="BF125" s="234"/>
      <c r="BG125" s="234">
        <f t="shared" ref="BG125" si="582">IFERROR(-IF(AH125=$K$3,0,IF(AH125=$M$3,15*680*D125,IF(AH125=$O$3,30*680*D125,IF(AH125=0,50*680*D125,0)))),0)</f>
        <v>0</v>
      </c>
      <c r="BH125" s="234"/>
      <c r="BI125" s="234"/>
      <c r="BJ125" s="234"/>
    </row>
    <row r="126" spans="1:62" ht="18" hidden="1" customHeight="1">
      <c r="A126" s="81"/>
      <c r="B126" s="88">
        <f>'Tong hop cac ma'!B126</f>
        <v>0</v>
      </c>
      <c r="C126" s="314">
        <f>'Tong hop cac ma'!C126</f>
        <v>0</v>
      </c>
      <c r="D126" s="197">
        <f t="shared" si="322"/>
        <v>0</v>
      </c>
      <c r="E126" s="228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29"/>
      <c r="AJ126" s="230"/>
      <c r="AK126" s="230"/>
      <c r="AL126" s="231"/>
      <c r="AM126" s="212"/>
      <c r="AN126" s="212"/>
      <c r="AO126" s="212"/>
      <c r="AP126" s="212"/>
      <c r="AQ126" s="212"/>
      <c r="AR126" s="212"/>
      <c r="AS126" s="212"/>
      <c r="AT126" s="212"/>
      <c r="AU126" s="212"/>
      <c r="AV126" s="212"/>
      <c r="AW126" s="212"/>
      <c r="AX126" s="212"/>
      <c r="AY126" s="212"/>
      <c r="AZ126" s="212"/>
      <c r="BA126" s="258"/>
      <c r="BB126" s="258"/>
      <c r="BC126" s="212"/>
      <c r="BD126" s="212"/>
      <c r="BE126" s="212"/>
      <c r="BF126" s="212"/>
      <c r="BG126" s="212"/>
      <c r="BH126" s="212"/>
      <c r="BI126" s="212"/>
      <c r="BJ126" s="212"/>
    </row>
    <row r="127" spans="1:62" ht="18" customHeight="1">
      <c r="A127" s="86">
        <v>60</v>
      </c>
      <c r="B127" s="88">
        <f>'Tong hop cac ma'!B127</f>
        <v>0</v>
      </c>
      <c r="C127" s="314">
        <f>'Tong hop cac ma'!C127</f>
        <v>0</v>
      </c>
      <c r="D127" s="197">
        <f t="shared" si="322"/>
        <v>0</v>
      </c>
      <c r="E127" s="213">
        <f>+'Tong hop cac ma'!S127</f>
        <v>0</v>
      </c>
      <c r="F127" s="214"/>
      <c r="G127" s="214"/>
      <c r="H127" s="214"/>
      <c r="I127" s="214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>
        <f t="shared" ref="AF127" si="583">IFERROR(SUM(F127:AC127)*0.2,0)</f>
        <v>0</v>
      </c>
      <c r="AG127" s="210"/>
      <c r="AH127" s="210" t="s">
        <v>192</v>
      </c>
      <c r="AI127" s="215">
        <f t="shared" ref="AI127" si="584">IFERROR(130*D127,0)</f>
        <v>0</v>
      </c>
      <c r="AJ127" s="198" cm="1">
        <f t="array" ref="AJ127">IFERROR(SUM(_xlfn._xlws.FILTER(E127:AI127,ISNUMBER(E127:AI127))),0)</f>
        <v>0</v>
      </c>
      <c r="AK127" s="198"/>
      <c r="AL127" s="216">
        <f t="shared" ref="AL127" si="585">IFERROR(AJ127*(1+AK127%),0)</f>
        <v>0</v>
      </c>
      <c r="AM127" s="233"/>
      <c r="AN127" s="201">
        <f t="shared" ref="AN127" si="586">IFERROR(SUM(E127:AC127)/D127,0)</f>
        <v>0</v>
      </c>
      <c r="AO127" s="255"/>
      <c r="AQ127" s="254"/>
      <c r="AR127" s="254"/>
      <c r="AS127" s="254"/>
      <c r="AT127" s="254"/>
      <c r="AU127" s="254"/>
      <c r="AV127" s="254"/>
      <c r="AY127" s="253">
        <f t="shared" ref="AY127" si="587">IFERROR((AQ127*20)/60,0)</f>
        <v>0</v>
      </c>
      <c r="AZ127" s="253">
        <f t="shared" ref="AZ127" si="588">IFERROR(AX127 + AY127 + BI127,0)</f>
        <v>0</v>
      </c>
      <c r="BA127" s="252">
        <f t="shared" ref="BA127" si="589">IFERROR(AZ127/8,0)</f>
        <v>0</v>
      </c>
      <c r="BB127" s="252">
        <f t="shared" ref="BB127" si="590">IFERROR(MAX(AQ127-BA127,0),0)</f>
        <v>0</v>
      </c>
      <c r="BD127" s="234">
        <f t="shared" ref="BD127" si="591">IFERROR(10000*D127,0)</f>
        <v>0</v>
      </c>
      <c r="BE127" s="234"/>
      <c r="BF127" s="234"/>
      <c r="BG127" s="234">
        <f t="shared" ref="BG127" si="592">IFERROR(-IF(AH127=$K$3,0,IF(AH127=$M$3,15*680*D127,IF(AH127=$O$3,30*680*D127,IF(AH127=0,50*680*D127,0)))),0)</f>
        <v>0</v>
      </c>
      <c r="BH127" s="234"/>
      <c r="BI127" s="234"/>
      <c r="BJ127" s="234"/>
    </row>
    <row r="128" spans="1:62" ht="18" hidden="1" customHeight="1">
      <c r="A128" s="212"/>
      <c r="B128" s="88">
        <f>'Tong hop cac ma'!B128</f>
        <v>0</v>
      </c>
      <c r="C128" s="314">
        <f>'Tong hop cac ma'!C128</f>
        <v>0</v>
      </c>
      <c r="D128" s="197">
        <f t="shared" si="322"/>
        <v>0</v>
      </c>
      <c r="E128" s="228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29"/>
      <c r="AJ128" s="230"/>
      <c r="AK128" s="230"/>
      <c r="AL128" s="231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58"/>
      <c r="BB128" s="258"/>
      <c r="BC128" s="212"/>
      <c r="BD128" s="212"/>
      <c r="BE128" s="212"/>
      <c r="BF128" s="212"/>
      <c r="BG128" s="212"/>
      <c r="BH128" s="212"/>
      <c r="BI128" s="212"/>
      <c r="BJ128" s="212"/>
    </row>
    <row r="129" spans="1:62" ht="18" customHeight="1">
      <c r="A129" s="89">
        <v>61</v>
      </c>
      <c r="B129" s="88">
        <f>'Tong hop cac ma'!B129</f>
        <v>0</v>
      </c>
      <c r="C129" s="314">
        <f>'Tong hop cac ma'!C129</f>
        <v>0</v>
      </c>
      <c r="D129" s="197">
        <f t="shared" si="322"/>
        <v>0</v>
      </c>
      <c r="E129" s="213">
        <f>+'Tong hop cac ma'!S129</f>
        <v>0</v>
      </c>
      <c r="F129" s="214"/>
      <c r="G129" s="214"/>
      <c r="H129" s="214"/>
      <c r="I129" s="214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>
        <f t="shared" ref="AF129" si="593">IFERROR(SUM(F129:AC129)*0.2,0)</f>
        <v>0</v>
      </c>
      <c r="AG129" s="210"/>
      <c r="AH129" s="210" t="s">
        <v>192</v>
      </c>
      <c r="AI129" s="215">
        <f t="shared" ref="AI129" si="594">IFERROR(130*D129,0)</f>
        <v>0</v>
      </c>
      <c r="AJ129" s="198" cm="1">
        <f t="array" ref="AJ129">IFERROR(SUM(_xlfn._xlws.FILTER(E129:AI129,ISNUMBER(E129:AI129))),0)</f>
        <v>0</v>
      </c>
      <c r="AK129" s="198"/>
      <c r="AL129" s="216">
        <f t="shared" ref="AL129" si="595">IFERROR(AJ129*(1+AK129%),0)</f>
        <v>0</v>
      </c>
      <c r="AM129" s="233"/>
      <c r="AN129" s="201">
        <f t="shared" ref="AN129" si="596">IFERROR(SUM(E129:AC129)/D129,0)</f>
        <v>0</v>
      </c>
      <c r="AO129" s="255"/>
      <c r="AQ129" s="254"/>
      <c r="AR129" s="254"/>
      <c r="AS129" s="254"/>
      <c r="AT129" s="254"/>
      <c r="AU129" s="254"/>
      <c r="AV129" s="254"/>
      <c r="AY129" s="253">
        <f t="shared" ref="AY129" si="597">IFERROR((AQ129*20)/60,0)</f>
        <v>0</v>
      </c>
      <c r="AZ129" s="253">
        <f t="shared" ref="AZ129" si="598">IFERROR(AX129 + AY129 + BI129,0)</f>
        <v>0</v>
      </c>
      <c r="BA129" s="252">
        <f t="shared" ref="BA129" si="599">IFERROR(AZ129/8,0)</f>
        <v>0</v>
      </c>
      <c r="BB129" s="252">
        <f t="shared" ref="BB129" si="600">IFERROR(MAX(AQ129-BA129,0),0)</f>
        <v>0</v>
      </c>
      <c r="BD129" s="234">
        <f t="shared" ref="BD129" si="601">IFERROR(10000*D129,0)</f>
        <v>0</v>
      </c>
      <c r="BE129" s="234"/>
      <c r="BF129" s="234"/>
      <c r="BG129" s="234">
        <f t="shared" ref="BG129" si="602">IFERROR(-IF(AH129=$K$3,0,IF(AH129=$M$3,15*680*D129,IF(AH129=$O$3,30*680*D129,IF(AH129=0,50*680*D129,0)))),0)</f>
        <v>0</v>
      </c>
      <c r="BH129" s="234"/>
      <c r="BI129" s="234"/>
      <c r="BJ129" s="234"/>
    </row>
    <row r="130" spans="1:62" ht="18" hidden="1" customHeight="1">
      <c r="A130" s="81"/>
      <c r="B130" s="88">
        <f>'Tong hop cac ma'!B130</f>
        <v>0</v>
      </c>
      <c r="C130" s="314">
        <f>'Tong hop cac ma'!C130</f>
        <v>0</v>
      </c>
      <c r="D130" s="197">
        <f t="shared" si="322"/>
        <v>0</v>
      </c>
      <c r="E130" s="228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29"/>
      <c r="AJ130" s="230"/>
      <c r="AK130" s="230"/>
      <c r="AL130" s="231"/>
      <c r="AM130" s="212"/>
      <c r="AN130" s="212"/>
      <c r="AO130" s="212"/>
      <c r="AP130" s="212"/>
      <c r="AQ130" s="212"/>
      <c r="AR130" s="212"/>
      <c r="AS130" s="212"/>
      <c r="AT130" s="212"/>
      <c r="AU130" s="212"/>
      <c r="AV130" s="212"/>
      <c r="AW130" s="212"/>
      <c r="AX130" s="212"/>
      <c r="AY130" s="212"/>
      <c r="AZ130" s="212"/>
      <c r="BA130" s="258"/>
      <c r="BB130" s="258"/>
      <c r="BC130" s="212"/>
      <c r="BD130" s="212"/>
      <c r="BE130" s="212"/>
      <c r="BF130" s="212"/>
      <c r="BG130" s="212"/>
      <c r="BH130" s="212"/>
      <c r="BI130" s="212"/>
      <c r="BJ130" s="212"/>
    </row>
    <row r="131" spans="1:62" ht="18" customHeight="1">
      <c r="A131" s="86">
        <v>62</v>
      </c>
      <c r="B131" s="88">
        <f>'Tong hop cac ma'!B131</f>
        <v>0</v>
      </c>
      <c r="C131" s="314">
        <f>'Tong hop cac ma'!C131</f>
        <v>0</v>
      </c>
      <c r="D131" s="197">
        <f t="shared" si="322"/>
        <v>0</v>
      </c>
      <c r="E131" s="213">
        <f>+'Tong hop cac ma'!S131</f>
        <v>0</v>
      </c>
      <c r="F131" s="214"/>
      <c r="G131" s="214"/>
      <c r="H131" s="214"/>
      <c r="I131" s="214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>
        <f t="shared" ref="AF131" si="603">IFERROR(SUM(F131:AC131)*0.2,0)</f>
        <v>0</v>
      </c>
      <c r="AG131" s="210"/>
      <c r="AH131" s="210" t="s">
        <v>192</v>
      </c>
      <c r="AI131" s="215">
        <f t="shared" ref="AI131" si="604">IFERROR(130*D131,0)</f>
        <v>0</v>
      </c>
      <c r="AJ131" s="198" cm="1">
        <f t="array" ref="AJ131">IFERROR(SUM(_xlfn._xlws.FILTER(E131:AI131,ISNUMBER(E131:AI131))),0)</f>
        <v>0</v>
      </c>
      <c r="AK131" s="198"/>
      <c r="AL131" s="216">
        <f t="shared" ref="AL131" si="605">IFERROR(AJ131*(1+AK131%),0)</f>
        <v>0</v>
      </c>
      <c r="AM131" s="233"/>
      <c r="AN131" s="201">
        <f t="shared" ref="AN131" si="606">IFERROR(SUM(E131:AC131)/D131,0)</f>
        <v>0</v>
      </c>
      <c r="AO131" s="255"/>
      <c r="AQ131" s="254"/>
      <c r="AR131" s="254"/>
      <c r="AS131" s="254"/>
      <c r="AT131" s="254"/>
      <c r="AU131" s="254"/>
      <c r="AV131" s="254"/>
      <c r="AY131" s="253">
        <f t="shared" ref="AY131" si="607">IFERROR((AQ131*20)/60,0)</f>
        <v>0</v>
      </c>
      <c r="AZ131" s="253">
        <f t="shared" ref="AZ131" si="608">IFERROR(AX131 + AY131 + BI131,0)</f>
        <v>0</v>
      </c>
      <c r="BA131" s="252">
        <f t="shared" ref="BA131" si="609">IFERROR(AZ131/8,0)</f>
        <v>0</v>
      </c>
      <c r="BB131" s="252">
        <f t="shared" ref="BB131" si="610">IFERROR(MAX(AQ131-BA131,0),0)</f>
        <v>0</v>
      </c>
      <c r="BD131" s="234">
        <f t="shared" ref="BD131" si="611">IFERROR(10000*D131,0)</f>
        <v>0</v>
      </c>
      <c r="BE131" s="234"/>
      <c r="BF131" s="234"/>
      <c r="BG131" s="234">
        <f t="shared" ref="BG131" si="612">IFERROR(-IF(AH131=$K$3,0,IF(AH131=$M$3,15*680*D131,IF(AH131=$O$3,30*680*D131,IF(AH131=0,50*680*D131,0)))),0)</f>
        <v>0</v>
      </c>
      <c r="BH131" s="234"/>
      <c r="BI131" s="234"/>
      <c r="BJ131" s="234"/>
    </row>
    <row r="132" spans="1:62" ht="18" hidden="1" customHeight="1">
      <c r="A132" s="212"/>
      <c r="B132" s="88">
        <f>'Tong hop cac ma'!B132</f>
        <v>0</v>
      </c>
      <c r="C132" s="314">
        <f>'Tong hop cac ma'!C132</f>
        <v>0</v>
      </c>
      <c r="D132" s="197">
        <f t="shared" si="322"/>
        <v>0</v>
      </c>
      <c r="E132" s="228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29"/>
      <c r="AJ132" s="230"/>
      <c r="AK132" s="230"/>
      <c r="AL132" s="231"/>
      <c r="AM132" s="212"/>
      <c r="AN132" s="212"/>
      <c r="AO132" s="212"/>
      <c r="AP132" s="212"/>
      <c r="AQ132" s="212"/>
      <c r="AR132" s="212"/>
      <c r="AS132" s="212"/>
      <c r="AT132" s="212"/>
      <c r="AU132" s="212"/>
      <c r="AV132" s="212"/>
      <c r="AW132" s="212"/>
      <c r="AX132" s="212"/>
      <c r="AY132" s="212"/>
      <c r="AZ132" s="212"/>
      <c r="BA132" s="258"/>
      <c r="BB132" s="258"/>
      <c r="BC132" s="212"/>
      <c r="BD132" s="212"/>
      <c r="BE132" s="212"/>
      <c r="BF132" s="212"/>
      <c r="BG132" s="212"/>
      <c r="BH132" s="212"/>
      <c r="BI132" s="212"/>
      <c r="BJ132" s="212"/>
    </row>
    <row r="133" spans="1:62" ht="18" customHeight="1">
      <c r="A133" s="89">
        <v>63</v>
      </c>
      <c r="B133" s="88">
        <f>'Tong hop cac ma'!B133</f>
        <v>0</v>
      </c>
      <c r="C133" s="314">
        <f>'Tong hop cac ma'!C133</f>
        <v>0</v>
      </c>
      <c r="D133" s="197">
        <f t="shared" si="322"/>
        <v>0</v>
      </c>
      <c r="E133" s="213">
        <f>+'Tong hop cac ma'!S133</f>
        <v>0</v>
      </c>
      <c r="F133" s="214"/>
      <c r="G133" s="214"/>
      <c r="H133" s="214"/>
      <c r="I133" s="214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>
        <f t="shared" ref="AF133" si="613">IFERROR(SUM(F133:AC133)*0.2,0)</f>
        <v>0</v>
      </c>
      <c r="AG133" s="210"/>
      <c r="AH133" s="210" t="s">
        <v>192</v>
      </c>
      <c r="AI133" s="215">
        <f t="shared" ref="AI133" si="614">IFERROR(130*D133,0)</f>
        <v>0</v>
      </c>
      <c r="AJ133" s="198" cm="1">
        <f t="array" ref="AJ133">IFERROR(SUM(_xlfn._xlws.FILTER(E133:AI133,ISNUMBER(E133:AI133))),0)</f>
        <v>0</v>
      </c>
      <c r="AK133" s="198"/>
      <c r="AL133" s="216">
        <f t="shared" ref="AL133" si="615">IFERROR(AJ133*(1+AK133%),0)</f>
        <v>0</v>
      </c>
      <c r="AM133" s="233"/>
      <c r="AN133" s="201">
        <f t="shared" ref="AN133" si="616">IFERROR(SUM(E133:AC133)/D133,0)</f>
        <v>0</v>
      </c>
      <c r="AO133" s="255"/>
      <c r="AQ133" s="254"/>
      <c r="AR133" s="254"/>
      <c r="AS133" s="254"/>
      <c r="AT133" s="254"/>
      <c r="AU133" s="254"/>
      <c r="AV133" s="254"/>
      <c r="AY133" s="253">
        <f t="shared" ref="AY133" si="617">IFERROR((AQ133*20)/60,0)</f>
        <v>0</v>
      </c>
      <c r="AZ133" s="253">
        <f t="shared" ref="AZ133" si="618">IFERROR(AX133 + AY133 + BI133,0)</f>
        <v>0</v>
      </c>
      <c r="BA133" s="252">
        <f t="shared" ref="BA133" si="619">IFERROR(AZ133/8,0)</f>
        <v>0</v>
      </c>
      <c r="BB133" s="252">
        <f t="shared" ref="BB133" si="620">IFERROR(MAX(AQ133-BA133,0),0)</f>
        <v>0</v>
      </c>
      <c r="BD133" s="234">
        <f t="shared" ref="BD133" si="621">IFERROR(10000*D133,0)</f>
        <v>0</v>
      </c>
      <c r="BE133" s="234"/>
      <c r="BF133" s="234"/>
      <c r="BG133" s="234">
        <f t="shared" ref="BG133" si="622">IFERROR(-IF(AH133=$K$3,0,IF(AH133=$M$3,15*680*D133,IF(AH133=$O$3,30*680*D133,IF(AH133=0,50*680*D133,0)))),0)</f>
        <v>0</v>
      </c>
      <c r="BH133" s="234"/>
      <c r="BI133" s="234"/>
      <c r="BJ133" s="234"/>
    </row>
    <row r="134" spans="1:62" ht="18" hidden="1" customHeight="1">
      <c r="A134" s="81"/>
      <c r="B134" s="88">
        <f>'Tong hop cac ma'!B134</f>
        <v>0</v>
      </c>
      <c r="C134" s="314">
        <f>'Tong hop cac ma'!C134</f>
        <v>0</v>
      </c>
      <c r="D134" s="197">
        <f t="shared" si="322"/>
        <v>0</v>
      </c>
      <c r="E134" s="228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29"/>
      <c r="AJ134" s="230"/>
      <c r="AK134" s="230"/>
      <c r="AL134" s="231"/>
      <c r="AM134" s="212"/>
      <c r="AN134" s="212"/>
      <c r="AO134" s="212"/>
      <c r="AP134" s="212"/>
      <c r="AQ134" s="212"/>
      <c r="AR134" s="212"/>
      <c r="AS134" s="212"/>
      <c r="AT134" s="212"/>
      <c r="AU134" s="212"/>
      <c r="AV134" s="212"/>
      <c r="AW134" s="212"/>
      <c r="AX134" s="212"/>
      <c r="AY134" s="212"/>
      <c r="AZ134" s="212"/>
      <c r="BA134" s="258"/>
      <c r="BB134" s="258"/>
      <c r="BC134" s="212"/>
      <c r="BD134" s="212"/>
      <c r="BE134" s="212"/>
      <c r="BF134" s="212"/>
      <c r="BG134" s="212"/>
      <c r="BH134" s="212"/>
      <c r="BI134" s="212"/>
      <c r="BJ134" s="212"/>
    </row>
    <row r="135" spans="1:62" ht="18" customHeight="1">
      <c r="A135" s="86">
        <v>64</v>
      </c>
      <c r="B135" s="88">
        <f>'Tong hop cac ma'!B135</f>
        <v>0</v>
      </c>
      <c r="C135" s="314">
        <f>'Tong hop cac ma'!C135</f>
        <v>0</v>
      </c>
      <c r="D135" s="197">
        <f t="shared" si="322"/>
        <v>0</v>
      </c>
      <c r="E135" s="213">
        <f>+'Tong hop cac ma'!S135</f>
        <v>0</v>
      </c>
      <c r="F135" s="214"/>
      <c r="G135" s="214"/>
      <c r="H135" s="214"/>
      <c r="I135" s="214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>
        <f t="shared" ref="AF135" si="623">IFERROR(SUM(F135:AC135)*0.2,0)</f>
        <v>0</v>
      </c>
      <c r="AG135" s="210"/>
      <c r="AH135" s="210" t="s">
        <v>192</v>
      </c>
      <c r="AI135" s="215">
        <f t="shared" ref="AI135" si="624">IFERROR(130*D135,0)</f>
        <v>0</v>
      </c>
      <c r="AJ135" s="198" cm="1">
        <f t="array" ref="AJ135">IFERROR(SUM(_xlfn._xlws.FILTER(E135:AI135,ISNUMBER(E135:AI135))),0)</f>
        <v>0</v>
      </c>
      <c r="AK135" s="198"/>
      <c r="AL135" s="216">
        <f t="shared" ref="AL135" si="625">IFERROR(AJ135*(1+AK135%),0)</f>
        <v>0</v>
      </c>
      <c r="AM135" s="233"/>
      <c r="AN135" s="201">
        <f t="shared" ref="AN135" si="626">IFERROR(SUM(E135:AC135)/D135,0)</f>
        <v>0</v>
      </c>
      <c r="AO135" s="255"/>
      <c r="AQ135" s="254"/>
      <c r="AR135" s="254"/>
      <c r="AS135" s="254"/>
      <c r="AT135" s="254"/>
      <c r="AU135" s="254"/>
      <c r="AV135" s="254"/>
      <c r="AY135" s="253">
        <f t="shared" ref="AY135" si="627">IFERROR((AQ135*20)/60,0)</f>
        <v>0</v>
      </c>
      <c r="AZ135" s="253">
        <f t="shared" ref="AZ135" si="628">IFERROR(AX135 + AY135 + BI135,0)</f>
        <v>0</v>
      </c>
      <c r="BA135" s="252">
        <f t="shared" ref="BA135" si="629">IFERROR(AZ135/8,0)</f>
        <v>0</v>
      </c>
      <c r="BB135" s="252">
        <f t="shared" ref="BB135" si="630">IFERROR(MAX(AQ135-BA135,0),0)</f>
        <v>0</v>
      </c>
      <c r="BD135" s="234">
        <f t="shared" ref="BD135" si="631">IFERROR(10000*D135,0)</f>
        <v>0</v>
      </c>
      <c r="BE135" s="234"/>
      <c r="BF135" s="234"/>
      <c r="BG135" s="234">
        <f t="shared" ref="BG135" si="632">IFERROR(-IF(AH135=$K$3,0,IF(AH135=$M$3,15*680*D135,IF(AH135=$O$3,30*680*D135,IF(AH135=0,50*680*D135,0)))),0)</f>
        <v>0</v>
      </c>
      <c r="BH135" s="234"/>
      <c r="BI135" s="234"/>
      <c r="BJ135" s="234"/>
    </row>
    <row r="136" spans="1:62" ht="18" hidden="1" customHeight="1">
      <c r="A136" s="212"/>
      <c r="B136" s="88">
        <f>'Tong hop cac ma'!B136</f>
        <v>0</v>
      </c>
      <c r="C136" s="314">
        <f>'Tong hop cac ma'!C136</f>
        <v>0</v>
      </c>
      <c r="D136" s="197">
        <f t="shared" si="322"/>
        <v>0</v>
      </c>
      <c r="E136" s="228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29"/>
      <c r="AJ136" s="230"/>
      <c r="AK136" s="230"/>
      <c r="AL136" s="231"/>
      <c r="AM136" s="212"/>
      <c r="AN136" s="212"/>
      <c r="AO136" s="212"/>
      <c r="AP136" s="212"/>
      <c r="AQ136" s="212"/>
      <c r="AR136" s="212"/>
      <c r="AS136" s="212"/>
      <c r="AT136" s="212"/>
      <c r="AU136" s="212"/>
      <c r="AV136" s="212"/>
      <c r="AW136" s="212"/>
      <c r="AX136" s="212"/>
      <c r="AY136" s="212"/>
      <c r="AZ136" s="212"/>
      <c r="BA136" s="258"/>
      <c r="BB136" s="258"/>
      <c r="BC136" s="212"/>
      <c r="BD136" s="212"/>
      <c r="BE136" s="212"/>
      <c r="BF136" s="212"/>
      <c r="BG136" s="212"/>
      <c r="BH136" s="212"/>
      <c r="BI136" s="212"/>
      <c r="BJ136" s="212"/>
    </row>
    <row r="137" spans="1:62" ht="18" customHeight="1">
      <c r="A137" s="89">
        <v>65</v>
      </c>
      <c r="B137" s="88">
        <f>'Tong hop cac ma'!B137</f>
        <v>0</v>
      </c>
      <c r="C137" s="314">
        <f>'Tong hop cac ma'!C137</f>
        <v>0</v>
      </c>
      <c r="D137" s="197">
        <f t="shared" si="322"/>
        <v>0</v>
      </c>
      <c r="E137" s="213">
        <f>+'Tong hop cac ma'!S137</f>
        <v>0</v>
      </c>
      <c r="F137" s="214"/>
      <c r="G137" s="214"/>
      <c r="H137" s="214"/>
      <c r="I137" s="214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>
        <f t="shared" ref="AF137" si="633">IFERROR(SUM(F137:AC137)*0.2,0)</f>
        <v>0</v>
      </c>
      <c r="AG137" s="210"/>
      <c r="AH137" s="210" t="s">
        <v>192</v>
      </c>
      <c r="AI137" s="215">
        <f t="shared" ref="AI137" si="634">IFERROR(130*D137,0)</f>
        <v>0</v>
      </c>
      <c r="AJ137" s="198" cm="1">
        <f t="array" ref="AJ137">IFERROR(SUM(_xlfn._xlws.FILTER(E137:AI137,ISNUMBER(E137:AI137))),0)</f>
        <v>0</v>
      </c>
      <c r="AK137" s="198"/>
      <c r="AL137" s="216">
        <f t="shared" ref="AL137" si="635">IFERROR(AJ137*(1+AK137%),0)</f>
        <v>0</v>
      </c>
      <c r="AM137" s="233"/>
      <c r="AN137" s="201">
        <f t="shared" ref="AN137" si="636">IFERROR(SUM(E137:AC137)/D137,0)</f>
        <v>0</v>
      </c>
      <c r="AO137" s="255"/>
      <c r="AQ137" s="254"/>
      <c r="AR137" s="254"/>
      <c r="AS137" s="254"/>
      <c r="AT137" s="254"/>
      <c r="AU137" s="254"/>
      <c r="AV137" s="254"/>
      <c r="AY137" s="253">
        <f t="shared" ref="AY137" si="637">IFERROR((AQ137*20)/60,0)</f>
        <v>0</v>
      </c>
      <c r="AZ137" s="253">
        <f t="shared" ref="AZ137" si="638">IFERROR(AX137 + AY137 + BI137,0)</f>
        <v>0</v>
      </c>
      <c r="BA137" s="252">
        <f t="shared" ref="BA137" si="639">IFERROR(AZ137/8,0)</f>
        <v>0</v>
      </c>
      <c r="BB137" s="252">
        <f t="shared" ref="BB137" si="640">IFERROR(MAX(AQ137-BA137,0),0)</f>
        <v>0</v>
      </c>
      <c r="BD137" s="234">
        <f t="shared" ref="BD137" si="641">IFERROR(10000*D137,0)</f>
        <v>0</v>
      </c>
      <c r="BE137" s="234"/>
      <c r="BF137" s="234"/>
      <c r="BG137" s="234">
        <f t="shared" ref="BG137" si="642">IFERROR(-IF(AH137=$K$3,0,IF(AH137=$M$3,15*680*D137,IF(AH137=$O$3,30*680*D137,IF(AH137=0,50*680*D137,0)))),0)</f>
        <v>0</v>
      </c>
      <c r="BH137" s="234"/>
      <c r="BI137" s="234"/>
      <c r="BJ137" s="234"/>
    </row>
    <row r="138" spans="1:62" ht="18" hidden="1" customHeight="1">
      <c r="A138" s="81"/>
      <c r="B138" s="88">
        <f>'Tong hop cac ma'!B138</f>
        <v>0</v>
      </c>
      <c r="C138" s="314">
        <f>'Tong hop cac ma'!C138</f>
        <v>0</v>
      </c>
      <c r="D138" s="197">
        <f t="shared" ref="D138:D201" si="643">AQ138</f>
        <v>0</v>
      </c>
      <c r="E138" s="228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29"/>
      <c r="AJ138" s="230"/>
      <c r="AK138" s="230"/>
      <c r="AL138" s="231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58"/>
      <c r="BB138" s="258"/>
      <c r="BC138" s="212"/>
      <c r="BD138" s="212"/>
      <c r="BE138" s="212"/>
      <c r="BF138" s="212"/>
      <c r="BG138" s="212"/>
      <c r="BH138" s="212"/>
      <c r="BI138" s="212"/>
      <c r="BJ138" s="212"/>
    </row>
    <row r="139" spans="1:62" s="202" customFormat="1" ht="20.25" customHeight="1">
      <c r="A139" s="86">
        <v>66</v>
      </c>
      <c r="B139" s="88">
        <f>'Tong hop cac ma'!B139</f>
        <v>0</v>
      </c>
      <c r="C139" s="314">
        <f>'Tong hop cac ma'!C139</f>
        <v>0</v>
      </c>
      <c r="D139" s="197">
        <f t="shared" si="643"/>
        <v>0</v>
      </c>
      <c r="E139" s="213">
        <f>+'Tong hop cac ma'!S139</f>
        <v>0</v>
      </c>
      <c r="F139" s="214"/>
      <c r="G139" s="214"/>
      <c r="H139" s="214"/>
      <c r="I139" s="214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>
        <f t="shared" ref="AF139" si="644">IFERROR(SUM(F139:AC139)*0.2,0)</f>
        <v>0</v>
      </c>
      <c r="AG139" s="210"/>
      <c r="AH139" s="210" t="s">
        <v>192</v>
      </c>
      <c r="AI139" s="215">
        <f t="shared" ref="AI139" si="645">IFERROR(130*D139,0)</f>
        <v>0</v>
      </c>
      <c r="AJ139" s="198" cm="1">
        <f t="array" ref="AJ139">IFERROR(SUM(_xlfn._xlws.FILTER(E139:AI139,ISNUMBER(E139:AI139))),0)</f>
        <v>0</v>
      </c>
      <c r="AK139" s="198"/>
      <c r="AL139" s="216">
        <f t="shared" ref="AL139" si="646">IFERROR(AJ139*(1+AK139%),0)</f>
        <v>0</v>
      </c>
      <c r="AM139" s="233"/>
      <c r="AN139" s="201">
        <f t="shared" ref="AN139" si="647">IFERROR(SUM(E139:AC139)/D139,0)</f>
        <v>0</v>
      </c>
      <c r="AO139" s="255"/>
      <c r="AP139" s="234"/>
      <c r="AQ139" s="254"/>
      <c r="AR139" s="254"/>
      <c r="AS139" s="254"/>
      <c r="AT139" s="254"/>
      <c r="AU139" s="254"/>
      <c r="AV139" s="254"/>
      <c r="AW139" s="234"/>
      <c r="AX139" s="234"/>
      <c r="AY139" s="253">
        <f t="shared" ref="AY139" si="648">IFERROR((AQ139*20)/60,0)</f>
        <v>0</v>
      </c>
      <c r="AZ139" s="253">
        <f t="shared" ref="AZ139" si="649">IFERROR(AX139 + AY139 + BI139,0)</f>
        <v>0</v>
      </c>
      <c r="BA139" s="252">
        <f t="shared" ref="BA139" si="650">IFERROR(AZ139/8,0)</f>
        <v>0</v>
      </c>
      <c r="BB139" s="252">
        <f t="shared" ref="BB139" si="651">IFERROR(MAX(AQ139-BA139,0),0)</f>
        <v>0</v>
      </c>
      <c r="BC139" s="234"/>
      <c r="BD139" s="234">
        <f t="shared" ref="BD139" si="652">IFERROR(10000*D139,0)</f>
        <v>0</v>
      </c>
      <c r="BE139" s="234"/>
      <c r="BF139" s="234"/>
      <c r="BG139" s="234">
        <f t="shared" ref="BG139" si="653">IFERROR(-IF(AH139=$K$3,0,IF(AH139=$M$3,15*680*D139,IF(AH139=$O$3,30*680*D139,IF(AH139=0,50*680*D139,0)))),0)</f>
        <v>0</v>
      </c>
      <c r="BH139" s="234"/>
      <c r="BI139" s="234"/>
      <c r="BJ139" s="234"/>
    </row>
    <row r="140" spans="1:62" ht="18" hidden="1" customHeight="1">
      <c r="A140" s="212"/>
      <c r="B140" s="88">
        <f>'Tong hop cac ma'!B140</f>
        <v>0</v>
      </c>
      <c r="C140" s="314">
        <f>'Tong hop cac ma'!C140</f>
        <v>0</v>
      </c>
      <c r="D140" s="197">
        <f t="shared" si="643"/>
        <v>0</v>
      </c>
      <c r="E140" s="228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29"/>
      <c r="AJ140" s="230"/>
      <c r="AK140" s="230"/>
      <c r="AL140" s="231"/>
      <c r="AM140" s="212"/>
      <c r="AN140" s="212"/>
      <c r="AO140" s="212"/>
      <c r="AP140" s="212"/>
      <c r="AQ140" s="212"/>
      <c r="AR140" s="212"/>
      <c r="AS140" s="212"/>
      <c r="AT140" s="212"/>
      <c r="AU140" s="212"/>
      <c r="AV140" s="212"/>
      <c r="AW140" s="212"/>
      <c r="AX140" s="212"/>
      <c r="AY140" s="212"/>
      <c r="AZ140" s="212"/>
      <c r="BA140" s="258"/>
      <c r="BB140" s="258"/>
      <c r="BC140" s="212"/>
      <c r="BD140" s="212"/>
      <c r="BE140" s="212"/>
      <c r="BF140" s="212"/>
      <c r="BG140" s="212"/>
      <c r="BH140" s="212"/>
      <c r="BI140" s="212"/>
      <c r="BJ140" s="212"/>
    </row>
    <row r="141" spans="1:62" ht="18" hidden="1" customHeight="1">
      <c r="A141" s="89">
        <v>67</v>
      </c>
      <c r="B141" s="88">
        <f>'Tong hop cac ma'!B141</f>
        <v>0</v>
      </c>
      <c r="C141" s="314">
        <f>'Tong hop cac ma'!C141</f>
        <v>0</v>
      </c>
      <c r="D141" s="197">
        <f t="shared" si="643"/>
        <v>0</v>
      </c>
      <c r="E141" s="213">
        <f>+'Tong hop cac ma'!S141</f>
        <v>0</v>
      </c>
      <c r="F141" s="214"/>
      <c r="G141" s="214"/>
      <c r="H141" s="214"/>
      <c r="I141" s="214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>
        <f t="shared" ref="AF141" si="654">IFERROR(SUM(F141:AC141)*0.2,0)</f>
        <v>0</v>
      </c>
      <c r="AG141" s="210"/>
      <c r="AH141" s="210" t="s">
        <v>192</v>
      </c>
      <c r="AI141" s="215">
        <f t="shared" ref="AI141" si="655">IFERROR(130*D141,0)</f>
        <v>0</v>
      </c>
      <c r="AJ141" s="198" cm="1">
        <f t="array" ref="AJ141">IFERROR(SUM(_xlfn._xlws.FILTER(E141:AI141,ISNUMBER(E141:AI141))),0)</f>
        <v>0</v>
      </c>
      <c r="AK141" s="198"/>
      <c r="AL141" s="216">
        <f t="shared" ref="AL141" si="656">IFERROR(AJ141*(1+AK141%),0)</f>
        <v>0</v>
      </c>
      <c r="AM141" s="233"/>
      <c r="AN141" s="201">
        <f t="shared" ref="AN141" si="657">IFERROR(SUM(E141:AC141)/D141,0)</f>
        <v>0</v>
      </c>
      <c r="AO141" s="255"/>
      <c r="AQ141" s="254"/>
      <c r="AR141" s="254"/>
      <c r="AS141" s="254"/>
      <c r="AT141" s="254"/>
      <c r="AU141" s="254"/>
      <c r="AV141" s="254"/>
      <c r="AY141" s="253">
        <f t="shared" ref="AY141" si="658">IFERROR((AQ141*20)/60,0)</f>
        <v>0</v>
      </c>
      <c r="AZ141" s="253">
        <f t="shared" ref="AZ141" si="659">IFERROR(AX141 + AY141 + BI141,0)</f>
        <v>0</v>
      </c>
      <c r="BA141" s="252">
        <f t="shared" ref="BA141" si="660">IFERROR(AZ141/8,0)</f>
        <v>0</v>
      </c>
      <c r="BB141" s="252">
        <f t="shared" ref="BB141" si="661">IFERROR(MAX(AQ141-BA141,0),0)</f>
        <v>0</v>
      </c>
      <c r="BD141" s="234">
        <f t="shared" ref="BD141" si="662">IFERROR(10000*D141,0)</f>
        <v>0</v>
      </c>
      <c r="BE141" s="234"/>
      <c r="BF141" s="234"/>
      <c r="BG141" s="234">
        <f t="shared" ref="BG141" si="663">IFERROR(-IF(AH141=$K$3,0,IF(AH141=$M$3,15*680*D141,IF(AH141=$O$3,30*680*D141,IF(AH141=0,50*680*D141,0)))),0)</f>
        <v>0</v>
      </c>
      <c r="BH141" s="234"/>
      <c r="BI141" s="234"/>
      <c r="BJ141" s="234"/>
    </row>
    <row r="142" spans="1:62" ht="18" hidden="1" customHeight="1">
      <c r="A142" s="81"/>
      <c r="B142" s="88">
        <f>'Tong hop cac ma'!B142</f>
        <v>0</v>
      </c>
      <c r="C142" s="314">
        <f>'Tong hop cac ma'!C142</f>
        <v>0</v>
      </c>
      <c r="D142" s="197">
        <f t="shared" si="643"/>
        <v>0</v>
      </c>
      <c r="E142" s="228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29"/>
      <c r="AJ142" s="230"/>
      <c r="AK142" s="230"/>
      <c r="AL142" s="231"/>
      <c r="AM142" s="212"/>
      <c r="AN142" s="212"/>
      <c r="AO142" s="212"/>
      <c r="AP142" s="212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58"/>
      <c r="BB142" s="258"/>
      <c r="BC142" s="212"/>
      <c r="BD142" s="212"/>
      <c r="BE142" s="212"/>
      <c r="BF142" s="212"/>
      <c r="BG142" s="212"/>
      <c r="BH142" s="212"/>
      <c r="BI142" s="212"/>
      <c r="BJ142" s="212"/>
    </row>
    <row r="143" spans="1:62" ht="18" hidden="1" customHeight="1">
      <c r="A143" s="86">
        <v>68</v>
      </c>
      <c r="B143" s="88">
        <f>'Tong hop cac ma'!B143</f>
        <v>0</v>
      </c>
      <c r="C143" s="314">
        <f>'Tong hop cac ma'!C143</f>
        <v>0</v>
      </c>
      <c r="D143" s="197">
        <f t="shared" si="643"/>
        <v>0</v>
      </c>
      <c r="E143" s="213">
        <f>+'Tong hop cac ma'!S143</f>
        <v>0</v>
      </c>
      <c r="F143" s="214"/>
      <c r="G143" s="214"/>
      <c r="H143" s="214"/>
      <c r="I143" s="214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>
        <f t="shared" ref="AF143" si="664">IFERROR(SUM(F143:AC143)*0.2,0)</f>
        <v>0</v>
      </c>
      <c r="AG143" s="210"/>
      <c r="AH143" s="210" t="s">
        <v>192</v>
      </c>
      <c r="AI143" s="215">
        <f t="shared" ref="AI143" si="665">IFERROR(130*D143,0)</f>
        <v>0</v>
      </c>
      <c r="AJ143" s="198" cm="1">
        <f t="array" ref="AJ143">IFERROR(SUM(_xlfn._xlws.FILTER(E143:AI143,ISNUMBER(E143:AI143))),0)</f>
        <v>0</v>
      </c>
      <c r="AK143" s="198"/>
      <c r="AL143" s="216">
        <f t="shared" ref="AL143" si="666">IFERROR(AJ143*(1+AK143%),0)</f>
        <v>0</v>
      </c>
      <c r="AM143" s="233"/>
      <c r="AN143" s="201">
        <f t="shared" ref="AN143" si="667">IFERROR(SUM(E143:AC143)/D143,0)</f>
        <v>0</v>
      </c>
      <c r="AO143" s="255"/>
      <c r="AQ143" s="254"/>
      <c r="AR143" s="254"/>
      <c r="AS143" s="254"/>
      <c r="AT143" s="254"/>
      <c r="AU143" s="254"/>
      <c r="AV143" s="254"/>
      <c r="AY143" s="253">
        <f t="shared" ref="AY143" si="668">IFERROR((AQ143*20)/60,0)</f>
        <v>0</v>
      </c>
      <c r="AZ143" s="253">
        <f t="shared" ref="AZ143" si="669">IFERROR(AX143 + AY143 + BI143,0)</f>
        <v>0</v>
      </c>
      <c r="BA143" s="252">
        <f t="shared" ref="BA143" si="670">IFERROR(AZ143/8,0)</f>
        <v>0</v>
      </c>
      <c r="BB143" s="252">
        <f t="shared" ref="BB143" si="671">IFERROR(MAX(AQ143-BA143,0),0)</f>
        <v>0</v>
      </c>
      <c r="BD143" s="234">
        <f t="shared" ref="BD143" si="672">IFERROR(10000*D143,0)</f>
        <v>0</v>
      </c>
      <c r="BE143" s="234"/>
      <c r="BF143" s="234"/>
      <c r="BG143" s="234">
        <f t="shared" ref="BG143" si="673">IFERROR(-IF(AH143=$K$3,0,IF(AH143=$M$3,15*680*D143,IF(AH143=$O$3,30*680*D143,IF(AH143=0,50*680*D143,0)))),0)</f>
        <v>0</v>
      </c>
      <c r="BH143" s="234"/>
      <c r="BI143" s="234"/>
      <c r="BJ143" s="234"/>
    </row>
    <row r="144" spans="1:62" ht="18" hidden="1" customHeight="1">
      <c r="A144" s="212"/>
      <c r="B144" s="88">
        <f>'Tong hop cac ma'!B144</f>
        <v>0</v>
      </c>
      <c r="C144" s="314">
        <f>'Tong hop cac ma'!C144</f>
        <v>0</v>
      </c>
      <c r="D144" s="197">
        <f t="shared" si="643"/>
        <v>0</v>
      </c>
      <c r="E144" s="228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29"/>
      <c r="AJ144" s="230"/>
      <c r="AK144" s="230"/>
      <c r="AL144" s="231"/>
      <c r="AM144" s="212"/>
      <c r="AN144" s="212"/>
      <c r="AO144" s="212"/>
      <c r="AP144" s="212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58"/>
      <c r="BB144" s="258"/>
      <c r="BC144" s="212"/>
      <c r="BD144" s="212"/>
      <c r="BE144" s="212"/>
      <c r="BF144" s="212"/>
      <c r="BG144" s="212"/>
      <c r="BH144" s="212"/>
      <c r="BI144" s="212"/>
      <c r="BJ144" s="212"/>
    </row>
    <row r="145" spans="1:62" ht="18" hidden="1" customHeight="1">
      <c r="A145" s="89">
        <v>69</v>
      </c>
      <c r="B145" s="88">
        <f>'Tong hop cac ma'!B145</f>
        <v>0</v>
      </c>
      <c r="C145" s="314">
        <f>'Tong hop cac ma'!C145</f>
        <v>0</v>
      </c>
      <c r="D145" s="197">
        <f t="shared" si="643"/>
        <v>0</v>
      </c>
      <c r="E145" s="213">
        <f>+'Tong hop cac ma'!S145</f>
        <v>0</v>
      </c>
      <c r="F145" s="214"/>
      <c r="G145" s="214"/>
      <c r="H145" s="214"/>
      <c r="I145" s="214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>
        <f t="shared" ref="AF145" si="674">IFERROR(SUM(F145:AC145)*0.2,0)</f>
        <v>0</v>
      </c>
      <c r="AG145" s="210"/>
      <c r="AH145" s="210" t="s">
        <v>192</v>
      </c>
      <c r="AI145" s="215">
        <f t="shared" ref="AI145" si="675">IFERROR(130*D145,0)</f>
        <v>0</v>
      </c>
      <c r="AJ145" s="198" cm="1">
        <f t="array" ref="AJ145">IFERROR(SUM(_xlfn._xlws.FILTER(E145:AI145,ISNUMBER(E145:AI145))),0)</f>
        <v>0</v>
      </c>
      <c r="AK145" s="198"/>
      <c r="AL145" s="216">
        <f t="shared" ref="AL145" si="676">IFERROR(AJ145*(1+AK145%),0)</f>
        <v>0</v>
      </c>
      <c r="AM145" s="233"/>
      <c r="AN145" s="201">
        <f t="shared" ref="AN145" si="677">IFERROR(SUM(E145:AC145)/D145,0)</f>
        <v>0</v>
      </c>
      <c r="AO145" s="255"/>
      <c r="AQ145" s="254"/>
      <c r="AR145" s="254"/>
      <c r="AS145" s="254"/>
      <c r="AT145" s="254"/>
      <c r="AU145" s="254"/>
      <c r="AV145" s="254"/>
      <c r="AY145" s="253">
        <f t="shared" ref="AY145" si="678">IFERROR((AQ145*20)/60,0)</f>
        <v>0</v>
      </c>
      <c r="AZ145" s="253">
        <f t="shared" ref="AZ145" si="679">IFERROR(AX145 + AY145 + BI145,0)</f>
        <v>0</v>
      </c>
      <c r="BA145" s="252">
        <f t="shared" ref="BA145" si="680">IFERROR(AZ145/8,0)</f>
        <v>0</v>
      </c>
      <c r="BB145" s="252">
        <f t="shared" ref="BB145" si="681">IFERROR(MAX(AQ145-BA145,0),0)</f>
        <v>0</v>
      </c>
      <c r="BD145" s="234">
        <f t="shared" ref="BD145" si="682">IFERROR(10000*D145,0)</f>
        <v>0</v>
      </c>
      <c r="BE145" s="234"/>
      <c r="BF145" s="234"/>
      <c r="BG145" s="234">
        <f t="shared" ref="BG145" si="683">IFERROR(-IF(AH145=$K$3,0,IF(AH145=$M$3,15*680*D145,IF(AH145=$O$3,30*680*D145,IF(AH145=0,50*680*D145,0)))),0)</f>
        <v>0</v>
      </c>
      <c r="BH145" s="234"/>
      <c r="BI145" s="234"/>
      <c r="BJ145" s="234"/>
    </row>
    <row r="146" spans="1:62" ht="18" hidden="1" customHeight="1">
      <c r="A146" s="81"/>
      <c r="B146" s="88">
        <f>'Tong hop cac ma'!B146</f>
        <v>0</v>
      </c>
      <c r="C146" s="314">
        <f>'Tong hop cac ma'!C146</f>
        <v>0</v>
      </c>
      <c r="D146" s="197">
        <f t="shared" si="643"/>
        <v>0</v>
      </c>
      <c r="E146" s="228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29"/>
      <c r="AJ146" s="230"/>
      <c r="AK146" s="230"/>
      <c r="AL146" s="231"/>
      <c r="AM146" s="212"/>
      <c r="AN146" s="212"/>
      <c r="AO146" s="212"/>
      <c r="AP146" s="212"/>
      <c r="AQ146" s="212"/>
      <c r="AR146" s="212"/>
      <c r="AS146" s="212"/>
      <c r="AT146" s="212"/>
      <c r="AU146" s="212"/>
      <c r="AV146" s="212"/>
      <c r="AW146" s="212"/>
      <c r="AX146" s="212"/>
      <c r="AY146" s="212"/>
      <c r="AZ146" s="212"/>
      <c r="BA146" s="258"/>
      <c r="BB146" s="258"/>
      <c r="BC146" s="212"/>
      <c r="BD146" s="212"/>
      <c r="BE146" s="212"/>
      <c r="BF146" s="212"/>
      <c r="BG146" s="212"/>
      <c r="BH146" s="212"/>
      <c r="BI146" s="212"/>
      <c r="BJ146" s="212"/>
    </row>
    <row r="147" spans="1:62" ht="18" hidden="1" customHeight="1">
      <c r="A147" s="86">
        <v>70</v>
      </c>
      <c r="B147" s="88">
        <f>'Tong hop cac ma'!B147</f>
        <v>0</v>
      </c>
      <c r="C147" s="314">
        <f>'Tong hop cac ma'!C147</f>
        <v>0</v>
      </c>
      <c r="D147" s="197">
        <f t="shared" si="643"/>
        <v>0</v>
      </c>
      <c r="E147" s="213">
        <f>+'Tong hop cac ma'!S147</f>
        <v>0</v>
      </c>
      <c r="F147" s="214"/>
      <c r="G147" s="214"/>
      <c r="H147" s="214"/>
      <c r="I147" s="214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>
        <f t="shared" ref="AF147" si="684">IFERROR(SUM(F147:AC147)*0.2,0)</f>
        <v>0</v>
      </c>
      <c r="AG147" s="210"/>
      <c r="AH147" s="210" t="s">
        <v>192</v>
      </c>
      <c r="AI147" s="215">
        <f t="shared" ref="AI147" si="685">IFERROR(130*D147,0)</f>
        <v>0</v>
      </c>
      <c r="AJ147" s="198" cm="1">
        <f t="array" ref="AJ147">IFERROR(SUM(_xlfn._xlws.FILTER(E147:AI147,ISNUMBER(E147:AI147))),0)</f>
        <v>0</v>
      </c>
      <c r="AK147" s="198"/>
      <c r="AL147" s="216">
        <f t="shared" ref="AL147" si="686">IFERROR(AJ147*(1+AK147%),0)</f>
        <v>0</v>
      </c>
      <c r="AM147" s="233"/>
      <c r="AN147" s="201">
        <f t="shared" ref="AN147" si="687">IFERROR(SUM(E147:AC147)/D147,0)</f>
        <v>0</v>
      </c>
      <c r="AO147" s="255"/>
      <c r="AQ147" s="254"/>
      <c r="AR147" s="254"/>
      <c r="AS147" s="254"/>
      <c r="AT147" s="254"/>
      <c r="AU147" s="254"/>
      <c r="AV147" s="254"/>
      <c r="AY147" s="253">
        <f t="shared" ref="AY147" si="688">IFERROR((AQ147*20)/60,0)</f>
        <v>0</v>
      </c>
      <c r="AZ147" s="253">
        <f t="shared" ref="AZ147" si="689">IFERROR(AX147 + AY147 + BI147,0)</f>
        <v>0</v>
      </c>
      <c r="BA147" s="252">
        <f t="shared" ref="BA147" si="690">IFERROR(AZ147/8,0)</f>
        <v>0</v>
      </c>
      <c r="BB147" s="252">
        <f t="shared" ref="BB147" si="691">IFERROR(MAX(AQ147-BA147,0),0)</f>
        <v>0</v>
      </c>
      <c r="BD147" s="234">
        <f t="shared" ref="BD147" si="692">IFERROR(10000*D147,0)</f>
        <v>0</v>
      </c>
      <c r="BE147" s="234"/>
      <c r="BF147" s="234"/>
      <c r="BG147" s="234">
        <f t="shared" ref="BG147" si="693">IFERROR(-IF(AH147=$K$3,0,IF(AH147=$M$3,15*680*D147,IF(AH147=$O$3,30*680*D147,IF(AH147=0,50*680*D147,0)))),0)</f>
        <v>0</v>
      </c>
      <c r="BH147" s="234"/>
      <c r="BI147" s="234"/>
      <c r="BJ147" s="234"/>
    </row>
    <row r="148" spans="1:62" ht="18" hidden="1" customHeight="1">
      <c r="A148" s="212"/>
      <c r="B148" s="88">
        <f>'Tong hop cac ma'!B148</f>
        <v>0</v>
      </c>
      <c r="C148" s="314">
        <f>'Tong hop cac ma'!C148</f>
        <v>0</v>
      </c>
      <c r="D148" s="197">
        <f t="shared" si="643"/>
        <v>0</v>
      </c>
      <c r="E148" s="228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29"/>
      <c r="AJ148" s="230"/>
      <c r="AK148" s="230"/>
      <c r="AL148" s="231"/>
      <c r="AM148" s="212"/>
      <c r="AN148" s="212"/>
      <c r="AO148" s="212"/>
      <c r="AP148" s="212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58"/>
      <c r="BB148" s="258"/>
      <c r="BC148" s="212"/>
      <c r="BD148" s="212"/>
      <c r="BE148" s="212"/>
      <c r="BF148" s="212"/>
      <c r="BG148" s="212"/>
      <c r="BH148" s="212"/>
      <c r="BI148" s="212"/>
      <c r="BJ148" s="212"/>
    </row>
    <row r="149" spans="1:62" ht="18" hidden="1" customHeight="1">
      <c r="A149" s="89">
        <v>71</v>
      </c>
      <c r="B149" s="88">
        <f>'Tong hop cac ma'!B149</f>
        <v>0</v>
      </c>
      <c r="C149" s="314">
        <f>'Tong hop cac ma'!C149</f>
        <v>0</v>
      </c>
      <c r="D149" s="197">
        <f t="shared" si="643"/>
        <v>0</v>
      </c>
      <c r="E149" s="213">
        <f>+'Tong hop cac ma'!S149</f>
        <v>0</v>
      </c>
      <c r="F149" s="214"/>
      <c r="G149" s="214"/>
      <c r="H149" s="214"/>
      <c r="I149" s="214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>
        <f t="shared" ref="AF149" si="694">IFERROR(SUM(F149:AC149)*0.2,0)</f>
        <v>0</v>
      </c>
      <c r="AG149" s="210"/>
      <c r="AH149" s="210" t="s">
        <v>192</v>
      </c>
      <c r="AI149" s="215">
        <f t="shared" ref="AI149" si="695">IFERROR(130*D149,0)</f>
        <v>0</v>
      </c>
      <c r="AJ149" s="198" cm="1">
        <f t="array" ref="AJ149">IFERROR(SUM(_xlfn._xlws.FILTER(E149:AI149,ISNUMBER(E149:AI149))),0)</f>
        <v>0</v>
      </c>
      <c r="AK149" s="198"/>
      <c r="AL149" s="216">
        <f t="shared" ref="AL149" si="696">IFERROR(AJ149*(1+AK149%),0)</f>
        <v>0</v>
      </c>
      <c r="AM149" s="233"/>
      <c r="AN149" s="201">
        <f t="shared" ref="AN149" si="697">IFERROR(SUM(E149:AC149)/D149,0)</f>
        <v>0</v>
      </c>
      <c r="AO149" s="255"/>
      <c r="AQ149" s="254"/>
      <c r="AR149" s="254"/>
      <c r="AS149" s="254"/>
      <c r="AT149" s="254"/>
      <c r="AU149" s="254"/>
      <c r="AV149" s="254"/>
      <c r="AY149" s="253">
        <f t="shared" ref="AY149" si="698">IFERROR((AQ149*20)/60,0)</f>
        <v>0</v>
      </c>
      <c r="AZ149" s="253">
        <f t="shared" ref="AZ149" si="699">IFERROR(AX149 + AY149 + BI149,0)</f>
        <v>0</v>
      </c>
      <c r="BA149" s="252">
        <f t="shared" ref="BA149" si="700">IFERROR(AZ149/8,0)</f>
        <v>0</v>
      </c>
      <c r="BB149" s="252">
        <f t="shared" ref="BB149" si="701">IFERROR(MAX(AQ149-BA149,0),0)</f>
        <v>0</v>
      </c>
      <c r="BD149" s="234">
        <f t="shared" ref="BD149" si="702">IFERROR(10000*D149,0)</f>
        <v>0</v>
      </c>
      <c r="BE149" s="234"/>
      <c r="BF149" s="234"/>
      <c r="BG149" s="234">
        <f t="shared" ref="BG149" si="703">IFERROR(-IF(AH149=$K$3,0,IF(AH149=$M$3,15*680*D149,IF(AH149=$O$3,30*680*D149,IF(AH149=0,50*680*D149,0)))),0)</f>
        <v>0</v>
      </c>
      <c r="BH149" s="234"/>
      <c r="BI149" s="234"/>
      <c r="BJ149" s="234"/>
    </row>
    <row r="150" spans="1:62" ht="18" hidden="1" customHeight="1">
      <c r="A150" s="81"/>
      <c r="B150" s="88">
        <f>'Tong hop cac ma'!B150</f>
        <v>0</v>
      </c>
      <c r="C150" s="314">
        <f>'Tong hop cac ma'!C150</f>
        <v>0</v>
      </c>
      <c r="D150" s="197">
        <f t="shared" si="643"/>
        <v>0</v>
      </c>
      <c r="E150" s="228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29"/>
      <c r="AJ150" s="230"/>
      <c r="AK150" s="230"/>
      <c r="AL150" s="231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58"/>
      <c r="BB150" s="258"/>
      <c r="BC150" s="212"/>
      <c r="BD150" s="212"/>
      <c r="BE150" s="212"/>
      <c r="BF150" s="212"/>
      <c r="BG150" s="212"/>
      <c r="BH150" s="212"/>
      <c r="BI150" s="212"/>
      <c r="BJ150" s="212"/>
    </row>
    <row r="151" spans="1:62" ht="18" hidden="1" customHeight="1">
      <c r="A151" s="86">
        <v>72</v>
      </c>
      <c r="B151" s="88">
        <f>'Tong hop cac ma'!B151</f>
        <v>0</v>
      </c>
      <c r="C151" s="314">
        <f>'Tong hop cac ma'!C151</f>
        <v>0</v>
      </c>
      <c r="D151" s="197">
        <f t="shared" si="643"/>
        <v>0</v>
      </c>
      <c r="E151" s="213">
        <f>+'Tong hop cac ma'!S151</f>
        <v>0</v>
      </c>
      <c r="F151" s="214"/>
      <c r="G151" s="214"/>
      <c r="H151" s="214"/>
      <c r="I151" s="214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>
        <f t="shared" ref="AF151" si="704">IFERROR(SUM(F151:AC151)*0.2,0)</f>
        <v>0</v>
      </c>
      <c r="AG151" s="210"/>
      <c r="AH151" s="210" t="s">
        <v>192</v>
      </c>
      <c r="AI151" s="215">
        <f t="shared" ref="AI151" si="705">IFERROR(130*D151,0)</f>
        <v>0</v>
      </c>
      <c r="AJ151" s="198" cm="1">
        <f t="array" ref="AJ151">IFERROR(SUM(_xlfn._xlws.FILTER(E151:AI151,ISNUMBER(E151:AI151))),0)</f>
        <v>0</v>
      </c>
      <c r="AK151" s="198"/>
      <c r="AL151" s="216">
        <f t="shared" ref="AL151" si="706">IFERROR(AJ151*(1+AK151%),0)</f>
        <v>0</v>
      </c>
      <c r="AM151" s="233"/>
      <c r="AN151" s="201">
        <f t="shared" ref="AN151" si="707">IFERROR(SUM(E151:AC151)/D151,0)</f>
        <v>0</v>
      </c>
      <c r="AO151" s="255"/>
      <c r="AQ151" s="254"/>
      <c r="AR151" s="254"/>
      <c r="AS151" s="254"/>
      <c r="AT151" s="254"/>
      <c r="AU151" s="254"/>
      <c r="AV151" s="254"/>
      <c r="AY151" s="253">
        <f t="shared" ref="AY151" si="708">IFERROR((AQ151*20)/60,0)</f>
        <v>0</v>
      </c>
      <c r="AZ151" s="253">
        <f t="shared" ref="AZ151" si="709">IFERROR(AX151 + AY151 + BI151,0)</f>
        <v>0</v>
      </c>
      <c r="BA151" s="252">
        <f t="shared" ref="BA151" si="710">IFERROR(AZ151/8,0)</f>
        <v>0</v>
      </c>
      <c r="BB151" s="252">
        <f t="shared" ref="BB151" si="711">IFERROR(MAX(AQ151-BA151,0),0)</f>
        <v>0</v>
      </c>
      <c r="BD151" s="234">
        <f t="shared" ref="BD151" si="712">IFERROR(10000*D151,0)</f>
        <v>0</v>
      </c>
      <c r="BE151" s="234"/>
      <c r="BF151" s="234"/>
      <c r="BG151" s="234">
        <f t="shared" ref="BG151" si="713">IFERROR(-IF(AH151=$K$3,0,IF(AH151=$M$3,15*680*D151,IF(AH151=$O$3,30*680*D151,IF(AH151=0,50*680*D151,0)))),0)</f>
        <v>0</v>
      </c>
      <c r="BH151" s="234"/>
      <c r="BI151" s="234"/>
      <c r="BJ151" s="234"/>
    </row>
    <row r="152" spans="1:62" ht="18" hidden="1" customHeight="1">
      <c r="A152" s="212"/>
      <c r="B152" s="88">
        <f>'Tong hop cac ma'!B152</f>
        <v>0</v>
      </c>
      <c r="C152" s="314">
        <f>'Tong hop cac ma'!C152</f>
        <v>0</v>
      </c>
      <c r="D152" s="197">
        <f t="shared" si="643"/>
        <v>0</v>
      </c>
      <c r="E152" s="228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29"/>
      <c r="AJ152" s="230"/>
      <c r="AK152" s="230"/>
      <c r="AL152" s="231"/>
      <c r="AM152" s="212"/>
      <c r="AN152" s="212"/>
      <c r="AO152" s="212"/>
      <c r="AP152" s="212"/>
      <c r="AQ152" s="212"/>
      <c r="AR152" s="212"/>
      <c r="AS152" s="212"/>
      <c r="AT152" s="212"/>
      <c r="AU152" s="212"/>
      <c r="AV152" s="212"/>
      <c r="AW152" s="212"/>
      <c r="AX152" s="212"/>
      <c r="AY152" s="212"/>
      <c r="AZ152" s="212"/>
      <c r="BA152" s="258"/>
      <c r="BB152" s="258"/>
      <c r="BC152" s="212"/>
      <c r="BD152" s="212"/>
      <c r="BE152" s="212"/>
      <c r="BF152" s="212"/>
      <c r="BG152" s="212"/>
      <c r="BH152" s="212"/>
      <c r="BI152" s="212"/>
      <c r="BJ152" s="212"/>
    </row>
    <row r="153" spans="1:62" ht="18" hidden="1" customHeight="1">
      <c r="A153" s="89">
        <v>73</v>
      </c>
      <c r="B153" s="88">
        <f>'Tong hop cac ma'!B153</f>
        <v>0</v>
      </c>
      <c r="C153" s="314">
        <f>'Tong hop cac ma'!C153</f>
        <v>0</v>
      </c>
      <c r="D153" s="197">
        <f t="shared" si="643"/>
        <v>0</v>
      </c>
      <c r="E153" s="213">
        <f>+'Tong hop cac ma'!S153</f>
        <v>0</v>
      </c>
      <c r="F153" s="214"/>
      <c r="G153" s="214"/>
      <c r="H153" s="214"/>
      <c r="I153" s="214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>
        <f t="shared" ref="AF153" si="714">IFERROR(SUM(F153:AC153)*0.2,0)</f>
        <v>0</v>
      </c>
      <c r="AG153" s="210"/>
      <c r="AH153" s="210" t="s">
        <v>192</v>
      </c>
      <c r="AI153" s="215">
        <f t="shared" ref="AI153" si="715">IFERROR(130*D153,0)</f>
        <v>0</v>
      </c>
      <c r="AJ153" s="198" cm="1">
        <f t="array" ref="AJ153">IFERROR(SUM(_xlfn._xlws.FILTER(E153:AI153,ISNUMBER(E153:AI153))),0)</f>
        <v>0</v>
      </c>
      <c r="AK153" s="198"/>
      <c r="AL153" s="216">
        <f t="shared" ref="AL153" si="716">IFERROR(AJ153*(1+AK153%),0)</f>
        <v>0</v>
      </c>
      <c r="AM153" s="233"/>
      <c r="AN153" s="201">
        <f t="shared" ref="AN153" si="717">IFERROR(SUM(E153:AC153)/D153,0)</f>
        <v>0</v>
      </c>
      <c r="AO153" s="255"/>
      <c r="AQ153" s="254"/>
      <c r="AR153" s="254"/>
      <c r="AS153" s="254"/>
      <c r="AT153" s="254"/>
      <c r="AU153" s="254"/>
      <c r="AV153" s="254"/>
      <c r="AY153" s="253">
        <f t="shared" ref="AY153" si="718">IFERROR((AQ153*20)/60,0)</f>
        <v>0</v>
      </c>
      <c r="AZ153" s="253">
        <f t="shared" ref="AZ153" si="719">IFERROR(AX153 + AY153 + BI153,0)</f>
        <v>0</v>
      </c>
      <c r="BA153" s="252">
        <f t="shared" ref="BA153" si="720">IFERROR(AZ153/8,0)</f>
        <v>0</v>
      </c>
      <c r="BB153" s="252">
        <f t="shared" ref="BB153" si="721">IFERROR(MAX(AQ153-BA153,0),0)</f>
        <v>0</v>
      </c>
      <c r="BD153" s="234">
        <f t="shared" ref="BD153" si="722">IFERROR(10000*D153,0)</f>
        <v>0</v>
      </c>
      <c r="BE153" s="234"/>
      <c r="BF153" s="234"/>
      <c r="BG153" s="234">
        <f t="shared" ref="BG153" si="723">IFERROR(-IF(AH153=$K$3,0,IF(AH153=$M$3,15*680*D153,IF(AH153=$O$3,30*680*D153,IF(AH153=0,50*680*D153,0)))),0)</f>
        <v>0</v>
      </c>
      <c r="BH153" s="234"/>
      <c r="BI153" s="234"/>
      <c r="BJ153" s="234"/>
    </row>
    <row r="154" spans="1:62" ht="18" hidden="1" customHeight="1">
      <c r="A154" s="81"/>
      <c r="B154" s="88">
        <f>'Tong hop cac ma'!B154</f>
        <v>0</v>
      </c>
      <c r="C154" s="314">
        <f>'Tong hop cac ma'!C154</f>
        <v>0</v>
      </c>
      <c r="D154" s="197">
        <f t="shared" si="643"/>
        <v>0</v>
      </c>
      <c r="E154" s="228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29"/>
      <c r="AJ154" s="230"/>
      <c r="AK154" s="230"/>
      <c r="AL154" s="231"/>
      <c r="AM154" s="212"/>
      <c r="AN154" s="212"/>
      <c r="AO154" s="212"/>
      <c r="AP154" s="212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58"/>
      <c r="BB154" s="258"/>
      <c r="BC154" s="212"/>
      <c r="BD154" s="212"/>
      <c r="BE154" s="212"/>
      <c r="BF154" s="212"/>
      <c r="BG154" s="212"/>
      <c r="BH154" s="212"/>
      <c r="BI154" s="212"/>
      <c r="BJ154" s="212"/>
    </row>
    <row r="155" spans="1:62" ht="18" hidden="1" customHeight="1">
      <c r="A155" s="86">
        <v>74</v>
      </c>
      <c r="B155" s="88">
        <f>'Tong hop cac ma'!B155</f>
        <v>0</v>
      </c>
      <c r="C155" s="314">
        <f>'Tong hop cac ma'!C155</f>
        <v>0</v>
      </c>
      <c r="D155" s="197">
        <f t="shared" si="643"/>
        <v>0</v>
      </c>
      <c r="E155" s="213">
        <f>+'Tong hop cac ma'!S155</f>
        <v>0</v>
      </c>
      <c r="F155" s="214"/>
      <c r="G155" s="214"/>
      <c r="H155" s="214"/>
      <c r="I155" s="214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>
        <f t="shared" ref="AF155" si="724">IFERROR(SUM(F155:AC155)*0.2,0)</f>
        <v>0</v>
      </c>
      <c r="AG155" s="210"/>
      <c r="AH155" s="210" t="s">
        <v>192</v>
      </c>
      <c r="AI155" s="215">
        <f t="shared" ref="AI155" si="725">IFERROR(130*D155,0)</f>
        <v>0</v>
      </c>
      <c r="AJ155" s="198" cm="1">
        <f t="array" ref="AJ155">IFERROR(SUM(_xlfn._xlws.FILTER(E155:AI155,ISNUMBER(E155:AI155))),0)</f>
        <v>0</v>
      </c>
      <c r="AK155" s="198"/>
      <c r="AL155" s="216">
        <f t="shared" ref="AL155" si="726">IFERROR(AJ155*(1+AK155%),0)</f>
        <v>0</v>
      </c>
      <c r="AM155" s="233"/>
      <c r="AN155" s="201">
        <f t="shared" ref="AN155" si="727">IFERROR(SUM(E155:AC155)/D155,0)</f>
        <v>0</v>
      </c>
      <c r="AO155" s="255"/>
      <c r="AQ155" s="254"/>
      <c r="AR155" s="254"/>
      <c r="AS155" s="254"/>
      <c r="AT155" s="254"/>
      <c r="AU155" s="254"/>
      <c r="AV155" s="254"/>
      <c r="AY155" s="253">
        <f t="shared" ref="AY155" si="728">IFERROR((AQ155*20)/60,0)</f>
        <v>0</v>
      </c>
      <c r="AZ155" s="253">
        <f t="shared" ref="AZ155" si="729">IFERROR(AX155 + AY155 + BI155,0)</f>
        <v>0</v>
      </c>
      <c r="BA155" s="252">
        <f t="shared" ref="BA155" si="730">IFERROR(AZ155/8,0)</f>
        <v>0</v>
      </c>
      <c r="BB155" s="252">
        <f t="shared" ref="BB155" si="731">IFERROR(MAX(AQ155-BA155,0),0)</f>
        <v>0</v>
      </c>
      <c r="BD155" s="234">
        <f t="shared" ref="BD155" si="732">IFERROR(10000*D155,0)</f>
        <v>0</v>
      </c>
      <c r="BE155" s="234"/>
      <c r="BF155" s="234"/>
      <c r="BG155" s="234">
        <f t="shared" ref="BG155" si="733">IFERROR(-IF(AH155=$K$3,0,IF(AH155=$M$3,15*680*D155,IF(AH155=$O$3,30*680*D155,IF(AH155=0,50*680*D155,0)))),0)</f>
        <v>0</v>
      </c>
      <c r="BH155" s="234"/>
      <c r="BI155" s="234"/>
      <c r="BJ155" s="234"/>
    </row>
    <row r="156" spans="1:62" ht="18" hidden="1" customHeight="1">
      <c r="A156" s="212"/>
      <c r="B156" s="88">
        <f>'Tong hop cac ma'!B156</f>
        <v>0</v>
      </c>
      <c r="C156" s="314">
        <f>'Tong hop cac ma'!C156</f>
        <v>0</v>
      </c>
      <c r="D156" s="197">
        <f t="shared" si="643"/>
        <v>0</v>
      </c>
      <c r="E156" s="228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29"/>
      <c r="AJ156" s="230"/>
      <c r="AK156" s="230"/>
      <c r="AL156" s="231"/>
      <c r="AM156" s="212"/>
      <c r="AN156" s="212"/>
      <c r="AO156" s="212"/>
      <c r="AP156" s="212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58"/>
      <c r="BB156" s="258"/>
      <c r="BC156" s="212"/>
      <c r="BD156" s="212"/>
      <c r="BE156" s="212"/>
      <c r="BF156" s="212"/>
      <c r="BG156" s="212"/>
      <c r="BH156" s="212"/>
      <c r="BI156" s="212"/>
      <c r="BJ156" s="212"/>
    </row>
    <row r="157" spans="1:62" ht="18" hidden="1" customHeight="1">
      <c r="A157" s="89">
        <v>75</v>
      </c>
      <c r="B157" s="88">
        <f>'Tong hop cac ma'!B157</f>
        <v>0</v>
      </c>
      <c r="C157" s="314">
        <f>'Tong hop cac ma'!C157</f>
        <v>0</v>
      </c>
      <c r="D157" s="197">
        <f t="shared" si="643"/>
        <v>0</v>
      </c>
      <c r="E157" s="213">
        <f>+'Tong hop cac ma'!S157</f>
        <v>0</v>
      </c>
      <c r="F157" s="214"/>
      <c r="G157" s="214"/>
      <c r="H157" s="214"/>
      <c r="I157" s="214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>
        <f t="shared" ref="AF157" si="734">IFERROR(SUM(F157:AC157)*0.2,0)</f>
        <v>0</v>
      </c>
      <c r="AG157" s="210"/>
      <c r="AH157" s="210" t="s">
        <v>192</v>
      </c>
      <c r="AI157" s="215">
        <f t="shared" ref="AI157" si="735">IFERROR(130*D157,0)</f>
        <v>0</v>
      </c>
      <c r="AJ157" s="198" cm="1">
        <f t="array" ref="AJ157">IFERROR(SUM(_xlfn._xlws.FILTER(E157:AI157,ISNUMBER(E157:AI157))),0)</f>
        <v>0</v>
      </c>
      <c r="AK157" s="198"/>
      <c r="AL157" s="216">
        <f t="shared" ref="AL157" si="736">IFERROR(AJ157*(1+AK157%),0)</f>
        <v>0</v>
      </c>
      <c r="AM157" s="233"/>
      <c r="AN157" s="201">
        <f t="shared" ref="AN157" si="737">IFERROR(SUM(E157:AC157)/D157,0)</f>
        <v>0</v>
      </c>
      <c r="AO157" s="255"/>
      <c r="AQ157" s="254"/>
      <c r="AR157" s="254"/>
      <c r="AS157" s="254"/>
      <c r="AT157" s="254"/>
      <c r="AU157" s="254"/>
      <c r="AV157" s="254"/>
      <c r="AY157" s="253">
        <f t="shared" ref="AY157" si="738">IFERROR((AQ157*20)/60,0)</f>
        <v>0</v>
      </c>
      <c r="AZ157" s="253">
        <f t="shared" ref="AZ157" si="739">IFERROR(AX157 + AY157 + BI157,0)</f>
        <v>0</v>
      </c>
      <c r="BA157" s="252">
        <f t="shared" ref="BA157" si="740">IFERROR(AZ157/8,0)</f>
        <v>0</v>
      </c>
      <c r="BB157" s="252">
        <f t="shared" ref="BB157" si="741">IFERROR(MAX(AQ157-BA157,0),0)</f>
        <v>0</v>
      </c>
      <c r="BD157" s="234">
        <f t="shared" ref="BD157" si="742">IFERROR(10000*D157,0)</f>
        <v>0</v>
      </c>
      <c r="BE157" s="234"/>
      <c r="BF157" s="234"/>
      <c r="BG157" s="234">
        <f t="shared" ref="BG157" si="743">IFERROR(-IF(AH157=$K$3,0,IF(AH157=$M$3,15*680*D157,IF(AH157=$O$3,30*680*D157,IF(AH157=0,50*680*D157,0)))),0)</f>
        <v>0</v>
      </c>
      <c r="BH157" s="234"/>
      <c r="BI157" s="234"/>
      <c r="BJ157" s="234"/>
    </row>
    <row r="158" spans="1:62" ht="18" hidden="1" customHeight="1">
      <c r="A158" s="81"/>
      <c r="B158" s="88">
        <f>'Tong hop cac ma'!B158</f>
        <v>0</v>
      </c>
      <c r="C158" s="314">
        <f>'Tong hop cac ma'!C158</f>
        <v>0</v>
      </c>
      <c r="D158" s="197">
        <f t="shared" si="643"/>
        <v>0</v>
      </c>
      <c r="E158" s="228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29"/>
      <c r="AJ158" s="230"/>
      <c r="AK158" s="230"/>
      <c r="AL158" s="231"/>
      <c r="AM158" s="212"/>
      <c r="AN158" s="212"/>
      <c r="AO158" s="212"/>
      <c r="AP158" s="212"/>
      <c r="AQ158" s="212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58"/>
      <c r="BB158" s="258"/>
      <c r="BC158" s="212"/>
      <c r="BD158" s="212"/>
      <c r="BE158" s="212"/>
      <c r="BF158" s="212"/>
      <c r="BG158" s="212"/>
      <c r="BH158" s="212"/>
      <c r="BI158" s="212"/>
      <c r="BJ158" s="212"/>
    </row>
    <row r="159" spans="1:62" ht="18" hidden="1" customHeight="1">
      <c r="A159" s="86">
        <v>76</v>
      </c>
      <c r="B159" s="88">
        <f>'Tong hop cac ma'!B159</f>
        <v>0</v>
      </c>
      <c r="C159" s="314">
        <f>'Tong hop cac ma'!C159</f>
        <v>0</v>
      </c>
      <c r="D159" s="197">
        <f t="shared" si="643"/>
        <v>0</v>
      </c>
      <c r="E159" s="213">
        <f>+'Tong hop cac ma'!S159</f>
        <v>0</v>
      </c>
      <c r="F159" s="214"/>
      <c r="G159" s="214"/>
      <c r="H159" s="214"/>
      <c r="I159" s="214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>
        <f t="shared" ref="AF159" si="744">IFERROR(SUM(F159:AC159)*0.2,0)</f>
        <v>0</v>
      </c>
      <c r="AG159" s="210"/>
      <c r="AH159" s="210" t="s">
        <v>192</v>
      </c>
      <c r="AI159" s="215">
        <f t="shared" ref="AI159" si="745">IFERROR(130*D159,0)</f>
        <v>0</v>
      </c>
      <c r="AJ159" s="198" cm="1">
        <f t="array" ref="AJ159">IFERROR(SUM(_xlfn._xlws.FILTER(E159:AI159,ISNUMBER(E159:AI159))),0)</f>
        <v>0</v>
      </c>
      <c r="AK159" s="198"/>
      <c r="AL159" s="216">
        <f t="shared" ref="AL159" si="746">IFERROR(AJ159*(1+AK159%),0)</f>
        <v>0</v>
      </c>
      <c r="AM159" s="233"/>
      <c r="AN159" s="201">
        <f t="shared" ref="AN159" si="747">IFERROR(SUM(E159:AC159)/D159,0)</f>
        <v>0</v>
      </c>
      <c r="AO159" s="255"/>
      <c r="AQ159" s="254"/>
      <c r="AR159" s="254"/>
      <c r="AS159" s="254"/>
      <c r="AT159" s="254"/>
      <c r="AU159" s="254"/>
      <c r="AV159" s="254"/>
      <c r="AY159" s="253">
        <f t="shared" ref="AY159" si="748">IFERROR((AQ159*20)/60,0)</f>
        <v>0</v>
      </c>
      <c r="AZ159" s="253">
        <f t="shared" ref="AZ159" si="749">IFERROR(AX159 + AY159 + BI159,0)</f>
        <v>0</v>
      </c>
      <c r="BA159" s="252">
        <f t="shared" ref="BA159" si="750">IFERROR(AZ159/8,0)</f>
        <v>0</v>
      </c>
      <c r="BB159" s="252">
        <f t="shared" ref="BB159" si="751">IFERROR(MAX(AQ159-BA159,0),0)</f>
        <v>0</v>
      </c>
      <c r="BD159" s="234">
        <f t="shared" ref="BD159" si="752">IFERROR(10000*D159,0)</f>
        <v>0</v>
      </c>
      <c r="BE159" s="234"/>
      <c r="BF159" s="234"/>
      <c r="BG159" s="234">
        <f t="shared" ref="BG159" si="753">IFERROR(-IF(AH159=$K$3,0,IF(AH159=$M$3,15*680*D159,IF(AH159=$O$3,30*680*D159,IF(AH159=0,50*680*D159,0)))),0)</f>
        <v>0</v>
      </c>
      <c r="BH159" s="234"/>
      <c r="BI159" s="234"/>
      <c r="BJ159" s="234"/>
    </row>
    <row r="160" spans="1:62" ht="18" hidden="1" customHeight="1">
      <c r="A160" s="212"/>
      <c r="B160" s="88">
        <f>'Tong hop cac ma'!B160</f>
        <v>0</v>
      </c>
      <c r="C160" s="314">
        <f>'Tong hop cac ma'!C160</f>
        <v>0</v>
      </c>
      <c r="D160" s="197">
        <f t="shared" si="643"/>
        <v>0</v>
      </c>
      <c r="E160" s="228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29"/>
      <c r="AJ160" s="230"/>
      <c r="AK160" s="230"/>
      <c r="AL160" s="231"/>
      <c r="AM160" s="212"/>
      <c r="AN160" s="212"/>
      <c r="AO160" s="212"/>
      <c r="AP160" s="212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58"/>
      <c r="BB160" s="258"/>
      <c r="BC160" s="212"/>
      <c r="BD160" s="212"/>
      <c r="BE160" s="212"/>
      <c r="BF160" s="212"/>
      <c r="BG160" s="212"/>
      <c r="BH160" s="212"/>
      <c r="BI160" s="212"/>
      <c r="BJ160" s="212"/>
    </row>
    <row r="161" spans="1:62" ht="18" hidden="1" customHeight="1">
      <c r="A161" s="89">
        <v>77</v>
      </c>
      <c r="B161" s="88">
        <f>'Tong hop cac ma'!B161</f>
        <v>0</v>
      </c>
      <c r="C161" s="314">
        <f>'Tong hop cac ma'!C161</f>
        <v>0</v>
      </c>
      <c r="D161" s="197">
        <f t="shared" si="643"/>
        <v>0</v>
      </c>
      <c r="E161" s="213">
        <f>+'Tong hop cac ma'!S161</f>
        <v>0</v>
      </c>
      <c r="F161" s="214"/>
      <c r="G161" s="214"/>
      <c r="H161" s="214"/>
      <c r="I161" s="214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>
        <f t="shared" ref="AF161" si="754">IFERROR(SUM(F161:AC161)*0.2,0)</f>
        <v>0</v>
      </c>
      <c r="AG161" s="210"/>
      <c r="AH161" s="210" t="s">
        <v>192</v>
      </c>
      <c r="AI161" s="215">
        <f t="shared" ref="AI161" si="755">IFERROR(130*D161,0)</f>
        <v>0</v>
      </c>
      <c r="AJ161" s="198" cm="1">
        <f t="array" ref="AJ161">IFERROR(SUM(_xlfn._xlws.FILTER(E161:AI161,ISNUMBER(E161:AI161))),0)</f>
        <v>0</v>
      </c>
      <c r="AK161" s="198"/>
      <c r="AL161" s="216">
        <f t="shared" ref="AL161" si="756">IFERROR(AJ161*(1+AK161%),0)</f>
        <v>0</v>
      </c>
      <c r="AM161" s="233"/>
      <c r="AN161" s="201">
        <f t="shared" ref="AN161" si="757">IFERROR(SUM(E161:AC161)/D161,0)</f>
        <v>0</v>
      </c>
      <c r="AO161" s="255"/>
      <c r="AQ161" s="254"/>
      <c r="AR161" s="254"/>
      <c r="AS161" s="254"/>
      <c r="AT161" s="254"/>
      <c r="AU161" s="254"/>
      <c r="AV161" s="254"/>
      <c r="AY161" s="253">
        <f t="shared" ref="AY161" si="758">IFERROR((AQ161*20)/60,0)</f>
        <v>0</v>
      </c>
      <c r="AZ161" s="253">
        <f t="shared" ref="AZ161" si="759">IFERROR(AX161 + AY161 + BI161,0)</f>
        <v>0</v>
      </c>
      <c r="BA161" s="252">
        <f t="shared" ref="BA161" si="760">IFERROR(AZ161/8,0)</f>
        <v>0</v>
      </c>
      <c r="BB161" s="252">
        <f t="shared" ref="BB161" si="761">IFERROR(MAX(AQ161-BA161,0),0)</f>
        <v>0</v>
      </c>
      <c r="BD161" s="234">
        <f t="shared" ref="BD161" si="762">IFERROR(10000*D161,0)</f>
        <v>0</v>
      </c>
      <c r="BE161" s="234"/>
      <c r="BF161" s="234"/>
      <c r="BG161" s="234">
        <f t="shared" ref="BG161" si="763">IFERROR(-IF(AH161=$K$3,0,IF(AH161=$M$3,15*680*D161,IF(AH161=$O$3,30*680*D161,IF(AH161=0,50*680*D161,0)))),0)</f>
        <v>0</v>
      </c>
      <c r="BH161" s="234"/>
      <c r="BI161" s="234"/>
      <c r="BJ161" s="234"/>
    </row>
    <row r="162" spans="1:62" ht="18" hidden="1" customHeight="1">
      <c r="A162" s="81"/>
      <c r="B162" s="88">
        <f>'Tong hop cac ma'!B162</f>
        <v>0</v>
      </c>
      <c r="C162" s="314">
        <f>'Tong hop cac ma'!C162</f>
        <v>0</v>
      </c>
      <c r="D162" s="197">
        <f t="shared" si="643"/>
        <v>0</v>
      </c>
      <c r="E162" s="228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29"/>
      <c r="AJ162" s="230"/>
      <c r="AK162" s="230"/>
      <c r="AL162" s="231"/>
      <c r="AM162" s="212"/>
      <c r="AN162" s="212"/>
      <c r="AO162" s="212"/>
      <c r="AP162" s="212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58"/>
      <c r="BB162" s="258"/>
      <c r="BC162" s="212"/>
      <c r="BD162" s="212"/>
      <c r="BE162" s="212"/>
      <c r="BF162" s="212"/>
      <c r="BG162" s="212"/>
      <c r="BH162" s="212"/>
      <c r="BI162" s="212"/>
      <c r="BJ162" s="212"/>
    </row>
    <row r="163" spans="1:62" ht="18" hidden="1" customHeight="1">
      <c r="A163" s="86">
        <v>78</v>
      </c>
      <c r="B163" s="88">
        <f>'Tong hop cac ma'!B163</f>
        <v>0</v>
      </c>
      <c r="C163" s="314">
        <f>'Tong hop cac ma'!C163</f>
        <v>0</v>
      </c>
      <c r="D163" s="197">
        <f t="shared" si="643"/>
        <v>0</v>
      </c>
      <c r="E163" s="213">
        <f>+'Tong hop cac ma'!S163</f>
        <v>0</v>
      </c>
      <c r="F163" s="214"/>
      <c r="G163" s="214"/>
      <c r="H163" s="214"/>
      <c r="I163" s="214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>
        <f t="shared" ref="AF163" si="764">IFERROR(SUM(F163:AC163)*0.2,0)</f>
        <v>0</v>
      </c>
      <c r="AG163" s="210"/>
      <c r="AH163" s="210" t="s">
        <v>192</v>
      </c>
      <c r="AI163" s="215">
        <f t="shared" ref="AI163" si="765">IFERROR(130*D163,0)</f>
        <v>0</v>
      </c>
      <c r="AJ163" s="198" cm="1">
        <f t="array" ref="AJ163">IFERROR(SUM(_xlfn._xlws.FILTER(E163:AI163,ISNUMBER(E163:AI163))),0)</f>
        <v>0</v>
      </c>
      <c r="AK163" s="198"/>
      <c r="AL163" s="216">
        <f t="shared" ref="AL163" si="766">IFERROR(AJ163*(1+AK163%),0)</f>
        <v>0</v>
      </c>
      <c r="AM163" s="233"/>
      <c r="AN163" s="201">
        <f t="shared" ref="AN163" si="767">IFERROR(SUM(E163:AC163)/D163,0)</f>
        <v>0</v>
      </c>
      <c r="AO163" s="255"/>
      <c r="AQ163" s="254"/>
      <c r="AR163" s="254"/>
      <c r="AS163" s="254"/>
      <c r="AT163" s="254"/>
      <c r="AU163" s="254"/>
      <c r="AV163" s="254"/>
      <c r="AY163" s="253">
        <f t="shared" ref="AY163" si="768">IFERROR((AQ163*20)/60,0)</f>
        <v>0</v>
      </c>
      <c r="AZ163" s="253">
        <f t="shared" ref="AZ163" si="769">IFERROR(AX163 + AY163 + BI163,0)</f>
        <v>0</v>
      </c>
      <c r="BA163" s="252">
        <f t="shared" ref="BA163" si="770">IFERROR(AZ163/8,0)</f>
        <v>0</v>
      </c>
      <c r="BB163" s="252">
        <f t="shared" ref="BB163" si="771">IFERROR(MAX(AQ163-BA163,0),0)</f>
        <v>0</v>
      </c>
      <c r="BD163" s="234">
        <f t="shared" ref="BD163" si="772">IFERROR(10000*D163,0)</f>
        <v>0</v>
      </c>
      <c r="BE163" s="234"/>
      <c r="BF163" s="234"/>
      <c r="BG163" s="234">
        <f t="shared" ref="BG163" si="773">IFERROR(-IF(AH163=$K$3,0,IF(AH163=$M$3,15*680*D163,IF(AH163=$O$3,30*680*D163,IF(AH163=0,50*680*D163,0)))),0)</f>
        <v>0</v>
      </c>
      <c r="BH163" s="234"/>
      <c r="BI163" s="234"/>
      <c r="BJ163" s="234"/>
    </row>
    <row r="164" spans="1:62" ht="18" hidden="1" customHeight="1">
      <c r="A164" s="212"/>
      <c r="B164" s="88">
        <f>'Tong hop cac ma'!B164</f>
        <v>0</v>
      </c>
      <c r="C164" s="314">
        <f>'Tong hop cac ma'!C164</f>
        <v>0</v>
      </c>
      <c r="D164" s="197">
        <f t="shared" si="643"/>
        <v>0</v>
      </c>
      <c r="E164" s="228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29"/>
      <c r="AJ164" s="230"/>
      <c r="AK164" s="230"/>
      <c r="AL164" s="231"/>
      <c r="AM164" s="212"/>
      <c r="AN164" s="212"/>
      <c r="AO164" s="212"/>
      <c r="AP164" s="212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58"/>
      <c r="BB164" s="258"/>
      <c r="BC164" s="212"/>
      <c r="BD164" s="212"/>
      <c r="BE164" s="212"/>
      <c r="BF164" s="212"/>
      <c r="BG164" s="212"/>
      <c r="BH164" s="212"/>
      <c r="BI164" s="212"/>
      <c r="BJ164" s="212"/>
    </row>
    <row r="165" spans="1:62" ht="18" hidden="1" customHeight="1">
      <c r="A165" s="89">
        <v>79</v>
      </c>
      <c r="B165" s="88">
        <f>'Tong hop cac ma'!B165</f>
        <v>0</v>
      </c>
      <c r="C165" s="314">
        <f>'Tong hop cac ma'!C165</f>
        <v>0</v>
      </c>
      <c r="D165" s="197">
        <f t="shared" si="643"/>
        <v>0</v>
      </c>
      <c r="E165" s="213">
        <f>+'Tong hop cac ma'!S165</f>
        <v>0</v>
      </c>
      <c r="F165" s="214"/>
      <c r="G165" s="214"/>
      <c r="H165" s="214"/>
      <c r="I165" s="214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>
        <f t="shared" ref="AF165" si="774">IFERROR(SUM(F165:AC165)*0.2,0)</f>
        <v>0</v>
      </c>
      <c r="AG165" s="210"/>
      <c r="AH165" s="210" t="s">
        <v>192</v>
      </c>
      <c r="AI165" s="215">
        <f t="shared" ref="AI165" si="775">IFERROR(130*D165,0)</f>
        <v>0</v>
      </c>
      <c r="AJ165" s="198" cm="1">
        <f t="array" ref="AJ165">IFERROR(SUM(_xlfn._xlws.FILTER(E165:AI165,ISNUMBER(E165:AI165))),0)</f>
        <v>0</v>
      </c>
      <c r="AK165" s="198"/>
      <c r="AL165" s="216">
        <f t="shared" ref="AL165" si="776">IFERROR(AJ165*(1+AK165%),0)</f>
        <v>0</v>
      </c>
      <c r="AM165" s="233"/>
      <c r="AN165" s="201">
        <f t="shared" ref="AN165" si="777">IFERROR(SUM(E165:AC165)/D165,0)</f>
        <v>0</v>
      </c>
      <c r="AO165" s="255"/>
      <c r="AQ165" s="254"/>
      <c r="AR165" s="254"/>
      <c r="AS165" s="254"/>
      <c r="AT165" s="254"/>
      <c r="AU165" s="254"/>
      <c r="AV165" s="254"/>
      <c r="AY165" s="253">
        <f t="shared" ref="AY165" si="778">IFERROR((AQ165*20)/60,0)</f>
        <v>0</v>
      </c>
      <c r="AZ165" s="253">
        <f t="shared" ref="AZ165" si="779">IFERROR(AX165 + AY165 + BI165,0)</f>
        <v>0</v>
      </c>
      <c r="BA165" s="252">
        <f t="shared" ref="BA165" si="780">IFERROR(AZ165/8,0)</f>
        <v>0</v>
      </c>
      <c r="BB165" s="252">
        <f t="shared" ref="BB165" si="781">IFERROR(MAX(AQ165-BA165,0),0)</f>
        <v>0</v>
      </c>
      <c r="BD165" s="234">
        <f t="shared" ref="BD165" si="782">IFERROR(10000*D165,0)</f>
        <v>0</v>
      </c>
      <c r="BE165" s="234"/>
      <c r="BF165" s="234"/>
      <c r="BG165" s="234">
        <f t="shared" ref="BG165" si="783">IFERROR(-IF(AH165=$K$3,0,IF(AH165=$M$3,15*680*D165,IF(AH165=$O$3,30*680*D165,IF(AH165=0,50*680*D165,0)))),0)</f>
        <v>0</v>
      </c>
      <c r="BH165" s="234"/>
      <c r="BI165" s="234"/>
      <c r="BJ165" s="234"/>
    </row>
    <row r="166" spans="1:62" ht="18" hidden="1" customHeight="1">
      <c r="A166" s="81"/>
      <c r="B166" s="88">
        <f>'Tong hop cac ma'!B166</f>
        <v>0</v>
      </c>
      <c r="C166" s="314">
        <f>'Tong hop cac ma'!C166</f>
        <v>0</v>
      </c>
      <c r="D166" s="197">
        <f t="shared" si="643"/>
        <v>0</v>
      </c>
      <c r="E166" s="228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29"/>
      <c r="AJ166" s="230"/>
      <c r="AK166" s="230"/>
      <c r="AL166" s="231"/>
      <c r="AM166" s="212"/>
      <c r="AN166" s="212"/>
      <c r="AO166" s="212"/>
      <c r="AP166" s="212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58"/>
      <c r="BB166" s="258"/>
      <c r="BC166" s="212"/>
      <c r="BD166" s="212"/>
      <c r="BE166" s="212"/>
      <c r="BF166" s="212"/>
      <c r="BG166" s="212"/>
      <c r="BH166" s="212"/>
      <c r="BI166" s="212"/>
      <c r="BJ166" s="212"/>
    </row>
    <row r="167" spans="1:62" ht="18" hidden="1" customHeight="1">
      <c r="A167" s="86">
        <v>80</v>
      </c>
      <c r="B167" s="88">
        <f>'Tong hop cac ma'!B167</f>
        <v>0</v>
      </c>
      <c r="C167" s="314">
        <f>'Tong hop cac ma'!C167</f>
        <v>0</v>
      </c>
      <c r="D167" s="197">
        <f t="shared" si="643"/>
        <v>0</v>
      </c>
      <c r="E167" s="213">
        <f>+'Tong hop cac ma'!S167</f>
        <v>0</v>
      </c>
      <c r="F167" s="214"/>
      <c r="G167" s="214"/>
      <c r="H167" s="214"/>
      <c r="I167" s="214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>
        <f t="shared" ref="AF167" si="784">IFERROR(SUM(F167:AC167)*0.2,0)</f>
        <v>0</v>
      </c>
      <c r="AG167" s="210"/>
      <c r="AH167" s="210" t="s">
        <v>192</v>
      </c>
      <c r="AI167" s="215">
        <f t="shared" ref="AI167" si="785">IFERROR(130*D167,0)</f>
        <v>0</v>
      </c>
      <c r="AJ167" s="198" cm="1">
        <f t="array" ref="AJ167">IFERROR(SUM(_xlfn._xlws.FILTER(E167:AI167,ISNUMBER(E167:AI167))),0)</f>
        <v>0</v>
      </c>
      <c r="AK167" s="198"/>
      <c r="AL167" s="216">
        <f t="shared" ref="AL167" si="786">IFERROR(AJ167*(1+AK167%),0)</f>
        <v>0</v>
      </c>
      <c r="AM167" s="233"/>
      <c r="AN167" s="201">
        <f t="shared" ref="AN167" si="787">IFERROR(SUM(E167:AC167)/D167,0)</f>
        <v>0</v>
      </c>
      <c r="AO167" s="255"/>
      <c r="AQ167" s="254"/>
      <c r="AR167" s="254"/>
      <c r="AS167" s="254"/>
      <c r="AT167" s="254"/>
      <c r="AU167" s="254"/>
      <c r="AV167" s="254"/>
      <c r="AY167" s="253">
        <f t="shared" ref="AY167" si="788">IFERROR((AQ167*20)/60,0)</f>
        <v>0</v>
      </c>
      <c r="AZ167" s="253">
        <f t="shared" ref="AZ167" si="789">IFERROR(AX167 + AY167 + BI167,0)</f>
        <v>0</v>
      </c>
      <c r="BA167" s="252">
        <f t="shared" ref="BA167" si="790">IFERROR(AZ167/8,0)</f>
        <v>0</v>
      </c>
      <c r="BB167" s="252">
        <f t="shared" ref="BB167" si="791">IFERROR(MAX(AQ167-BA167,0),0)</f>
        <v>0</v>
      </c>
      <c r="BD167" s="234">
        <f t="shared" ref="BD167" si="792">IFERROR(10000*D167,0)</f>
        <v>0</v>
      </c>
      <c r="BE167" s="234"/>
      <c r="BF167" s="234"/>
      <c r="BG167" s="234">
        <f t="shared" ref="BG167" si="793">IFERROR(-IF(AH167=$K$3,0,IF(AH167=$M$3,15*680*D167,IF(AH167=$O$3,30*680*D167,IF(AH167=0,50*680*D167,0)))),0)</f>
        <v>0</v>
      </c>
      <c r="BH167" s="234"/>
      <c r="BI167" s="234"/>
      <c r="BJ167" s="234"/>
    </row>
    <row r="168" spans="1:62" ht="18" hidden="1" customHeight="1">
      <c r="A168" s="212"/>
      <c r="B168" s="88">
        <f>'Tong hop cac ma'!B168</f>
        <v>0</v>
      </c>
      <c r="C168" s="314">
        <f>'Tong hop cac ma'!C168</f>
        <v>0</v>
      </c>
      <c r="D168" s="197">
        <f t="shared" si="643"/>
        <v>0</v>
      </c>
      <c r="E168" s="228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29"/>
      <c r="AJ168" s="230"/>
      <c r="AK168" s="230"/>
      <c r="AL168" s="231"/>
      <c r="AM168" s="212"/>
      <c r="AN168" s="212"/>
      <c r="AO168" s="212"/>
      <c r="AP168" s="212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58"/>
      <c r="BB168" s="258"/>
      <c r="BC168" s="212"/>
      <c r="BD168" s="212"/>
      <c r="BE168" s="212"/>
      <c r="BF168" s="212"/>
      <c r="BG168" s="212"/>
      <c r="BH168" s="212"/>
      <c r="BI168" s="212"/>
      <c r="BJ168" s="212"/>
    </row>
    <row r="169" spans="1:62" ht="18" hidden="1" customHeight="1">
      <c r="A169" s="89">
        <v>81</v>
      </c>
      <c r="B169" s="88">
        <f>'Tong hop cac ma'!B169</f>
        <v>0</v>
      </c>
      <c r="C169" s="314">
        <f>'Tong hop cac ma'!C169</f>
        <v>0</v>
      </c>
      <c r="D169" s="197">
        <f t="shared" si="643"/>
        <v>0</v>
      </c>
      <c r="E169" s="213">
        <f>+'Tong hop cac ma'!S169</f>
        <v>0</v>
      </c>
      <c r="F169" s="214"/>
      <c r="G169" s="214"/>
      <c r="H169" s="214"/>
      <c r="I169" s="214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>
        <f t="shared" ref="AF169" si="794">IFERROR(SUM(F169:AC169)*0.2,0)</f>
        <v>0</v>
      </c>
      <c r="AG169" s="210"/>
      <c r="AH169" s="210" t="s">
        <v>192</v>
      </c>
      <c r="AI169" s="215">
        <f t="shared" ref="AI169" si="795">IFERROR(130*D169,0)</f>
        <v>0</v>
      </c>
      <c r="AJ169" s="198" cm="1">
        <f t="array" ref="AJ169">IFERROR(SUM(_xlfn._xlws.FILTER(E169:AI169,ISNUMBER(E169:AI169))),0)</f>
        <v>0</v>
      </c>
      <c r="AK169" s="198"/>
      <c r="AL169" s="216">
        <f t="shared" ref="AL169" si="796">IFERROR(AJ169*(1+AK169%),0)</f>
        <v>0</v>
      </c>
      <c r="AM169" s="233"/>
      <c r="AN169" s="201">
        <f t="shared" ref="AN169" si="797">IFERROR(SUM(E169:AC169)/D169,0)</f>
        <v>0</v>
      </c>
      <c r="AO169" s="255"/>
      <c r="AQ169" s="254"/>
      <c r="AR169" s="254"/>
      <c r="AS169" s="254"/>
      <c r="AT169" s="254"/>
      <c r="AU169" s="254"/>
      <c r="AV169" s="254"/>
      <c r="AY169" s="253">
        <f t="shared" ref="AY169" si="798">IFERROR((AQ169*20)/60,0)</f>
        <v>0</v>
      </c>
      <c r="AZ169" s="253">
        <f t="shared" ref="AZ169" si="799">IFERROR(AX169 + AY169 + BI169,0)</f>
        <v>0</v>
      </c>
      <c r="BA169" s="252">
        <f t="shared" ref="BA169" si="800">IFERROR(AZ169/8,0)</f>
        <v>0</v>
      </c>
      <c r="BB169" s="252">
        <f t="shared" ref="BB169" si="801">IFERROR(MAX(AQ169-BA169,0),0)</f>
        <v>0</v>
      </c>
      <c r="BD169" s="234">
        <f t="shared" ref="BD169" si="802">IFERROR(10000*D169,0)</f>
        <v>0</v>
      </c>
      <c r="BE169" s="234"/>
      <c r="BF169" s="234"/>
      <c r="BG169" s="234">
        <f t="shared" ref="BG169" si="803">IFERROR(-IF(AH169=$K$3,0,IF(AH169=$M$3,15*680*D169,IF(AH169=$O$3,30*680*D169,IF(AH169=0,50*680*D169,0)))),0)</f>
        <v>0</v>
      </c>
      <c r="BH169" s="234"/>
      <c r="BI169" s="234"/>
      <c r="BJ169" s="234"/>
    </row>
    <row r="170" spans="1:62" ht="18" hidden="1" customHeight="1">
      <c r="A170" s="81"/>
      <c r="B170" s="88">
        <f>'Tong hop cac ma'!B170</f>
        <v>0</v>
      </c>
      <c r="C170" s="314">
        <f>'Tong hop cac ma'!C170</f>
        <v>0</v>
      </c>
      <c r="D170" s="197">
        <f t="shared" si="643"/>
        <v>0</v>
      </c>
      <c r="E170" s="228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29"/>
      <c r="AJ170" s="230"/>
      <c r="AK170" s="230"/>
      <c r="AL170" s="231"/>
      <c r="AM170" s="212"/>
      <c r="AN170" s="212"/>
      <c r="AO170" s="212"/>
      <c r="AP170" s="212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58"/>
      <c r="BB170" s="258"/>
      <c r="BC170" s="212"/>
      <c r="BD170" s="212"/>
      <c r="BE170" s="212"/>
      <c r="BF170" s="212"/>
      <c r="BG170" s="212"/>
      <c r="BH170" s="212"/>
      <c r="BI170" s="212"/>
      <c r="BJ170" s="212"/>
    </row>
    <row r="171" spans="1:62" ht="18" hidden="1" customHeight="1">
      <c r="A171" s="86">
        <v>82</v>
      </c>
      <c r="B171" s="88">
        <f>'Tong hop cac ma'!B171</f>
        <v>0</v>
      </c>
      <c r="C171" s="314">
        <f>'Tong hop cac ma'!C171</f>
        <v>0</v>
      </c>
      <c r="D171" s="197">
        <f t="shared" si="643"/>
        <v>0</v>
      </c>
      <c r="E171" s="213">
        <f>+'Tong hop cac ma'!S171</f>
        <v>0</v>
      </c>
      <c r="F171" s="214"/>
      <c r="G171" s="214"/>
      <c r="H171" s="214"/>
      <c r="I171" s="214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>
        <f t="shared" ref="AF171" si="804">IFERROR(SUM(F171:AC171)*0.2,0)</f>
        <v>0</v>
      </c>
      <c r="AG171" s="210"/>
      <c r="AH171" s="210" t="s">
        <v>192</v>
      </c>
      <c r="AI171" s="215">
        <f t="shared" ref="AI171" si="805">IFERROR(130*D171,0)</f>
        <v>0</v>
      </c>
      <c r="AJ171" s="198" cm="1">
        <f t="array" ref="AJ171">IFERROR(SUM(_xlfn._xlws.FILTER(E171:AI171,ISNUMBER(E171:AI171))),0)</f>
        <v>0</v>
      </c>
      <c r="AK171" s="198"/>
      <c r="AL171" s="216">
        <f t="shared" ref="AL171" si="806">IFERROR(AJ171*(1+AK171%),0)</f>
        <v>0</v>
      </c>
      <c r="AM171" s="233"/>
      <c r="AN171" s="201">
        <f t="shared" ref="AN171" si="807">IFERROR(SUM(E171:AC171)/D171,0)</f>
        <v>0</v>
      </c>
      <c r="AO171" s="255"/>
      <c r="AQ171" s="254"/>
      <c r="AR171" s="254"/>
      <c r="AS171" s="254"/>
      <c r="AT171" s="254"/>
      <c r="AU171" s="254"/>
      <c r="AV171" s="254"/>
      <c r="AY171" s="253">
        <f t="shared" ref="AY171" si="808">IFERROR((AQ171*20)/60,0)</f>
        <v>0</v>
      </c>
      <c r="AZ171" s="253">
        <f t="shared" ref="AZ171" si="809">IFERROR(AX171 + AY171 + BI171,0)</f>
        <v>0</v>
      </c>
      <c r="BA171" s="252">
        <f t="shared" ref="BA171" si="810">IFERROR(AZ171/8,0)</f>
        <v>0</v>
      </c>
      <c r="BB171" s="252">
        <f t="shared" ref="BB171" si="811">IFERROR(MAX(AQ171-BA171,0),0)</f>
        <v>0</v>
      </c>
      <c r="BD171" s="234">
        <f t="shared" ref="BD171" si="812">IFERROR(10000*D171,0)</f>
        <v>0</v>
      </c>
      <c r="BE171" s="234"/>
      <c r="BF171" s="234"/>
      <c r="BG171" s="234">
        <f t="shared" ref="BG171" si="813">IFERROR(-IF(AH171=$K$3,0,IF(AH171=$M$3,15*680*D171,IF(AH171=$O$3,30*680*D171,IF(AH171=0,50*680*D171,0)))),0)</f>
        <v>0</v>
      </c>
      <c r="BH171" s="234"/>
      <c r="BI171" s="234"/>
      <c r="BJ171" s="234"/>
    </row>
    <row r="172" spans="1:62" ht="18" hidden="1" customHeight="1">
      <c r="A172" s="212"/>
      <c r="B172" s="88">
        <f>'Tong hop cac ma'!B172</f>
        <v>0</v>
      </c>
      <c r="C172" s="314">
        <f>'Tong hop cac ma'!C172</f>
        <v>0</v>
      </c>
      <c r="D172" s="197">
        <f t="shared" si="643"/>
        <v>0</v>
      </c>
      <c r="E172" s="228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29"/>
      <c r="AJ172" s="230"/>
      <c r="AK172" s="230"/>
      <c r="AL172" s="231"/>
      <c r="AM172" s="212"/>
      <c r="AN172" s="212"/>
      <c r="AO172" s="212"/>
      <c r="AP172" s="212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58"/>
      <c r="BB172" s="258"/>
      <c r="BC172" s="212"/>
      <c r="BD172" s="212"/>
      <c r="BE172" s="212"/>
      <c r="BF172" s="212"/>
      <c r="BG172" s="212"/>
      <c r="BH172" s="212"/>
      <c r="BI172" s="212"/>
      <c r="BJ172" s="212"/>
    </row>
    <row r="173" spans="1:62" ht="18" hidden="1" customHeight="1">
      <c r="A173" s="89">
        <v>83</v>
      </c>
      <c r="B173" s="88">
        <f>'Tong hop cac ma'!B173</f>
        <v>0</v>
      </c>
      <c r="C173" s="314">
        <f>'Tong hop cac ma'!C173</f>
        <v>0</v>
      </c>
      <c r="D173" s="197">
        <f t="shared" si="643"/>
        <v>0</v>
      </c>
      <c r="E173" s="213">
        <f>+'Tong hop cac ma'!S173</f>
        <v>0</v>
      </c>
      <c r="F173" s="214"/>
      <c r="G173" s="214"/>
      <c r="H173" s="214"/>
      <c r="I173" s="214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>
        <f t="shared" ref="AF173" si="814">IFERROR(SUM(F173:AC173)*0.2,0)</f>
        <v>0</v>
      </c>
      <c r="AG173" s="210"/>
      <c r="AH173" s="210" t="s">
        <v>192</v>
      </c>
      <c r="AI173" s="215">
        <f t="shared" ref="AI173" si="815">IFERROR(130*D173,0)</f>
        <v>0</v>
      </c>
      <c r="AJ173" s="198" cm="1">
        <f t="array" ref="AJ173">IFERROR(SUM(_xlfn._xlws.FILTER(E173:AI173,ISNUMBER(E173:AI173))),0)</f>
        <v>0</v>
      </c>
      <c r="AK173" s="198"/>
      <c r="AL173" s="216">
        <f t="shared" ref="AL173" si="816">IFERROR(AJ173*(1+AK173%),0)</f>
        <v>0</v>
      </c>
      <c r="AM173" s="233"/>
      <c r="AN173" s="201">
        <f t="shared" ref="AN173" si="817">IFERROR(SUM(E173:AC173)/D173,0)</f>
        <v>0</v>
      </c>
      <c r="AO173" s="255"/>
      <c r="AQ173" s="254"/>
      <c r="AR173" s="254"/>
      <c r="AS173" s="254"/>
      <c r="AT173" s="254"/>
      <c r="AU173" s="254"/>
      <c r="AV173" s="254"/>
      <c r="AY173" s="253">
        <f t="shared" ref="AY173" si="818">IFERROR((AQ173*20)/60,0)</f>
        <v>0</v>
      </c>
      <c r="AZ173" s="253">
        <f t="shared" ref="AZ173" si="819">IFERROR(AX173 + AY173 + BI173,0)</f>
        <v>0</v>
      </c>
      <c r="BA173" s="252">
        <f t="shared" ref="BA173" si="820">IFERROR(AZ173/8,0)</f>
        <v>0</v>
      </c>
      <c r="BB173" s="252">
        <f t="shared" ref="BB173" si="821">IFERROR(MAX(AQ173-BA173,0),0)</f>
        <v>0</v>
      </c>
      <c r="BD173" s="234">
        <f t="shared" ref="BD173" si="822">IFERROR(10000*D173,0)</f>
        <v>0</v>
      </c>
      <c r="BE173" s="234"/>
      <c r="BF173" s="234"/>
      <c r="BG173" s="234">
        <f t="shared" ref="BG173" si="823">IFERROR(-IF(AH173=$K$3,0,IF(AH173=$M$3,15*680*D173,IF(AH173=$O$3,30*680*D173,IF(AH173=0,50*680*D173,0)))),0)</f>
        <v>0</v>
      </c>
      <c r="BH173" s="234"/>
      <c r="BI173" s="234"/>
      <c r="BJ173" s="234"/>
    </row>
    <row r="174" spans="1:62" ht="18" hidden="1" customHeight="1">
      <c r="A174" s="81"/>
      <c r="B174" s="88">
        <f>'Tong hop cac ma'!B174</f>
        <v>0</v>
      </c>
      <c r="C174" s="314">
        <f>'Tong hop cac ma'!C174</f>
        <v>0</v>
      </c>
      <c r="D174" s="197">
        <f t="shared" si="643"/>
        <v>0</v>
      </c>
      <c r="E174" s="228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29"/>
      <c r="AJ174" s="230"/>
      <c r="AK174" s="230"/>
      <c r="AL174" s="231"/>
      <c r="AM174" s="212"/>
      <c r="AN174" s="212"/>
      <c r="AO174" s="212"/>
      <c r="AP174" s="212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58"/>
      <c r="BB174" s="258"/>
      <c r="BC174" s="212"/>
      <c r="BD174" s="212"/>
      <c r="BE174" s="212"/>
      <c r="BF174" s="212"/>
      <c r="BG174" s="212"/>
      <c r="BH174" s="212"/>
      <c r="BI174" s="212"/>
      <c r="BJ174" s="212"/>
    </row>
    <row r="175" spans="1:62" ht="18" hidden="1" customHeight="1">
      <c r="A175" s="86">
        <v>84</v>
      </c>
      <c r="B175" s="88">
        <f>'Tong hop cac ma'!B175</f>
        <v>0</v>
      </c>
      <c r="C175" s="314">
        <f>'Tong hop cac ma'!C175</f>
        <v>0</v>
      </c>
      <c r="D175" s="197">
        <f t="shared" si="643"/>
        <v>0</v>
      </c>
      <c r="E175" s="213">
        <f>+'Tong hop cac ma'!S175</f>
        <v>0</v>
      </c>
      <c r="F175" s="214"/>
      <c r="G175" s="214"/>
      <c r="H175" s="214"/>
      <c r="I175" s="214"/>
      <c r="J175" s="210"/>
      <c r="K175" s="210"/>
      <c r="L175" s="210"/>
      <c r="M175" s="210"/>
      <c r="N175" s="210"/>
      <c r="O175" s="210"/>
      <c r="P175" s="210"/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/>
      <c r="AE175" s="210"/>
      <c r="AF175" s="210">
        <f t="shared" ref="AF175" si="824">IFERROR(SUM(F175:AC175)*0.2,0)</f>
        <v>0</v>
      </c>
      <c r="AG175" s="210"/>
      <c r="AH175" s="210" t="s">
        <v>192</v>
      </c>
      <c r="AI175" s="215">
        <f t="shared" ref="AI175" si="825">IFERROR(130*D175,0)</f>
        <v>0</v>
      </c>
      <c r="AJ175" s="198" cm="1">
        <f t="array" ref="AJ175">IFERROR(SUM(_xlfn._xlws.FILTER(E175:AI175,ISNUMBER(E175:AI175))),0)</f>
        <v>0</v>
      </c>
      <c r="AK175" s="198"/>
      <c r="AL175" s="216">
        <f t="shared" ref="AL175" si="826">IFERROR(AJ175*(1+AK175%),0)</f>
        <v>0</v>
      </c>
      <c r="AM175" s="233"/>
      <c r="AN175" s="201">
        <f t="shared" ref="AN175" si="827">IFERROR(SUM(E175:AC175)/D175,0)</f>
        <v>0</v>
      </c>
      <c r="AO175" s="255"/>
      <c r="AQ175" s="254"/>
      <c r="AR175" s="254"/>
      <c r="AS175" s="254"/>
      <c r="AT175" s="254"/>
      <c r="AU175" s="254"/>
      <c r="AV175" s="254"/>
      <c r="AY175" s="253">
        <f t="shared" ref="AY175" si="828">IFERROR((AQ175*20)/60,0)</f>
        <v>0</v>
      </c>
      <c r="AZ175" s="253">
        <f t="shared" ref="AZ175" si="829">IFERROR(AX175 + AY175 + BI175,0)</f>
        <v>0</v>
      </c>
      <c r="BA175" s="252">
        <f t="shared" ref="BA175" si="830">IFERROR(AZ175/8,0)</f>
        <v>0</v>
      </c>
      <c r="BB175" s="252">
        <f t="shared" ref="BB175" si="831">IFERROR(MAX(AQ175-BA175,0),0)</f>
        <v>0</v>
      </c>
      <c r="BD175" s="234">
        <f t="shared" ref="BD175" si="832">IFERROR(10000*D175,0)</f>
        <v>0</v>
      </c>
      <c r="BE175" s="234"/>
      <c r="BF175" s="234"/>
      <c r="BG175" s="234">
        <f t="shared" ref="BG175" si="833">IFERROR(-IF(AH175=$K$3,0,IF(AH175=$M$3,15*680*D175,IF(AH175=$O$3,30*680*D175,IF(AH175=0,50*680*D175,0)))),0)</f>
        <v>0</v>
      </c>
      <c r="BH175" s="234"/>
      <c r="BI175" s="234"/>
      <c r="BJ175" s="234"/>
    </row>
    <row r="176" spans="1:62" ht="18" hidden="1" customHeight="1">
      <c r="A176" s="212"/>
      <c r="B176" s="88">
        <f>'Tong hop cac ma'!B176</f>
        <v>0</v>
      </c>
      <c r="C176" s="314">
        <f>'Tong hop cac ma'!C176</f>
        <v>0</v>
      </c>
      <c r="D176" s="197">
        <f t="shared" si="643"/>
        <v>0</v>
      </c>
      <c r="E176" s="228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29"/>
      <c r="AJ176" s="230"/>
      <c r="AK176" s="230"/>
      <c r="AL176" s="231"/>
      <c r="AM176" s="212"/>
      <c r="AN176" s="212"/>
      <c r="AO176" s="212"/>
      <c r="AP176" s="212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58"/>
      <c r="BB176" s="258"/>
      <c r="BC176" s="212"/>
      <c r="BD176" s="212"/>
      <c r="BE176" s="212"/>
      <c r="BF176" s="212"/>
      <c r="BG176" s="212"/>
      <c r="BH176" s="212"/>
      <c r="BI176" s="212"/>
      <c r="BJ176" s="212"/>
    </row>
    <row r="177" spans="1:62" ht="18" hidden="1" customHeight="1">
      <c r="A177" s="89">
        <v>85</v>
      </c>
      <c r="B177" s="88">
        <f>'Tong hop cac ma'!B177</f>
        <v>0</v>
      </c>
      <c r="C177" s="314">
        <f>'Tong hop cac ma'!C177</f>
        <v>0</v>
      </c>
      <c r="D177" s="197">
        <f t="shared" si="643"/>
        <v>0</v>
      </c>
      <c r="E177" s="213">
        <f>+'Tong hop cac ma'!S177</f>
        <v>0</v>
      </c>
      <c r="F177" s="214"/>
      <c r="G177" s="214"/>
      <c r="H177" s="214"/>
      <c r="I177" s="214"/>
      <c r="J177" s="210"/>
      <c r="K177" s="210"/>
      <c r="L177" s="210"/>
      <c r="M177" s="210"/>
      <c r="N177" s="210"/>
      <c r="O177" s="210"/>
      <c r="P177" s="210"/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/>
      <c r="AE177" s="210"/>
      <c r="AF177" s="210">
        <f t="shared" ref="AF177" si="834">IFERROR(SUM(F177:AC177)*0.2,0)</f>
        <v>0</v>
      </c>
      <c r="AG177" s="210"/>
      <c r="AH177" s="210" t="s">
        <v>192</v>
      </c>
      <c r="AI177" s="215">
        <f t="shared" ref="AI177" si="835">IFERROR(130*D177,0)</f>
        <v>0</v>
      </c>
      <c r="AJ177" s="198" cm="1">
        <f t="array" ref="AJ177">IFERROR(SUM(_xlfn._xlws.FILTER(E177:AI177,ISNUMBER(E177:AI177))),0)</f>
        <v>0</v>
      </c>
      <c r="AK177" s="198"/>
      <c r="AL177" s="216">
        <f t="shared" ref="AL177" si="836">IFERROR(AJ177*(1+AK177%),0)</f>
        <v>0</v>
      </c>
      <c r="AM177" s="233"/>
      <c r="AN177" s="201">
        <f t="shared" ref="AN177" si="837">IFERROR(SUM(E177:AC177)/D177,0)</f>
        <v>0</v>
      </c>
      <c r="AO177" s="255"/>
      <c r="AQ177" s="254"/>
      <c r="AR177" s="254"/>
      <c r="AS177" s="254"/>
      <c r="AT177" s="254"/>
      <c r="AU177" s="254"/>
      <c r="AV177" s="254"/>
      <c r="AY177" s="253">
        <f t="shared" ref="AY177" si="838">IFERROR((AQ177*20)/60,0)</f>
        <v>0</v>
      </c>
      <c r="AZ177" s="253">
        <f t="shared" ref="AZ177" si="839">IFERROR(AX177 + AY177 + BI177,0)</f>
        <v>0</v>
      </c>
      <c r="BA177" s="252">
        <f t="shared" ref="BA177" si="840">IFERROR(AZ177/8,0)</f>
        <v>0</v>
      </c>
      <c r="BB177" s="252">
        <f t="shared" ref="BB177" si="841">IFERROR(MAX(AQ177-BA177,0),0)</f>
        <v>0</v>
      </c>
      <c r="BD177" s="234">
        <f t="shared" ref="BD177" si="842">IFERROR(10000*D177,0)</f>
        <v>0</v>
      </c>
      <c r="BE177" s="234"/>
      <c r="BF177" s="234"/>
      <c r="BG177" s="234">
        <f t="shared" ref="BG177" si="843">IFERROR(-IF(AH177=$K$3,0,IF(AH177=$M$3,15*680*D177,IF(AH177=$O$3,30*680*D177,IF(AH177=0,50*680*D177,0)))),0)</f>
        <v>0</v>
      </c>
      <c r="BH177" s="234"/>
      <c r="BI177" s="234"/>
      <c r="BJ177" s="234"/>
    </row>
    <row r="178" spans="1:62" ht="18" hidden="1" customHeight="1">
      <c r="A178" s="81"/>
      <c r="B178" s="88">
        <f>'Tong hop cac ma'!B178</f>
        <v>0</v>
      </c>
      <c r="C178" s="314">
        <f>'Tong hop cac ma'!C178</f>
        <v>0</v>
      </c>
      <c r="D178" s="197">
        <f t="shared" si="643"/>
        <v>0</v>
      </c>
      <c r="E178" s="228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29"/>
      <c r="AJ178" s="230"/>
      <c r="AK178" s="230"/>
      <c r="AL178" s="231"/>
      <c r="AM178" s="212"/>
      <c r="AN178" s="212"/>
      <c r="AO178" s="212"/>
      <c r="AP178" s="212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58"/>
      <c r="BB178" s="258"/>
      <c r="BC178" s="212"/>
      <c r="BD178" s="212"/>
      <c r="BE178" s="212"/>
      <c r="BF178" s="212"/>
      <c r="BG178" s="212"/>
      <c r="BH178" s="212"/>
      <c r="BI178" s="212"/>
      <c r="BJ178" s="212"/>
    </row>
    <row r="179" spans="1:62" ht="18" hidden="1" customHeight="1">
      <c r="A179" s="86">
        <v>86</v>
      </c>
      <c r="B179" s="88">
        <f>'Tong hop cac ma'!B179</f>
        <v>0</v>
      </c>
      <c r="C179" s="314">
        <f>'Tong hop cac ma'!C179</f>
        <v>0</v>
      </c>
      <c r="D179" s="197">
        <f t="shared" si="643"/>
        <v>0</v>
      </c>
      <c r="E179" s="213">
        <f>+'Tong hop cac ma'!S179</f>
        <v>0</v>
      </c>
      <c r="F179" s="214"/>
      <c r="G179" s="214"/>
      <c r="H179" s="214"/>
      <c r="I179" s="214"/>
      <c r="J179" s="210"/>
      <c r="K179" s="210"/>
      <c r="L179" s="210"/>
      <c r="M179" s="210"/>
      <c r="N179" s="210"/>
      <c r="O179" s="210"/>
      <c r="P179" s="210"/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/>
      <c r="AE179" s="210"/>
      <c r="AF179" s="210">
        <f t="shared" ref="AF179" si="844">IFERROR(SUM(F179:AC179)*0.2,0)</f>
        <v>0</v>
      </c>
      <c r="AG179" s="210"/>
      <c r="AH179" s="210" t="s">
        <v>192</v>
      </c>
      <c r="AI179" s="215">
        <f t="shared" ref="AI179" si="845">IFERROR(130*D179,0)</f>
        <v>0</v>
      </c>
      <c r="AJ179" s="198" cm="1">
        <f t="array" ref="AJ179">IFERROR(SUM(_xlfn._xlws.FILTER(E179:AI179,ISNUMBER(E179:AI179))),0)</f>
        <v>0</v>
      </c>
      <c r="AK179" s="198"/>
      <c r="AL179" s="216">
        <f t="shared" ref="AL179" si="846">IFERROR(AJ179*(1+AK179%),0)</f>
        <v>0</v>
      </c>
      <c r="AM179" s="233"/>
      <c r="AN179" s="201">
        <f t="shared" ref="AN179" si="847">IFERROR(SUM(E179:AC179)/D179,0)</f>
        <v>0</v>
      </c>
      <c r="AO179" s="255"/>
      <c r="AQ179" s="254"/>
      <c r="AR179" s="254"/>
      <c r="AS179" s="254"/>
      <c r="AT179" s="254"/>
      <c r="AU179" s="254"/>
      <c r="AV179" s="254"/>
      <c r="AY179" s="253">
        <f t="shared" ref="AY179" si="848">IFERROR((AQ179*20)/60,0)</f>
        <v>0</v>
      </c>
      <c r="AZ179" s="253">
        <f t="shared" ref="AZ179" si="849">IFERROR(AX179 + AY179 + BI179,0)</f>
        <v>0</v>
      </c>
      <c r="BA179" s="252">
        <f t="shared" ref="BA179" si="850">IFERROR(AZ179/8,0)</f>
        <v>0</v>
      </c>
      <c r="BB179" s="252">
        <f t="shared" ref="BB179" si="851">IFERROR(MAX(AQ179-BA179,0),0)</f>
        <v>0</v>
      </c>
      <c r="BD179" s="234">
        <f t="shared" ref="BD179" si="852">IFERROR(10000*D179,0)</f>
        <v>0</v>
      </c>
      <c r="BE179" s="234"/>
      <c r="BF179" s="234"/>
      <c r="BG179" s="234">
        <f t="shared" ref="BG179" si="853">IFERROR(-IF(AH179=$K$3,0,IF(AH179=$M$3,15*680*D179,IF(AH179=$O$3,30*680*D179,IF(AH179=0,50*680*D179,0)))),0)</f>
        <v>0</v>
      </c>
      <c r="BH179" s="234"/>
      <c r="BI179" s="234"/>
      <c r="BJ179" s="234"/>
    </row>
    <row r="180" spans="1:62" ht="18" hidden="1" customHeight="1">
      <c r="A180" s="212"/>
      <c r="B180" s="88">
        <f>'Tong hop cac ma'!B180</f>
        <v>0</v>
      </c>
      <c r="C180" s="314">
        <f>'Tong hop cac ma'!C180</f>
        <v>0</v>
      </c>
      <c r="D180" s="197">
        <f t="shared" si="643"/>
        <v>0</v>
      </c>
      <c r="E180" s="228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29"/>
      <c r="AJ180" s="230"/>
      <c r="AK180" s="230"/>
      <c r="AL180" s="231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58"/>
      <c r="BB180" s="258"/>
      <c r="BC180" s="212"/>
      <c r="BD180" s="212"/>
      <c r="BE180" s="212"/>
      <c r="BF180" s="212"/>
      <c r="BG180" s="212"/>
      <c r="BH180" s="212"/>
      <c r="BI180" s="212"/>
      <c r="BJ180" s="212"/>
    </row>
    <row r="181" spans="1:62" ht="18" hidden="1" customHeight="1">
      <c r="A181" s="89">
        <v>87</v>
      </c>
      <c r="B181" s="88">
        <f>'Tong hop cac ma'!B181</f>
        <v>0</v>
      </c>
      <c r="C181" s="314">
        <f>'Tong hop cac ma'!C181</f>
        <v>0</v>
      </c>
      <c r="D181" s="197">
        <f t="shared" si="643"/>
        <v>0</v>
      </c>
      <c r="E181" s="213">
        <f>+'Tong hop cac ma'!S181</f>
        <v>0</v>
      </c>
      <c r="F181" s="214"/>
      <c r="G181" s="214"/>
      <c r="H181" s="214"/>
      <c r="I181" s="214"/>
      <c r="J181" s="210"/>
      <c r="K181" s="210"/>
      <c r="L181" s="210"/>
      <c r="M181" s="210"/>
      <c r="N181" s="210"/>
      <c r="O181" s="210"/>
      <c r="P181" s="210"/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/>
      <c r="AE181" s="210"/>
      <c r="AF181" s="210">
        <f t="shared" ref="AF181" si="854">IFERROR(SUM(F181:AC181)*0.2,0)</f>
        <v>0</v>
      </c>
      <c r="AG181" s="210"/>
      <c r="AH181" s="210" t="s">
        <v>192</v>
      </c>
      <c r="AI181" s="215">
        <f t="shared" ref="AI181" si="855">IFERROR(130*D181,0)</f>
        <v>0</v>
      </c>
      <c r="AJ181" s="198" cm="1">
        <f t="array" ref="AJ181">IFERROR(SUM(_xlfn._xlws.FILTER(E181:AI181,ISNUMBER(E181:AI181))),0)</f>
        <v>0</v>
      </c>
      <c r="AK181" s="198"/>
      <c r="AL181" s="216">
        <f t="shared" ref="AL181" si="856">IFERROR(AJ181*(1+AK181%),0)</f>
        <v>0</v>
      </c>
      <c r="AM181" s="233"/>
      <c r="AN181" s="201">
        <f t="shared" ref="AN181" si="857">IFERROR(SUM(E181:AC181)/D181,0)</f>
        <v>0</v>
      </c>
      <c r="AO181" s="255"/>
      <c r="AQ181" s="254"/>
      <c r="AR181" s="254"/>
      <c r="AS181" s="254"/>
      <c r="AT181" s="254"/>
      <c r="AU181" s="254"/>
      <c r="AV181" s="254"/>
      <c r="AY181" s="253">
        <f t="shared" ref="AY181" si="858">IFERROR((AQ181*20)/60,0)</f>
        <v>0</v>
      </c>
      <c r="AZ181" s="253">
        <f t="shared" ref="AZ181" si="859">IFERROR(AX181 + AY181 + BI181,0)</f>
        <v>0</v>
      </c>
      <c r="BA181" s="252">
        <f t="shared" ref="BA181" si="860">IFERROR(AZ181/8,0)</f>
        <v>0</v>
      </c>
      <c r="BB181" s="252">
        <f t="shared" ref="BB181" si="861">IFERROR(MAX(AQ181-BA181,0),0)</f>
        <v>0</v>
      </c>
      <c r="BD181" s="234">
        <f t="shared" ref="BD181" si="862">IFERROR(10000*D181,0)</f>
        <v>0</v>
      </c>
      <c r="BE181" s="234"/>
      <c r="BF181" s="234"/>
      <c r="BG181" s="234">
        <f t="shared" ref="BG181" si="863">IFERROR(-IF(AH181=$K$3,0,IF(AH181=$M$3,15*680*D181,IF(AH181=$O$3,30*680*D181,IF(AH181=0,50*680*D181,0)))),0)</f>
        <v>0</v>
      </c>
      <c r="BH181" s="234"/>
      <c r="BI181" s="234"/>
      <c r="BJ181" s="234"/>
    </row>
    <row r="182" spans="1:62" ht="18" hidden="1" customHeight="1">
      <c r="A182" s="81"/>
      <c r="B182" s="88">
        <f>'Tong hop cac ma'!B182</f>
        <v>0</v>
      </c>
      <c r="C182" s="314">
        <f>'Tong hop cac ma'!C182</f>
        <v>0</v>
      </c>
      <c r="D182" s="197">
        <f t="shared" si="643"/>
        <v>0</v>
      </c>
      <c r="E182" s="228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29"/>
      <c r="AJ182" s="230"/>
      <c r="AK182" s="230"/>
      <c r="AL182" s="231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58"/>
      <c r="BB182" s="258"/>
      <c r="BC182" s="212"/>
      <c r="BD182" s="212"/>
      <c r="BE182" s="212"/>
      <c r="BF182" s="212"/>
      <c r="BG182" s="212"/>
      <c r="BH182" s="212"/>
      <c r="BI182" s="212"/>
      <c r="BJ182" s="212"/>
    </row>
    <row r="183" spans="1:62" ht="18" hidden="1" customHeight="1">
      <c r="A183" s="86">
        <v>88</v>
      </c>
      <c r="B183" s="88">
        <f>'Tong hop cac ma'!B183</f>
        <v>0</v>
      </c>
      <c r="C183" s="314">
        <f>'Tong hop cac ma'!C183</f>
        <v>0</v>
      </c>
      <c r="D183" s="197">
        <f t="shared" si="643"/>
        <v>0</v>
      </c>
      <c r="E183" s="213">
        <f>+'Tong hop cac ma'!S183</f>
        <v>0</v>
      </c>
      <c r="F183" s="214"/>
      <c r="G183" s="214"/>
      <c r="H183" s="214"/>
      <c r="I183" s="214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>
        <f t="shared" ref="AF183" si="864">IFERROR(SUM(F183:AC183)*0.2,0)</f>
        <v>0</v>
      </c>
      <c r="AG183" s="210"/>
      <c r="AH183" s="210" t="s">
        <v>192</v>
      </c>
      <c r="AI183" s="215">
        <f t="shared" ref="AI183" si="865">IFERROR(130*D183,0)</f>
        <v>0</v>
      </c>
      <c r="AJ183" s="198" cm="1">
        <f t="array" ref="AJ183">IFERROR(SUM(_xlfn._xlws.FILTER(E183:AI183,ISNUMBER(E183:AI183))),0)</f>
        <v>0</v>
      </c>
      <c r="AK183" s="198"/>
      <c r="AL183" s="216">
        <f t="shared" ref="AL183" si="866">IFERROR(AJ183*(1+AK183%),0)</f>
        <v>0</v>
      </c>
      <c r="AM183" s="233"/>
      <c r="AN183" s="201">
        <f t="shared" ref="AN183" si="867">IFERROR(SUM(E183:AC183)/D183,0)</f>
        <v>0</v>
      </c>
      <c r="AO183" s="255"/>
      <c r="AQ183" s="254"/>
      <c r="AR183" s="254"/>
      <c r="AS183" s="254"/>
      <c r="AT183" s="254"/>
      <c r="AU183" s="254"/>
      <c r="AV183" s="254"/>
      <c r="AY183" s="253">
        <f t="shared" ref="AY183" si="868">IFERROR((AQ183*20)/60,0)</f>
        <v>0</v>
      </c>
      <c r="AZ183" s="253">
        <f t="shared" ref="AZ183" si="869">IFERROR(AX183 + AY183 + BI183,0)</f>
        <v>0</v>
      </c>
      <c r="BA183" s="252">
        <f t="shared" ref="BA183" si="870">IFERROR(AZ183/8,0)</f>
        <v>0</v>
      </c>
      <c r="BB183" s="252">
        <f t="shared" ref="BB183" si="871">IFERROR(MAX(AQ183-BA183,0),0)</f>
        <v>0</v>
      </c>
      <c r="BD183" s="234">
        <f t="shared" ref="BD183" si="872">IFERROR(10000*D183,0)</f>
        <v>0</v>
      </c>
      <c r="BE183" s="234"/>
      <c r="BF183" s="234"/>
      <c r="BG183" s="234">
        <f t="shared" ref="BG183" si="873">IFERROR(-IF(AH183=$K$3,0,IF(AH183=$M$3,15*680*D183,IF(AH183=$O$3,30*680*D183,IF(AH183=0,50*680*D183,0)))),0)</f>
        <v>0</v>
      </c>
      <c r="BH183" s="234"/>
      <c r="BI183" s="234"/>
      <c r="BJ183" s="234"/>
    </row>
    <row r="184" spans="1:62" ht="18" hidden="1" customHeight="1">
      <c r="A184" s="212"/>
      <c r="B184" s="88">
        <f>'Tong hop cac ma'!B184</f>
        <v>0</v>
      </c>
      <c r="C184" s="314">
        <f>'Tong hop cac ma'!C184</f>
        <v>0</v>
      </c>
      <c r="D184" s="197">
        <f t="shared" si="643"/>
        <v>0</v>
      </c>
      <c r="E184" s="228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29"/>
      <c r="AJ184" s="230"/>
      <c r="AK184" s="230"/>
      <c r="AL184" s="231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58"/>
      <c r="BB184" s="258"/>
      <c r="BC184" s="212"/>
      <c r="BD184" s="212"/>
      <c r="BE184" s="212"/>
      <c r="BF184" s="212"/>
      <c r="BG184" s="212"/>
      <c r="BH184" s="212"/>
      <c r="BI184" s="212"/>
      <c r="BJ184" s="212"/>
    </row>
    <row r="185" spans="1:62" ht="18" hidden="1" customHeight="1">
      <c r="A185" s="89">
        <v>89</v>
      </c>
      <c r="B185" s="88">
        <f>'Tong hop cac ma'!B185</f>
        <v>0</v>
      </c>
      <c r="C185" s="314">
        <f>'Tong hop cac ma'!C185</f>
        <v>0</v>
      </c>
      <c r="D185" s="197">
        <f t="shared" si="643"/>
        <v>0</v>
      </c>
      <c r="E185" s="213">
        <f>+'Tong hop cac ma'!S185</f>
        <v>0</v>
      </c>
      <c r="F185" s="214"/>
      <c r="G185" s="214"/>
      <c r="H185" s="214"/>
      <c r="I185" s="214"/>
      <c r="J185" s="210"/>
      <c r="K185" s="210"/>
      <c r="L185" s="210"/>
      <c r="M185" s="210"/>
      <c r="N185" s="210"/>
      <c r="O185" s="210"/>
      <c r="P185" s="210"/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/>
      <c r="AE185" s="210"/>
      <c r="AF185" s="210">
        <f t="shared" ref="AF185" si="874">IFERROR(SUM(F185:AC185)*0.2,0)</f>
        <v>0</v>
      </c>
      <c r="AG185" s="210"/>
      <c r="AH185" s="210" t="s">
        <v>192</v>
      </c>
      <c r="AI185" s="215">
        <f t="shared" ref="AI185" si="875">IFERROR(130*D185,0)</f>
        <v>0</v>
      </c>
      <c r="AJ185" s="198" cm="1">
        <f t="array" ref="AJ185">IFERROR(SUM(_xlfn._xlws.FILTER(E185:AI185,ISNUMBER(E185:AI185))),0)</f>
        <v>0</v>
      </c>
      <c r="AK185" s="198"/>
      <c r="AL185" s="216">
        <f t="shared" ref="AL185" si="876">IFERROR(AJ185*(1+AK185%),0)</f>
        <v>0</v>
      </c>
      <c r="AM185" s="233"/>
      <c r="AN185" s="201">
        <f t="shared" ref="AN185" si="877">IFERROR(SUM(E185:AC185)/D185,0)</f>
        <v>0</v>
      </c>
      <c r="AO185" s="255"/>
      <c r="AQ185" s="254"/>
      <c r="AR185" s="254"/>
      <c r="AS185" s="254"/>
      <c r="AT185" s="254"/>
      <c r="AU185" s="254"/>
      <c r="AV185" s="254"/>
      <c r="AY185" s="253">
        <f t="shared" ref="AY185" si="878">IFERROR((AQ185*20)/60,0)</f>
        <v>0</v>
      </c>
      <c r="AZ185" s="253">
        <f t="shared" ref="AZ185" si="879">IFERROR(AX185 + AY185 + BI185,0)</f>
        <v>0</v>
      </c>
      <c r="BA185" s="252">
        <f t="shared" ref="BA185" si="880">IFERROR(AZ185/8,0)</f>
        <v>0</v>
      </c>
      <c r="BB185" s="252">
        <f t="shared" ref="BB185" si="881">IFERROR(MAX(AQ185-BA185,0),0)</f>
        <v>0</v>
      </c>
      <c r="BD185" s="234">
        <f t="shared" ref="BD185" si="882">IFERROR(10000*D185,0)</f>
        <v>0</v>
      </c>
      <c r="BE185" s="234"/>
      <c r="BF185" s="234"/>
      <c r="BG185" s="234">
        <f t="shared" ref="BG185" si="883">IFERROR(-IF(AH185=$K$3,0,IF(AH185=$M$3,15*680*D185,IF(AH185=$O$3,30*680*D185,IF(AH185=0,50*680*D185,0)))),0)</f>
        <v>0</v>
      </c>
      <c r="BH185" s="234"/>
      <c r="BI185" s="234"/>
      <c r="BJ185" s="234"/>
    </row>
    <row r="186" spans="1:62" ht="18" hidden="1" customHeight="1">
      <c r="A186" s="81"/>
      <c r="B186" s="88">
        <f>'Tong hop cac ma'!B186</f>
        <v>0</v>
      </c>
      <c r="C186" s="314">
        <f>'Tong hop cac ma'!C186</f>
        <v>0</v>
      </c>
      <c r="D186" s="197">
        <f t="shared" si="643"/>
        <v>0</v>
      </c>
      <c r="E186" s="228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29"/>
      <c r="AJ186" s="230"/>
      <c r="AK186" s="230"/>
      <c r="AL186" s="231"/>
      <c r="AM186" s="212"/>
      <c r="AN186" s="212"/>
      <c r="AO186" s="212"/>
      <c r="AP186" s="212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58"/>
      <c r="BB186" s="258"/>
      <c r="BC186" s="212"/>
      <c r="BD186" s="212"/>
      <c r="BE186" s="212"/>
      <c r="BF186" s="212"/>
      <c r="BG186" s="212"/>
      <c r="BH186" s="212"/>
      <c r="BI186" s="212"/>
      <c r="BJ186" s="212"/>
    </row>
    <row r="187" spans="1:62" ht="18" hidden="1" customHeight="1">
      <c r="A187" s="86">
        <v>90</v>
      </c>
      <c r="B187" s="88">
        <f>'Tong hop cac ma'!B187</f>
        <v>0</v>
      </c>
      <c r="C187" s="314">
        <f>'Tong hop cac ma'!C187</f>
        <v>0</v>
      </c>
      <c r="D187" s="197">
        <f t="shared" si="643"/>
        <v>0</v>
      </c>
      <c r="E187" s="213">
        <f>+'Tong hop cac ma'!S187</f>
        <v>0</v>
      </c>
      <c r="F187" s="214"/>
      <c r="G187" s="214"/>
      <c r="H187" s="214"/>
      <c r="I187" s="214"/>
      <c r="J187" s="210"/>
      <c r="K187" s="210"/>
      <c r="L187" s="210"/>
      <c r="M187" s="210"/>
      <c r="N187" s="210"/>
      <c r="O187" s="210"/>
      <c r="P187" s="210"/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0"/>
      <c r="AE187" s="210"/>
      <c r="AF187" s="210">
        <f t="shared" ref="AF187" si="884">IFERROR(SUM(F187:AC187)*0.2,0)</f>
        <v>0</v>
      </c>
      <c r="AG187" s="210"/>
      <c r="AH187" s="210" t="s">
        <v>192</v>
      </c>
      <c r="AI187" s="215">
        <f t="shared" ref="AI187" si="885">IFERROR(130*D187,0)</f>
        <v>0</v>
      </c>
      <c r="AJ187" s="198" cm="1">
        <f t="array" ref="AJ187">IFERROR(SUM(_xlfn._xlws.FILTER(E187:AI187,ISNUMBER(E187:AI187))),0)</f>
        <v>0</v>
      </c>
      <c r="AK187" s="198"/>
      <c r="AL187" s="216">
        <f t="shared" ref="AL187" si="886">IFERROR(AJ187*(1+AK187%),0)</f>
        <v>0</v>
      </c>
      <c r="AM187" s="233"/>
      <c r="AN187" s="201">
        <f t="shared" ref="AN187" si="887">IFERROR(SUM(E187:AC187)/D187,0)</f>
        <v>0</v>
      </c>
      <c r="AO187" s="255"/>
      <c r="AQ187" s="254"/>
      <c r="AR187" s="254"/>
      <c r="AS187" s="254"/>
      <c r="AT187" s="254"/>
      <c r="AU187" s="254"/>
      <c r="AV187" s="254"/>
      <c r="AY187" s="253">
        <f t="shared" ref="AY187" si="888">IFERROR((AQ187*20)/60,0)</f>
        <v>0</v>
      </c>
      <c r="AZ187" s="253">
        <f t="shared" ref="AZ187" si="889">IFERROR(AX187 + AY187 + BI187,0)</f>
        <v>0</v>
      </c>
      <c r="BA187" s="252">
        <f t="shared" ref="BA187" si="890">IFERROR(AZ187/8,0)</f>
        <v>0</v>
      </c>
      <c r="BB187" s="252">
        <f t="shared" ref="BB187" si="891">IFERROR(MAX(AQ187-BA187,0),0)</f>
        <v>0</v>
      </c>
      <c r="BD187" s="234">
        <f t="shared" ref="BD187" si="892">IFERROR(10000*D187,0)</f>
        <v>0</v>
      </c>
      <c r="BE187" s="234"/>
      <c r="BF187" s="234"/>
      <c r="BG187" s="234">
        <f t="shared" ref="BG187" si="893">IFERROR(-IF(AH187=$K$3,0,IF(AH187=$M$3,15*680*D187,IF(AH187=$O$3,30*680*D187,IF(AH187=0,50*680*D187,0)))),0)</f>
        <v>0</v>
      </c>
      <c r="BH187" s="234"/>
      <c r="BI187" s="234"/>
      <c r="BJ187" s="234"/>
    </row>
    <row r="188" spans="1:62" ht="18" hidden="1" customHeight="1">
      <c r="A188" s="212"/>
      <c r="B188" s="88">
        <f>'Tong hop cac ma'!B188</f>
        <v>0</v>
      </c>
      <c r="C188" s="314">
        <f>'Tong hop cac ma'!C188</f>
        <v>0</v>
      </c>
      <c r="D188" s="197">
        <f t="shared" si="643"/>
        <v>0</v>
      </c>
      <c r="E188" s="228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29"/>
      <c r="AJ188" s="230"/>
      <c r="AK188" s="230"/>
      <c r="AL188" s="231"/>
      <c r="AM188" s="212"/>
      <c r="AN188" s="212"/>
      <c r="AO188" s="212"/>
      <c r="AP188" s="212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58"/>
      <c r="BB188" s="258"/>
      <c r="BC188" s="212"/>
      <c r="BD188" s="212"/>
      <c r="BE188" s="212"/>
      <c r="BF188" s="212"/>
      <c r="BG188" s="212"/>
      <c r="BH188" s="212"/>
      <c r="BI188" s="212"/>
      <c r="BJ188" s="212"/>
    </row>
    <row r="189" spans="1:62" ht="18" hidden="1" customHeight="1">
      <c r="A189" s="89">
        <v>91</v>
      </c>
      <c r="B189" s="88">
        <f>'Tong hop cac ma'!B189</f>
        <v>0</v>
      </c>
      <c r="C189" s="314">
        <f>'Tong hop cac ma'!C189</f>
        <v>0</v>
      </c>
      <c r="D189" s="197">
        <f t="shared" si="643"/>
        <v>0</v>
      </c>
      <c r="E189" s="213">
        <f>+'Tong hop cac ma'!S189</f>
        <v>0</v>
      </c>
      <c r="F189" s="214"/>
      <c r="G189" s="214"/>
      <c r="H189" s="214"/>
      <c r="I189" s="214"/>
      <c r="J189" s="210"/>
      <c r="K189" s="210"/>
      <c r="L189" s="210"/>
      <c r="M189" s="210"/>
      <c r="N189" s="210"/>
      <c r="O189" s="210"/>
      <c r="P189" s="210"/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0"/>
      <c r="AE189" s="210"/>
      <c r="AF189" s="210">
        <f t="shared" ref="AF189" si="894">IFERROR(SUM(F189:AC189)*0.2,0)</f>
        <v>0</v>
      </c>
      <c r="AG189" s="210"/>
      <c r="AH189" s="210" t="s">
        <v>192</v>
      </c>
      <c r="AI189" s="215">
        <f t="shared" ref="AI189" si="895">IFERROR(130*D189,0)</f>
        <v>0</v>
      </c>
      <c r="AJ189" s="198" cm="1">
        <f t="array" ref="AJ189">IFERROR(SUM(_xlfn._xlws.FILTER(E189:AI189,ISNUMBER(E189:AI189))),0)</f>
        <v>0</v>
      </c>
      <c r="AK189" s="198"/>
      <c r="AL189" s="216">
        <f t="shared" ref="AL189" si="896">IFERROR(AJ189*(1+AK189%),0)</f>
        <v>0</v>
      </c>
      <c r="AM189" s="233"/>
      <c r="AN189" s="201">
        <f t="shared" ref="AN189" si="897">IFERROR(SUM(E189:AC189)/D189,0)</f>
        <v>0</v>
      </c>
      <c r="AO189" s="255"/>
      <c r="AQ189" s="254"/>
      <c r="AR189" s="254"/>
      <c r="AS189" s="254"/>
      <c r="AT189" s="254"/>
      <c r="AU189" s="254"/>
      <c r="AV189" s="254"/>
      <c r="AY189" s="253">
        <f t="shared" ref="AY189" si="898">IFERROR((AQ189*20)/60,0)</f>
        <v>0</v>
      </c>
      <c r="AZ189" s="253">
        <f t="shared" ref="AZ189" si="899">IFERROR(AX189 + AY189 + BI189,0)</f>
        <v>0</v>
      </c>
      <c r="BA189" s="252">
        <f t="shared" ref="BA189" si="900">IFERROR(AZ189/8,0)</f>
        <v>0</v>
      </c>
      <c r="BB189" s="252">
        <f t="shared" ref="BB189" si="901">IFERROR(MAX(AQ189-BA189,0),0)</f>
        <v>0</v>
      </c>
      <c r="BD189" s="234">
        <f t="shared" ref="BD189" si="902">IFERROR(10000*D189,0)</f>
        <v>0</v>
      </c>
      <c r="BE189" s="234"/>
      <c r="BF189" s="234"/>
      <c r="BG189" s="234">
        <f t="shared" ref="BG189" si="903">IFERROR(-IF(AH189=$K$3,0,IF(AH189=$M$3,15*680*D189,IF(AH189=$O$3,30*680*D189,IF(AH189=0,50*680*D189,0)))),0)</f>
        <v>0</v>
      </c>
      <c r="BH189" s="234"/>
      <c r="BI189" s="234"/>
      <c r="BJ189" s="234"/>
    </row>
    <row r="190" spans="1:62" ht="18" hidden="1" customHeight="1">
      <c r="A190" s="81"/>
      <c r="B190" s="88">
        <f>'Tong hop cac ma'!B190</f>
        <v>0</v>
      </c>
      <c r="C190" s="314">
        <f>'Tong hop cac ma'!C190</f>
        <v>0</v>
      </c>
      <c r="D190" s="197">
        <f t="shared" si="643"/>
        <v>0</v>
      </c>
      <c r="E190" s="228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29"/>
      <c r="AJ190" s="230"/>
      <c r="AK190" s="230"/>
      <c r="AL190" s="231"/>
      <c r="AM190" s="212"/>
      <c r="AN190" s="212"/>
      <c r="AO190" s="212"/>
      <c r="AP190" s="212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58"/>
      <c r="BB190" s="258"/>
      <c r="BC190" s="212"/>
      <c r="BD190" s="212"/>
      <c r="BE190" s="212"/>
      <c r="BF190" s="212"/>
      <c r="BG190" s="212"/>
      <c r="BH190" s="212"/>
      <c r="BI190" s="212"/>
      <c r="BJ190" s="212"/>
    </row>
    <row r="191" spans="1:62" ht="18" hidden="1" customHeight="1">
      <c r="A191" s="86">
        <v>92</v>
      </c>
      <c r="B191" s="88">
        <f>'Tong hop cac ma'!B191</f>
        <v>0</v>
      </c>
      <c r="C191" s="314">
        <f>'Tong hop cac ma'!C191</f>
        <v>0</v>
      </c>
      <c r="D191" s="197">
        <f t="shared" si="643"/>
        <v>0</v>
      </c>
      <c r="E191" s="213">
        <f>+'Tong hop cac ma'!S191</f>
        <v>0</v>
      </c>
      <c r="F191" s="214"/>
      <c r="G191" s="214"/>
      <c r="H191" s="214"/>
      <c r="I191" s="214"/>
      <c r="J191" s="210"/>
      <c r="K191" s="210"/>
      <c r="L191" s="210"/>
      <c r="M191" s="210"/>
      <c r="N191" s="210"/>
      <c r="O191" s="210"/>
      <c r="P191" s="210"/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0"/>
      <c r="AE191" s="210"/>
      <c r="AF191" s="210">
        <f t="shared" ref="AF191" si="904">IFERROR(SUM(F191:AC191)*0.2,0)</f>
        <v>0</v>
      </c>
      <c r="AG191" s="210"/>
      <c r="AH191" s="210" t="s">
        <v>192</v>
      </c>
      <c r="AI191" s="215">
        <f t="shared" ref="AI191" si="905">IFERROR(130*D191,0)</f>
        <v>0</v>
      </c>
      <c r="AJ191" s="198" cm="1">
        <f t="array" ref="AJ191">IFERROR(SUM(_xlfn._xlws.FILTER(E191:AI191,ISNUMBER(E191:AI191))),0)</f>
        <v>0</v>
      </c>
      <c r="AK191" s="198"/>
      <c r="AL191" s="216">
        <f t="shared" ref="AL191" si="906">IFERROR(AJ191*(1+AK191%),0)</f>
        <v>0</v>
      </c>
      <c r="AM191" s="233"/>
      <c r="AN191" s="201">
        <f t="shared" ref="AN191" si="907">IFERROR(SUM(E191:AC191)/D191,0)</f>
        <v>0</v>
      </c>
      <c r="AO191" s="255"/>
      <c r="AQ191" s="254"/>
      <c r="AR191" s="254"/>
      <c r="AS191" s="254"/>
      <c r="AT191" s="254"/>
      <c r="AU191" s="254"/>
      <c r="AV191" s="254"/>
      <c r="AY191" s="253">
        <f t="shared" ref="AY191" si="908">IFERROR((AQ191*20)/60,0)</f>
        <v>0</v>
      </c>
      <c r="AZ191" s="253">
        <f t="shared" ref="AZ191" si="909">IFERROR(AX191 + AY191 + BI191,0)</f>
        <v>0</v>
      </c>
      <c r="BA191" s="252">
        <f t="shared" ref="BA191" si="910">IFERROR(AZ191/8,0)</f>
        <v>0</v>
      </c>
      <c r="BB191" s="252">
        <f t="shared" ref="BB191" si="911">IFERROR(MAX(AQ191-BA191,0),0)</f>
        <v>0</v>
      </c>
      <c r="BD191" s="234">
        <f t="shared" ref="BD191" si="912">IFERROR(10000*D191,0)</f>
        <v>0</v>
      </c>
      <c r="BE191" s="234"/>
      <c r="BF191" s="234"/>
      <c r="BG191" s="234">
        <f t="shared" ref="BG191" si="913">IFERROR(-IF(AH191=$K$3,0,IF(AH191=$M$3,15*680*D191,IF(AH191=$O$3,30*680*D191,IF(AH191=0,50*680*D191,0)))),0)</f>
        <v>0</v>
      </c>
      <c r="BH191" s="234"/>
      <c r="BI191" s="234"/>
      <c r="BJ191" s="234"/>
    </row>
    <row r="192" spans="1:62" ht="18" hidden="1" customHeight="1">
      <c r="A192" s="212"/>
      <c r="B192" s="88">
        <f>'Tong hop cac ma'!B192</f>
        <v>0</v>
      </c>
      <c r="C192" s="314">
        <f>'Tong hop cac ma'!C192</f>
        <v>0</v>
      </c>
      <c r="D192" s="197">
        <f t="shared" si="643"/>
        <v>0</v>
      </c>
      <c r="E192" s="228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29"/>
      <c r="AJ192" s="230"/>
      <c r="AK192" s="230"/>
      <c r="AL192" s="231"/>
      <c r="AM192" s="212"/>
      <c r="AN192" s="212"/>
      <c r="AO192" s="212"/>
      <c r="AP192" s="212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58"/>
      <c r="BB192" s="258"/>
      <c r="BC192" s="212"/>
      <c r="BD192" s="212"/>
      <c r="BE192" s="212"/>
      <c r="BF192" s="212"/>
      <c r="BG192" s="212"/>
      <c r="BH192" s="212"/>
      <c r="BI192" s="212"/>
      <c r="BJ192" s="212"/>
    </row>
    <row r="193" spans="1:62" ht="18" hidden="1" customHeight="1">
      <c r="A193" s="89">
        <v>93</v>
      </c>
      <c r="B193" s="88">
        <f>'Tong hop cac ma'!B193</f>
        <v>0</v>
      </c>
      <c r="C193" s="314">
        <f>'Tong hop cac ma'!C193</f>
        <v>0</v>
      </c>
      <c r="D193" s="197">
        <f t="shared" si="643"/>
        <v>0</v>
      </c>
      <c r="E193" s="213">
        <f>+'Tong hop cac ma'!S193</f>
        <v>0</v>
      </c>
      <c r="F193" s="214"/>
      <c r="G193" s="214"/>
      <c r="H193" s="214"/>
      <c r="I193" s="214"/>
      <c r="J193" s="210"/>
      <c r="K193" s="210"/>
      <c r="L193" s="210"/>
      <c r="M193" s="210"/>
      <c r="N193" s="210"/>
      <c r="O193" s="210"/>
      <c r="P193" s="210"/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0"/>
      <c r="AE193" s="210"/>
      <c r="AF193" s="210">
        <f t="shared" ref="AF193" si="914">IFERROR(SUM(F193:AC193)*0.2,0)</f>
        <v>0</v>
      </c>
      <c r="AG193" s="210"/>
      <c r="AH193" s="210" t="s">
        <v>192</v>
      </c>
      <c r="AI193" s="215">
        <f t="shared" ref="AI193" si="915">IFERROR(130*D193,0)</f>
        <v>0</v>
      </c>
      <c r="AJ193" s="198" cm="1">
        <f t="array" ref="AJ193">IFERROR(SUM(_xlfn._xlws.FILTER(E193:AI193,ISNUMBER(E193:AI193))),0)</f>
        <v>0</v>
      </c>
      <c r="AK193" s="198"/>
      <c r="AL193" s="216">
        <f t="shared" ref="AL193" si="916">IFERROR(AJ193*(1+AK193%),0)</f>
        <v>0</v>
      </c>
      <c r="AM193" s="233"/>
      <c r="AN193" s="201">
        <f t="shared" ref="AN193" si="917">IFERROR(SUM(E193:AC193)/D193,0)</f>
        <v>0</v>
      </c>
      <c r="AO193" s="255"/>
      <c r="AQ193" s="254"/>
      <c r="AR193" s="254"/>
      <c r="AS193" s="254"/>
      <c r="AT193" s="254"/>
      <c r="AU193" s="254"/>
      <c r="AV193" s="254"/>
      <c r="AY193" s="253">
        <f t="shared" ref="AY193" si="918">IFERROR((AQ193*20)/60,0)</f>
        <v>0</v>
      </c>
      <c r="AZ193" s="253">
        <f t="shared" ref="AZ193" si="919">IFERROR(AX193 + AY193 + BI193,0)</f>
        <v>0</v>
      </c>
      <c r="BA193" s="252">
        <f t="shared" ref="BA193" si="920">IFERROR(AZ193/8,0)</f>
        <v>0</v>
      </c>
      <c r="BB193" s="252">
        <f t="shared" ref="BB193" si="921">IFERROR(MAX(AQ193-BA193,0),0)</f>
        <v>0</v>
      </c>
      <c r="BD193" s="234">
        <f t="shared" ref="BD193" si="922">IFERROR(10000*D193,0)</f>
        <v>0</v>
      </c>
      <c r="BE193" s="234"/>
      <c r="BF193" s="234"/>
      <c r="BG193" s="234">
        <f t="shared" ref="BG193" si="923">IFERROR(-IF(AH193=$K$3,0,IF(AH193=$M$3,15*680*D193,IF(AH193=$O$3,30*680*D193,IF(AH193=0,50*680*D193,0)))),0)</f>
        <v>0</v>
      </c>
      <c r="BH193" s="234"/>
      <c r="BI193" s="234"/>
      <c r="BJ193" s="234"/>
    </row>
    <row r="194" spans="1:62" ht="18" hidden="1" customHeight="1">
      <c r="A194" s="81"/>
      <c r="B194" s="88">
        <f>'Tong hop cac ma'!B194</f>
        <v>0</v>
      </c>
      <c r="C194" s="314">
        <f>'Tong hop cac ma'!C194</f>
        <v>0</v>
      </c>
      <c r="D194" s="197">
        <f t="shared" si="643"/>
        <v>0</v>
      </c>
      <c r="E194" s="228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29"/>
      <c r="AJ194" s="230"/>
      <c r="AK194" s="230"/>
      <c r="AL194" s="231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58"/>
      <c r="BB194" s="258"/>
      <c r="BC194" s="212"/>
      <c r="BD194" s="212"/>
      <c r="BE194" s="212"/>
      <c r="BF194" s="212"/>
      <c r="BG194" s="212"/>
      <c r="BH194" s="212"/>
      <c r="BI194" s="212"/>
      <c r="BJ194" s="212"/>
    </row>
    <row r="195" spans="1:62" ht="18" hidden="1" customHeight="1">
      <c r="A195" s="86">
        <v>94</v>
      </c>
      <c r="B195" s="88">
        <f>'Tong hop cac ma'!B195</f>
        <v>0</v>
      </c>
      <c r="C195" s="314">
        <f>'Tong hop cac ma'!C195</f>
        <v>0</v>
      </c>
      <c r="D195" s="197">
        <f t="shared" si="643"/>
        <v>0</v>
      </c>
      <c r="E195" s="213">
        <f>+'Tong hop cac ma'!S195</f>
        <v>0</v>
      </c>
      <c r="F195" s="214"/>
      <c r="G195" s="214"/>
      <c r="H195" s="214"/>
      <c r="I195" s="214"/>
      <c r="J195" s="210"/>
      <c r="K195" s="210"/>
      <c r="L195" s="210"/>
      <c r="M195" s="210"/>
      <c r="N195" s="210"/>
      <c r="O195" s="210"/>
      <c r="P195" s="210"/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0"/>
      <c r="AE195" s="210"/>
      <c r="AF195" s="210">
        <f t="shared" ref="AF195" si="924">IFERROR(SUM(F195:AC195)*0.2,0)</f>
        <v>0</v>
      </c>
      <c r="AG195" s="210"/>
      <c r="AH195" s="210" t="s">
        <v>192</v>
      </c>
      <c r="AI195" s="215">
        <f t="shared" ref="AI195" si="925">IFERROR(130*D195,0)</f>
        <v>0</v>
      </c>
      <c r="AJ195" s="198" cm="1">
        <f t="array" ref="AJ195">IFERROR(SUM(_xlfn._xlws.FILTER(E195:AI195,ISNUMBER(E195:AI195))),0)</f>
        <v>0</v>
      </c>
      <c r="AK195" s="198"/>
      <c r="AL195" s="216">
        <f t="shared" ref="AL195" si="926">IFERROR(AJ195*(1+AK195%),0)</f>
        <v>0</v>
      </c>
      <c r="AM195" s="233"/>
      <c r="AN195" s="201">
        <f t="shared" ref="AN195" si="927">IFERROR(SUM(E195:AC195)/D195,0)</f>
        <v>0</v>
      </c>
      <c r="AO195" s="255"/>
      <c r="AQ195" s="254"/>
      <c r="AR195" s="254"/>
      <c r="AS195" s="254"/>
      <c r="AT195" s="254"/>
      <c r="AU195" s="254"/>
      <c r="AV195" s="254"/>
      <c r="AY195" s="253">
        <f t="shared" ref="AY195" si="928">IFERROR((AQ195*20)/60,0)</f>
        <v>0</v>
      </c>
      <c r="AZ195" s="253">
        <f t="shared" ref="AZ195" si="929">IFERROR(AX195 + AY195 + BI195,0)</f>
        <v>0</v>
      </c>
      <c r="BA195" s="252">
        <f t="shared" ref="BA195" si="930">IFERROR(AZ195/8,0)</f>
        <v>0</v>
      </c>
      <c r="BB195" s="252">
        <f t="shared" ref="BB195" si="931">IFERROR(MAX(AQ195-BA195,0),0)</f>
        <v>0</v>
      </c>
      <c r="BD195" s="234">
        <f t="shared" ref="BD195" si="932">IFERROR(10000*D195,0)</f>
        <v>0</v>
      </c>
      <c r="BE195" s="234"/>
      <c r="BF195" s="234"/>
      <c r="BG195" s="234">
        <f t="shared" ref="BG195" si="933">IFERROR(-IF(AH195=$K$3,0,IF(AH195=$M$3,15*680*D195,IF(AH195=$O$3,30*680*D195,IF(AH195=0,50*680*D195,0)))),0)</f>
        <v>0</v>
      </c>
      <c r="BH195" s="234"/>
      <c r="BI195" s="234"/>
      <c r="BJ195" s="234"/>
    </row>
    <row r="196" spans="1:62" ht="18" hidden="1" customHeight="1">
      <c r="A196" s="212"/>
      <c r="B196" s="88">
        <f>'Tong hop cac ma'!B196</f>
        <v>0</v>
      </c>
      <c r="C196" s="314">
        <f>'Tong hop cac ma'!C196</f>
        <v>0</v>
      </c>
      <c r="D196" s="197">
        <f t="shared" si="643"/>
        <v>0</v>
      </c>
      <c r="E196" s="228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29"/>
      <c r="AJ196" s="230"/>
      <c r="AK196" s="230"/>
      <c r="AL196" s="231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58"/>
      <c r="BB196" s="258"/>
      <c r="BC196" s="212"/>
      <c r="BD196" s="212"/>
      <c r="BE196" s="212"/>
      <c r="BF196" s="212"/>
      <c r="BG196" s="212"/>
      <c r="BH196" s="212"/>
      <c r="BI196" s="212"/>
      <c r="BJ196" s="212"/>
    </row>
    <row r="197" spans="1:62" ht="18" hidden="1" customHeight="1">
      <c r="A197" s="89">
        <v>95</v>
      </c>
      <c r="B197" s="88">
        <f>'Tong hop cac ma'!B197</f>
        <v>0</v>
      </c>
      <c r="C197" s="314">
        <f>'Tong hop cac ma'!C197</f>
        <v>0</v>
      </c>
      <c r="D197" s="197">
        <f t="shared" si="643"/>
        <v>0</v>
      </c>
      <c r="E197" s="213">
        <f>+'Tong hop cac ma'!S197</f>
        <v>0</v>
      </c>
      <c r="F197" s="214"/>
      <c r="G197" s="214"/>
      <c r="H197" s="214"/>
      <c r="I197" s="214"/>
      <c r="J197" s="210"/>
      <c r="K197" s="210"/>
      <c r="L197" s="210"/>
      <c r="M197" s="210"/>
      <c r="N197" s="210"/>
      <c r="O197" s="210"/>
      <c r="P197" s="210"/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/>
      <c r="AE197" s="210"/>
      <c r="AF197" s="210">
        <f t="shared" ref="AF197" si="934">IFERROR(SUM(F197:AC197)*0.2,0)</f>
        <v>0</v>
      </c>
      <c r="AG197" s="210"/>
      <c r="AH197" s="210" t="s">
        <v>192</v>
      </c>
      <c r="AI197" s="215">
        <f t="shared" ref="AI197" si="935">IFERROR(130*D197,0)</f>
        <v>0</v>
      </c>
      <c r="AJ197" s="198" cm="1">
        <f t="array" ref="AJ197">IFERROR(SUM(_xlfn._xlws.FILTER(E197:AI197,ISNUMBER(E197:AI197))),0)</f>
        <v>0</v>
      </c>
      <c r="AK197" s="198"/>
      <c r="AL197" s="216">
        <f t="shared" ref="AL197" si="936">IFERROR(AJ197*(1+AK197%),0)</f>
        <v>0</v>
      </c>
      <c r="AM197" s="233"/>
      <c r="AN197" s="201">
        <f t="shared" ref="AN197" si="937">IFERROR(SUM(E197:AC197)/D197,0)</f>
        <v>0</v>
      </c>
      <c r="AO197" s="255"/>
      <c r="AQ197" s="254"/>
      <c r="AR197" s="254"/>
      <c r="AS197" s="254"/>
      <c r="AT197" s="254"/>
      <c r="AU197" s="254"/>
      <c r="AV197" s="254"/>
      <c r="AY197" s="253">
        <f t="shared" ref="AY197" si="938">IFERROR((AQ197*20)/60,0)</f>
        <v>0</v>
      </c>
      <c r="AZ197" s="253">
        <f t="shared" ref="AZ197" si="939">IFERROR(AX197 + AY197 + BI197,0)</f>
        <v>0</v>
      </c>
      <c r="BA197" s="252">
        <f t="shared" ref="BA197" si="940">IFERROR(AZ197/8,0)</f>
        <v>0</v>
      </c>
      <c r="BB197" s="252">
        <f t="shared" ref="BB197" si="941">IFERROR(MAX(AQ197-BA197,0),0)</f>
        <v>0</v>
      </c>
      <c r="BD197" s="234">
        <f t="shared" ref="BD197" si="942">IFERROR(10000*D197,0)</f>
        <v>0</v>
      </c>
      <c r="BE197" s="234"/>
      <c r="BF197" s="234"/>
      <c r="BG197" s="234">
        <f t="shared" ref="BG197" si="943">IFERROR(-IF(AH197=$K$3,0,IF(AH197=$M$3,15*680*D197,IF(AH197=$O$3,30*680*D197,IF(AH197=0,50*680*D197,0)))),0)</f>
        <v>0</v>
      </c>
      <c r="BH197" s="234"/>
      <c r="BI197" s="234"/>
      <c r="BJ197" s="234"/>
    </row>
    <row r="198" spans="1:62" ht="18" hidden="1" customHeight="1">
      <c r="A198" s="81"/>
      <c r="B198" s="88">
        <f>'Tong hop cac ma'!B198</f>
        <v>0</v>
      </c>
      <c r="C198" s="314">
        <f>'Tong hop cac ma'!C198</f>
        <v>0</v>
      </c>
      <c r="D198" s="197">
        <f t="shared" si="643"/>
        <v>0</v>
      </c>
      <c r="E198" s="228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29"/>
      <c r="AJ198" s="230"/>
      <c r="AK198" s="230"/>
      <c r="AL198" s="231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58"/>
      <c r="BB198" s="258"/>
      <c r="BC198" s="212"/>
      <c r="BD198" s="212"/>
      <c r="BE198" s="212"/>
      <c r="BF198" s="212"/>
      <c r="BG198" s="212"/>
      <c r="BH198" s="212"/>
      <c r="BI198" s="212"/>
      <c r="BJ198" s="212"/>
    </row>
    <row r="199" spans="1:62" ht="18" hidden="1" customHeight="1">
      <c r="A199" s="86">
        <v>96</v>
      </c>
      <c r="B199" s="88">
        <f>'Tong hop cac ma'!B199</f>
        <v>0</v>
      </c>
      <c r="C199" s="314">
        <f>'Tong hop cac ma'!C199</f>
        <v>0</v>
      </c>
      <c r="D199" s="197">
        <f t="shared" si="643"/>
        <v>0</v>
      </c>
      <c r="E199" s="213">
        <f>+'Tong hop cac ma'!S199</f>
        <v>0</v>
      </c>
      <c r="F199" s="214"/>
      <c r="G199" s="214"/>
      <c r="H199" s="214"/>
      <c r="I199" s="214"/>
      <c r="J199" s="210"/>
      <c r="K199" s="210"/>
      <c r="L199" s="210"/>
      <c r="M199" s="210"/>
      <c r="N199" s="210"/>
      <c r="O199" s="210"/>
      <c r="P199" s="210"/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>
        <f t="shared" ref="AF199" si="944">IFERROR(SUM(F199:AC199)*0.2,0)</f>
        <v>0</v>
      </c>
      <c r="AG199" s="210"/>
      <c r="AH199" s="210" t="s">
        <v>192</v>
      </c>
      <c r="AI199" s="215">
        <f t="shared" ref="AI199" si="945">IFERROR(130*D199,0)</f>
        <v>0</v>
      </c>
      <c r="AJ199" s="198" cm="1">
        <f t="array" ref="AJ199">IFERROR(SUM(_xlfn._xlws.FILTER(E199:AI199,ISNUMBER(E199:AI199))),0)</f>
        <v>0</v>
      </c>
      <c r="AK199" s="198"/>
      <c r="AL199" s="216">
        <f t="shared" ref="AL199" si="946">IFERROR(AJ199*(1+AK199%),0)</f>
        <v>0</v>
      </c>
      <c r="AM199" s="233"/>
      <c r="AN199" s="201">
        <f t="shared" ref="AN199" si="947">IFERROR(SUM(E199:AC199)/D199,0)</f>
        <v>0</v>
      </c>
      <c r="AO199" s="255"/>
      <c r="AQ199" s="254"/>
      <c r="AR199" s="254"/>
      <c r="AS199" s="254"/>
      <c r="AT199" s="254"/>
      <c r="AU199" s="254"/>
      <c r="AV199" s="254"/>
      <c r="AY199" s="253">
        <f t="shared" ref="AY199" si="948">IFERROR((AQ199*20)/60,0)</f>
        <v>0</v>
      </c>
      <c r="AZ199" s="253">
        <f t="shared" ref="AZ199" si="949">IFERROR(AX199 + AY199 + BI199,0)</f>
        <v>0</v>
      </c>
      <c r="BA199" s="252">
        <f t="shared" ref="BA199" si="950">IFERROR(AZ199/8,0)</f>
        <v>0</v>
      </c>
      <c r="BB199" s="252">
        <f t="shared" ref="BB199" si="951">IFERROR(MAX(AQ199-BA199,0),0)</f>
        <v>0</v>
      </c>
      <c r="BD199" s="234">
        <f t="shared" ref="BD199" si="952">IFERROR(10000*D199,0)</f>
        <v>0</v>
      </c>
      <c r="BE199" s="234"/>
      <c r="BF199" s="234"/>
      <c r="BG199" s="234">
        <f t="shared" ref="BG199" si="953">IFERROR(-IF(AH199=$K$3,0,IF(AH199=$M$3,15*680*D199,IF(AH199=$O$3,30*680*D199,IF(AH199=0,50*680*D199,0)))),0)</f>
        <v>0</v>
      </c>
      <c r="BH199" s="234"/>
      <c r="BI199" s="234"/>
      <c r="BJ199" s="234"/>
    </row>
    <row r="200" spans="1:62" ht="18" hidden="1" customHeight="1">
      <c r="A200" s="212"/>
      <c r="B200" s="88">
        <f>'Tong hop cac ma'!B200</f>
        <v>0</v>
      </c>
      <c r="C200" s="314">
        <f>'Tong hop cac ma'!C200</f>
        <v>0</v>
      </c>
      <c r="D200" s="197">
        <f t="shared" si="643"/>
        <v>0</v>
      </c>
      <c r="E200" s="228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29"/>
      <c r="AJ200" s="230"/>
      <c r="AK200" s="230"/>
      <c r="AL200" s="231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58"/>
      <c r="BB200" s="258"/>
      <c r="BC200" s="212"/>
      <c r="BD200" s="212"/>
      <c r="BE200" s="212"/>
      <c r="BF200" s="212"/>
      <c r="BG200" s="212"/>
      <c r="BH200" s="212"/>
      <c r="BI200" s="212"/>
      <c r="BJ200" s="212"/>
    </row>
    <row r="201" spans="1:62" ht="18" hidden="1" customHeight="1">
      <c r="A201" s="89">
        <v>97</v>
      </c>
      <c r="B201" s="88">
        <f>'Tong hop cac ma'!B201</f>
        <v>0</v>
      </c>
      <c r="C201" s="314">
        <f>'Tong hop cac ma'!C201</f>
        <v>0</v>
      </c>
      <c r="D201" s="197">
        <f t="shared" si="643"/>
        <v>0</v>
      </c>
      <c r="E201" s="213">
        <f>+'Tong hop cac ma'!S201</f>
        <v>0</v>
      </c>
      <c r="F201" s="214"/>
      <c r="G201" s="214"/>
      <c r="H201" s="214"/>
      <c r="I201" s="214"/>
      <c r="J201" s="210"/>
      <c r="K201" s="210"/>
      <c r="L201" s="210"/>
      <c r="M201" s="210"/>
      <c r="N201" s="210"/>
      <c r="O201" s="210"/>
      <c r="P201" s="210"/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0"/>
      <c r="AE201" s="210"/>
      <c r="AF201" s="210">
        <f t="shared" ref="AF201" si="954">IFERROR(SUM(F201:AC201)*0.2,0)</f>
        <v>0</v>
      </c>
      <c r="AG201" s="210"/>
      <c r="AH201" s="210" t="s">
        <v>192</v>
      </c>
      <c r="AI201" s="215">
        <f t="shared" ref="AI201" si="955">IFERROR(130*D201,0)</f>
        <v>0</v>
      </c>
      <c r="AJ201" s="198" cm="1">
        <f t="array" ref="AJ201">IFERROR(SUM(_xlfn._xlws.FILTER(E201:AI201,ISNUMBER(E201:AI201))),0)</f>
        <v>0</v>
      </c>
      <c r="AK201" s="198"/>
      <c r="AL201" s="216">
        <f t="shared" ref="AL201" si="956">IFERROR(AJ201*(1+AK201%),0)</f>
        <v>0</v>
      </c>
      <c r="AM201" s="233"/>
      <c r="AN201" s="201">
        <f t="shared" ref="AN201" si="957">IFERROR(SUM(E201:AC201)/D201,0)</f>
        <v>0</v>
      </c>
      <c r="AO201" s="255"/>
      <c r="AQ201" s="254"/>
      <c r="AR201" s="254"/>
      <c r="AS201" s="254"/>
      <c r="AT201" s="254"/>
      <c r="AU201" s="254"/>
      <c r="AV201" s="254"/>
      <c r="AY201" s="253">
        <f t="shared" ref="AY201" si="958">IFERROR((AQ201*20)/60,0)</f>
        <v>0</v>
      </c>
      <c r="AZ201" s="253">
        <f t="shared" ref="AZ201" si="959">IFERROR(AX201 + AY201 + BI201,0)</f>
        <v>0</v>
      </c>
      <c r="BA201" s="252">
        <f t="shared" ref="BA201" si="960">IFERROR(AZ201/8,0)</f>
        <v>0</v>
      </c>
      <c r="BB201" s="252">
        <f t="shared" ref="BB201" si="961">IFERROR(MAX(AQ201-BA201,0),0)</f>
        <v>0</v>
      </c>
      <c r="BD201" s="234">
        <f t="shared" ref="BD201" si="962">IFERROR(10000*D201,0)</f>
        <v>0</v>
      </c>
      <c r="BE201" s="234"/>
      <c r="BF201" s="234"/>
      <c r="BG201" s="234">
        <f t="shared" ref="BG201" si="963">IFERROR(-IF(AH201=$K$3,0,IF(AH201=$M$3,15*680*D201,IF(AH201=$O$3,30*680*D201,IF(AH201=0,50*680*D201,0)))),0)</f>
        <v>0</v>
      </c>
      <c r="BH201" s="234"/>
      <c r="BI201" s="234"/>
      <c r="BJ201" s="234"/>
    </row>
    <row r="202" spans="1:62" ht="18" hidden="1" customHeight="1">
      <c r="A202" s="81"/>
      <c r="B202" s="88">
        <f>'Tong hop cac ma'!B202</f>
        <v>0</v>
      </c>
      <c r="C202" s="314">
        <f>'Tong hop cac ma'!C202</f>
        <v>0</v>
      </c>
      <c r="D202" s="197">
        <f t="shared" ref="D202:D265" si="964">AQ202</f>
        <v>0</v>
      </c>
      <c r="E202" s="228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29"/>
      <c r="AJ202" s="230"/>
      <c r="AK202" s="230"/>
      <c r="AL202" s="231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58"/>
      <c r="BB202" s="258"/>
      <c r="BC202" s="212"/>
      <c r="BD202" s="212"/>
      <c r="BE202" s="212"/>
      <c r="BF202" s="212"/>
      <c r="BG202" s="212"/>
      <c r="BH202" s="212"/>
      <c r="BI202" s="212"/>
      <c r="BJ202" s="212"/>
    </row>
    <row r="203" spans="1:62" ht="18" hidden="1" customHeight="1">
      <c r="A203" s="86">
        <v>98</v>
      </c>
      <c r="B203" s="88">
        <f>'Tong hop cac ma'!B203</f>
        <v>0</v>
      </c>
      <c r="C203" s="314">
        <f>'Tong hop cac ma'!C203</f>
        <v>0</v>
      </c>
      <c r="D203" s="197">
        <f t="shared" si="964"/>
        <v>0</v>
      </c>
      <c r="E203" s="213">
        <f>+'Tong hop cac ma'!S203</f>
        <v>0</v>
      </c>
      <c r="F203" s="214"/>
      <c r="G203" s="214"/>
      <c r="H203" s="214"/>
      <c r="I203" s="214"/>
      <c r="J203" s="210"/>
      <c r="K203" s="210"/>
      <c r="L203" s="210"/>
      <c r="M203" s="210"/>
      <c r="N203" s="210"/>
      <c r="O203" s="210"/>
      <c r="P203" s="210"/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0"/>
      <c r="AE203" s="210"/>
      <c r="AF203" s="210">
        <f t="shared" ref="AF203" si="965">IFERROR(SUM(F203:AC203)*0.2,0)</f>
        <v>0</v>
      </c>
      <c r="AG203" s="210"/>
      <c r="AH203" s="210" t="s">
        <v>192</v>
      </c>
      <c r="AI203" s="215">
        <f t="shared" ref="AI203" si="966">IFERROR(130*D203,0)</f>
        <v>0</v>
      </c>
      <c r="AJ203" s="198" cm="1">
        <f t="array" ref="AJ203">IFERROR(SUM(_xlfn._xlws.FILTER(E203:AI203,ISNUMBER(E203:AI203))),0)</f>
        <v>0</v>
      </c>
      <c r="AK203" s="198"/>
      <c r="AL203" s="216">
        <f t="shared" ref="AL203" si="967">IFERROR(AJ203*(1+AK203%),0)</f>
        <v>0</v>
      </c>
      <c r="AM203" s="233"/>
      <c r="AN203" s="201">
        <f t="shared" ref="AN203" si="968">IFERROR(SUM(E203:AC203)/D203,0)</f>
        <v>0</v>
      </c>
      <c r="AO203" s="255"/>
      <c r="AQ203" s="254"/>
      <c r="AR203" s="254"/>
      <c r="AS203" s="254"/>
      <c r="AT203" s="254"/>
      <c r="AU203" s="254"/>
      <c r="AV203" s="254"/>
      <c r="AY203" s="253">
        <f t="shared" ref="AY203" si="969">IFERROR((AQ203*20)/60,0)</f>
        <v>0</v>
      </c>
      <c r="AZ203" s="253">
        <f t="shared" ref="AZ203" si="970">IFERROR(AX203 + AY203 + BI203,0)</f>
        <v>0</v>
      </c>
      <c r="BA203" s="252">
        <f t="shared" ref="BA203" si="971">IFERROR(AZ203/8,0)</f>
        <v>0</v>
      </c>
      <c r="BB203" s="252">
        <f t="shared" ref="BB203" si="972">IFERROR(MAX(AQ203-BA203,0),0)</f>
        <v>0</v>
      </c>
      <c r="BD203" s="234">
        <f t="shared" ref="BD203" si="973">IFERROR(10000*D203,0)</f>
        <v>0</v>
      </c>
      <c r="BE203" s="234"/>
      <c r="BF203" s="234"/>
      <c r="BG203" s="234">
        <f t="shared" ref="BG203" si="974">IFERROR(-IF(AH203=$K$3,0,IF(AH203=$M$3,15*680*D203,IF(AH203=$O$3,30*680*D203,IF(AH203=0,50*680*D203,0)))),0)</f>
        <v>0</v>
      </c>
      <c r="BH203" s="234"/>
      <c r="BI203" s="234"/>
      <c r="BJ203" s="234"/>
    </row>
    <row r="204" spans="1:62" ht="18" hidden="1" customHeight="1">
      <c r="A204" s="212"/>
      <c r="B204" s="88">
        <f>'Tong hop cac ma'!B204</f>
        <v>0</v>
      </c>
      <c r="C204" s="314">
        <f>'Tong hop cac ma'!C204</f>
        <v>0</v>
      </c>
      <c r="D204" s="197">
        <f t="shared" si="964"/>
        <v>0</v>
      </c>
      <c r="E204" s="228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29"/>
      <c r="AJ204" s="230"/>
      <c r="AK204" s="230"/>
      <c r="AL204" s="231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58"/>
      <c r="BB204" s="258"/>
      <c r="BC204" s="212"/>
      <c r="BD204" s="212"/>
      <c r="BE204" s="212"/>
      <c r="BF204" s="212"/>
      <c r="BG204" s="212"/>
      <c r="BH204" s="212"/>
      <c r="BI204" s="212"/>
      <c r="BJ204" s="212"/>
    </row>
    <row r="205" spans="1:62" ht="18" hidden="1" customHeight="1">
      <c r="A205" s="89">
        <v>99</v>
      </c>
      <c r="B205" s="88">
        <f>'Tong hop cac ma'!B205</f>
        <v>0</v>
      </c>
      <c r="C205" s="314">
        <f>'Tong hop cac ma'!C205</f>
        <v>0</v>
      </c>
      <c r="D205" s="197">
        <f t="shared" si="964"/>
        <v>0</v>
      </c>
      <c r="E205" s="213">
        <f>+'Tong hop cac ma'!S205</f>
        <v>0</v>
      </c>
      <c r="F205" s="214"/>
      <c r="G205" s="214"/>
      <c r="H205" s="214"/>
      <c r="I205" s="214"/>
      <c r="J205" s="210"/>
      <c r="K205" s="210"/>
      <c r="L205" s="210"/>
      <c r="M205" s="210"/>
      <c r="N205" s="210"/>
      <c r="O205" s="210"/>
      <c r="P205" s="210"/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0"/>
      <c r="AE205" s="210"/>
      <c r="AF205" s="210">
        <f t="shared" ref="AF205" si="975">IFERROR(SUM(F205:AC205)*0.2,0)</f>
        <v>0</v>
      </c>
      <c r="AG205" s="210"/>
      <c r="AH205" s="210" t="s">
        <v>192</v>
      </c>
      <c r="AI205" s="215">
        <f t="shared" ref="AI205" si="976">IFERROR(130*D205,0)</f>
        <v>0</v>
      </c>
      <c r="AJ205" s="198" cm="1">
        <f t="array" ref="AJ205">IFERROR(SUM(_xlfn._xlws.FILTER(E205:AI205,ISNUMBER(E205:AI205))),0)</f>
        <v>0</v>
      </c>
      <c r="AK205" s="198"/>
      <c r="AL205" s="216">
        <f t="shared" ref="AL205" si="977">IFERROR(AJ205*(1+AK205%),0)</f>
        <v>0</v>
      </c>
      <c r="AM205" s="233"/>
      <c r="AN205" s="201">
        <f t="shared" ref="AN205" si="978">IFERROR(SUM(E205:AC205)/D205,0)</f>
        <v>0</v>
      </c>
      <c r="AO205" s="255"/>
      <c r="AQ205" s="254"/>
      <c r="AR205" s="254"/>
      <c r="AS205" s="254"/>
      <c r="AT205" s="254"/>
      <c r="AU205" s="254"/>
      <c r="AV205" s="254"/>
      <c r="AY205" s="253">
        <f t="shared" ref="AY205" si="979">IFERROR((AQ205*20)/60,0)</f>
        <v>0</v>
      </c>
      <c r="AZ205" s="253">
        <f t="shared" ref="AZ205" si="980">IFERROR(AX205 + AY205 + BI205,0)</f>
        <v>0</v>
      </c>
      <c r="BA205" s="252">
        <f t="shared" ref="BA205" si="981">IFERROR(AZ205/8,0)</f>
        <v>0</v>
      </c>
      <c r="BB205" s="252">
        <f t="shared" ref="BB205" si="982">IFERROR(MAX(AQ205-BA205,0),0)</f>
        <v>0</v>
      </c>
      <c r="BD205" s="234">
        <f t="shared" ref="BD205" si="983">IFERROR(10000*D205,0)</f>
        <v>0</v>
      </c>
      <c r="BE205" s="234"/>
      <c r="BF205" s="234"/>
      <c r="BG205" s="234">
        <f t="shared" ref="BG205" si="984">IFERROR(-IF(AH205=$K$3,0,IF(AH205=$M$3,15*680*D205,IF(AH205=$O$3,30*680*D205,IF(AH205=0,50*680*D205,0)))),0)</f>
        <v>0</v>
      </c>
      <c r="BH205" s="234"/>
      <c r="BI205" s="234"/>
      <c r="BJ205" s="234"/>
    </row>
    <row r="206" spans="1:62" ht="18" hidden="1" customHeight="1">
      <c r="A206" s="81"/>
      <c r="B206" s="88">
        <f>'Tong hop cac ma'!B206</f>
        <v>0</v>
      </c>
      <c r="C206" s="314">
        <f>'Tong hop cac ma'!C206</f>
        <v>0</v>
      </c>
      <c r="D206" s="197">
        <f t="shared" si="964"/>
        <v>0</v>
      </c>
      <c r="E206" s="228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29"/>
      <c r="AJ206" s="230"/>
      <c r="AK206" s="230"/>
      <c r="AL206" s="231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58"/>
      <c r="BB206" s="258"/>
      <c r="BC206" s="212"/>
      <c r="BD206" s="212"/>
      <c r="BE206" s="212"/>
      <c r="BF206" s="212"/>
      <c r="BG206" s="212"/>
      <c r="BH206" s="212"/>
      <c r="BI206" s="212"/>
      <c r="BJ206" s="212"/>
    </row>
    <row r="207" spans="1:62" ht="18" hidden="1" customHeight="1">
      <c r="A207" s="86">
        <v>100</v>
      </c>
      <c r="B207" s="88">
        <f>'Tong hop cac ma'!B207</f>
        <v>0</v>
      </c>
      <c r="C207" s="314">
        <f>'Tong hop cac ma'!C207</f>
        <v>0</v>
      </c>
      <c r="D207" s="197">
        <f t="shared" si="964"/>
        <v>0</v>
      </c>
      <c r="E207" s="213">
        <f>+'Tong hop cac ma'!S207</f>
        <v>0</v>
      </c>
      <c r="F207" s="214"/>
      <c r="G207" s="214"/>
      <c r="H207" s="214"/>
      <c r="I207" s="214"/>
      <c r="J207" s="210"/>
      <c r="K207" s="210"/>
      <c r="L207" s="210"/>
      <c r="M207" s="210"/>
      <c r="N207" s="210"/>
      <c r="O207" s="210"/>
      <c r="P207" s="210"/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0"/>
      <c r="AE207" s="210"/>
      <c r="AF207" s="210">
        <f t="shared" ref="AF207" si="985">IFERROR(SUM(F207:AC207)*0.2,0)</f>
        <v>0</v>
      </c>
      <c r="AG207" s="210"/>
      <c r="AH207" s="210" t="s">
        <v>192</v>
      </c>
      <c r="AI207" s="215">
        <f t="shared" ref="AI207" si="986">IFERROR(130*D207,0)</f>
        <v>0</v>
      </c>
      <c r="AJ207" s="198" cm="1">
        <f t="array" ref="AJ207">IFERROR(SUM(_xlfn._xlws.FILTER(E207:AI207,ISNUMBER(E207:AI207))),0)</f>
        <v>0</v>
      </c>
      <c r="AK207" s="198"/>
      <c r="AL207" s="216">
        <f t="shared" ref="AL207" si="987">IFERROR(AJ207*(1+AK207%),0)</f>
        <v>0</v>
      </c>
      <c r="AM207" s="233"/>
      <c r="AN207" s="201">
        <f t="shared" ref="AN207" si="988">IFERROR(SUM(E207:AC207)/D207,0)</f>
        <v>0</v>
      </c>
      <c r="AO207" s="255"/>
      <c r="AQ207" s="254"/>
      <c r="AR207" s="254"/>
      <c r="AS207" s="254"/>
      <c r="AT207" s="254"/>
      <c r="AU207" s="254"/>
      <c r="AV207" s="254"/>
      <c r="AY207" s="253">
        <f t="shared" ref="AY207" si="989">IFERROR((AQ207*20)/60,0)</f>
        <v>0</v>
      </c>
      <c r="AZ207" s="253">
        <f t="shared" ref="AZ207" si="990">IFERROR(AX207 + AY207 + BI207,0)</f>
        <v>0</v>
      </c>
      <c r="BA207" s="252">
        <f t="shared" ref="BA207" si="991">IFERROR(AZ207/8,0)</f>
        <v>0</v>
      </c>
      <c r="BB207" s="252">
        <f t="shared" ref="BB207" si="992">IFERROR(MAX(AQ207-BA207,0),0)</f>
        <v>0</v>
      </c>
      <c r="BD207" s="234">
        <f t="shared" ref="BD207" si="993">IFERROR(10000*D207,0)</f>
        <v>0</v>
      </c>
      <c r="BE207" s="234"/>
      <c r="BF207" s="234"/>
      <c r="BG207" s="234">
        <f t="shared" ref="BG207" si="994">IFERROR(-IF(AH207=$K$3,0,IF(AH207=$M$3,15*680*D207,IF(AH207=$O$3,30*680*D207,IF(AH207=0,50*680*D207,0)))),0)</f>
        <v>0</v>
      </c>
      <c r="BH207" s="234"/>
      <c r="BI207" s="234"/>
      <c r="BJ207" s="234"/>
    </row>
    <row r="208" spans="1:62" ht="18" hidden="1" customHeight="1">
      <c r="A208" s="212"/>
      <c r="B208" s="88">
        <f>'Tong hop cac ma'!B208</f>
        <v>0</v>
      </c>
      <c r="C208" s="314">
        <f>'Tong hop cac ma'!C208</f>
        <v>0</v>
      </c>
      <c r="D208" s="197">
        <f t="shared" si="964"/>
        <v>0</v>
      </c>
      <c r="E208" s="228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29"/>
      <c r="AJ208" s="230"/>
      <c r="AK208" s="230"/>
      <c r="AL208" s="231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58"/>
      <c r="BB208" s="258"/>
      <c r="BC208" s="212"/>
      <c r="BD208" s="212"/>
      <c r="BE208" s="212"/>
      <c r="BF208" s="212"/>
      <c r="BG208" s="212"/>
      <c r="BH208" s="212"/>
      <c r="BI208" s="212"/>
      <c r="BJ208" s="212"/>
    </row>
    <row r="209" spans="1:62" ht="18" hidden="1" customHeight="1">
      <c r="A209" s="89">
        <v>101</v>
      </c>
      <c r="B209" s="88">
        <f>'Tong hop cac ma'!B209</f>
        <v>0</v>
      </c>
      <c r="C209" s="314">
        <f>'Tong hop cac ma'!C209</f>
        <v>0</v>
      </c>
      <c r="D209" s="197">
        <f t="shared" si="964"/>
        <v>0</v>
      </c>
      <c r="E209" s="213">
        <f>+'Tong hop cac ma'!S209</f>
        <v>0</v>
      </c>
      <c r="F209" s="214"/>
      <c r="G209" s="214"/>
      <c r="H209" s="214"/>
      <c r="I209" s="214"/>
      <c r="J209" s="210"/>
      <c r="K209" s="210"/>
      <c r="L209" s="210"/>
      <c r="M209" s="210"/>
      <c r="N209" s="210"/>
      <c r="O209" s="210"/>
      <c r="P209" s="210"/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0">
        <f t="shared" ref="AF209" si="995">IFERROR(SUM(F209:AC209)*0.2,0)</f>
        <v>0</v>
      </c>
      <c r="AG209" s="210"/>
      <c r="AH209" s="210" t="s">
        <v>192</v>
      </c>
      <c r="AI209" s="215">
        <f t="shared" ref="AI209" si="996">IFERROR(130*D209,0)</f>
        <v>0</v>
      </c>
      <c r="AJ209" s="198" cm="1">
        <f t="array" ref="AJ209">IFERROR(SUM(_xlfn._xlws.FILTER(E209:AI209,ISNUMBER(E209:AI209))),0)</f>
        <v>0</v>
      </c>
      <c r="AK209" s="198"/>
      <c r="AL209" s="216">
        <f t="shared" ref="AL209" si="997">IFERROR(AJ209*(1+AK209%),0)</f>
        <v>0</v>
      </c>
      <c r="AM209" s="233"/>
      <c r="AN209" s="201">
        <f t="shared" ref="AN209" si="998">IFERROR(SUM(E209:AC209)/D209,0)</f>
        <v>0</v>
      </c>
      <c r="AO209" s="255"/>
      <c r="AQ209" s="254"/>
      <c r="AR209" s="254"/>
      <c r="AS209" s="254"/>
      <c r="AT209" s="254"/>
      <c r="AU209" s="254"/>
      <c r="AV209" s="254"/>
      <c r="AY209" s="253">
        <f t="shared" ref="AY209" si="999">IFERROR((AQ209*20)/60,0)</f>
        <v>0</v>
      </c>
      <c r="AZ209" s="253">
        <f t="shared" ref="AZ209" si="1000">IFERROR(AX209 + AY209 + BI209,0)</f>
        <v>0</v>
      </c>
      <c r="BA209" s="252">
        <f t="shared" ref="BA209" si="1001">IFERROR(AZ209/8,0)</f>
        <v>0</v>
      </c>
      <c r="BB209" s="252">
        <f t="shared" ref="BB209" si="1002">IFERROR(MAX(AQ209-BA209,0),0)</f>
        <v>0</v>
      </c>
      <c r="BD209" s="234">
        <f t="shared" ref="BD209" si="1003">IFERROR(10000*D209,0)</f>
        <v>0</v>
      </c>
      <c r="BE209" s="234"/>
      <c r="BF209" s="234"/>
      <c r="BG209" s="234">
        <f t="shared" ref="BG209" si="1004">IFERROR(-IF(AH209=$K$3,0,IF(AH209=$M$3,15*680*D209,IF(AH209=$O$3,30*680*D209,IF(AH209=0,50*680*D209,0)))),0)</f>
        <v>0</v>
      </c>
      <c r="BH209" s="234"/>
      <c r="BI209" s="234"/>
      <c r="BJ209" s="234"/>
    </row>
    <row r="210" spans="1:62" ht="18" hidden="1" customHeight="1">
      <c r="A210" s="81"/>
      <c r="B210" s="88">
        <f>'Tong hop cac ma'!B210</f>
        <v>0</v>
      </c>
      <c r="C210" s="314">
        <f>'Tong hop cac ma'!C210</f>
        <v>0</v>
      </c>
      <c r="D210" s="197">
        <f t="shared" si="964"/>
        <v>0</v>
      </c>
      <c r="E210" s="228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29"/>
      <c r="AJ210" s="230"/>
      <c r="AK210" s="230"/>
      <c r="AL210" s="231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58"/>
      <c r="BB210" s="258"/>
      <c r="BC210" s="212"/>
      <c r="BD210" s="212"/>
      <c r="BE210" s="212"/>
      <c r="BF210" s="212"/>
      <c r="BG210" s="212"/>
      <c r="BH210" s="212"/>
      <c r="BI210" s="212"/>
      <c r="BJ210" s="212"/>
    </row>
    <row r="211" spans="1:62" ht="18" hidden="1" customHeight="1">
      <c r="A211" s="86">
        <v>102</v>
      </c>
      <c r="B211" s="88">
        <f>'Tong hop cac ma'!B211</f>
        <v>0</v>
      </c>
      <c r="C211" s="314">
        <f>'Tong hop cac ma'!C211</f>
        <v>0</v>
      </c>
      <c r="D211" s="197">
        <f t="shared" si="964"/>
        <v>0</v>
      </c>
      <c r="E211" s="213">
        <f>+'Tong hop cac ma'!S211</f>
        <v>0</v>
      </c>
      <c r="F211" s="214"/>
      <c r="G211" s="214"/>
      <c r="H211" s="214"/>
      <c r="I211" s="214"/>
      <c r="J211" s="210"/>
      <c r="K211" s="210"/>
      <c r="L211" s="210"/>
      <c r="M211" s="210"/>
      <c r="N211" s="210"/>
      <c r="O211" s="210"/>
      <c r="P211" s="210"/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0"/>
      <c r="AE211" s="210"/>
      <c r="AF211" s="210">
        <f t="shared" ref="AF211" si="1005">IFERROR(SUM(F211:AC211)*0.2,0)</f>
        <v>0</v>
      </c>
      <c r="AG211" s="210"/>
      <c r="AH211" s="210" t="s">
        <v>192</v>
      </c>
      <c r="AI211" s="215">
        <f t="shared" ref="AI211" si="1006">IFERROR(130*D211,0)</f>
        <v>0</v>
      </c>
      <c r="AJ211" s="198" cm="1">
        <f t="array" ref="AJ211">IFERROR(SUM(_xlfn._xlws.FILTER(E211:AI211,ISNUMBER(E211:AI211))),0)</f>
        <v>0</v>
      </c>
      <c r="AK211" s="198"/>
      <c r="AL211" s="216">
        <f t="shared" ref="AL211" si="1007">IFERROR(AJ211*(1+AK211%),0)</f>
        <v>0</v>
      </c>
      <c r="AM211" s="233"/>
      <c r="AN211" s="201">
        <f t="shared" ref="AN211" si="1008">IFERROR(SUM(E211:AC211)/D211,0)</f>
        <v>0</v>
      </c>
      <c r="AO211" s="255"/>
      <c r="AQ211" s="254"/>
      <c r="AR211" s="254"/>
      <c r="AS211" s="254"/>
      <c r="AT211" s="254"/>
      <c r="AU211" s="254"/>
      <c r="AV211" s="254"/>
      <c r="AY211" s="253">
        <f t="shared" ref="AY211" si="1009">IFERROR((AQ211*20)/60,0)</f>
        <v>0</v>
      </c>
      <c r="AZ211" s="253">
        <f t="shared" ref="AZ211" si="1010">IFERROR(AX211 + AY211 + BI211,0)</f>
        <v>0</v>
      </c>
      <c r="BA211" s="252">
        <f t="shared" ref="BA211" si="1011">IFERROR(AZ211/8,0)</f>
        <v>0</v>
      </c>
      <c r="BB211" s="252">
        <f t="shared" ref="BB211" si="1012">IFERROR(MAX(AQ211-BA211,0),0)</f>
        <v>0</v>
      </c>
      <c r="BD211" s="234">
        <f t="shared" ref="BD211" si="1013">IFERROR(10000*D211,0)</f>
        <v>0</v>
      </c>
      <c r="BE211" s="234"/>
      <c r="BF211" s="234"/>
      <c r="BG211" s="234">
        <f t="shared" ref="BG211" si="1014">IFERROR(-IF(AH211=$K$3,0,IF(AH211=$M$3,15*680*D211,IF(AH211=$O$3,30*680*D211,IF(AH211=0,50*680*D211,0)))),0)</f>
        <v>0</v>
      </c>
      <c r="BH211" s="234"/>
      <c r="BI211" s="234"/>
      <c r="BJ211" s="234"/>
    </row>
    <row r="212" spans="1:62" ht="18" hidden="1" customHeight="1">
      <c r="A212" s="212"/>
      <c r="B212" s="88">
        <f>'Tong hop cac ma'!B212</f>
        <v>0</v>
      </c>
      <c r="C212" s="314">
        <f>'Tong hop cac ma'!C212</f>
        <v>0</v>
      </c>
      <c r="D212" s="197">
        <f t="shared" si="964"/>
        <v>0</v>
      </c>
      <c r="E212" s="228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29"/>
      <c r="AJ212" s="230"/>
      <c r="AK212" s="230"/>
      <c r="AL212" s="231"/>
      <c r="AM212" s="212"/>
      <c r="AN212" s="212"/>
      <c r="AO212" s="212"/>
      <c r="AP212" s="212"/>
      <c r="AQ212" s="212"/>
      <c r="AR212" s="212"/>
      <c r="AS212" s="212"/>
      <c r="AT212" s="212"/>
      <c r="AU212" s="212"/>
      <c r="AV212" s="212"/>
      <c r="AW212" s="212"/>
      <c r="AX212" s="212"/>
      <c r="AY212" s="212"/>
      <c r="AZ212" s="212"/>
      <c r="BA212" s="258"/>
      <c r="BB212" s="258"/>
      <c r="BC212" s="212"/>
      <c r="BD212" s="212"/>
      <c r="BE212" s="212"/>
      <c r="BF212" s="212"/>
      <c r="BG212" s="212"/>
      <c r="BH212" s="212"/>
      <c r="BI212" s="212"/>
      <c r="BJ212" s="212"/>
    </row>
    <row r="213" spans="1:62" ht="18" hidden="1" customHeight="1">
      <c r="A213" s="89">
        <v>103</v>
      </c>
      <c r="B213" s="88">
        <f>'Tong hop cac ma'!B213</f>
        <v>0</v>
      </c>
      <c r="C213" s="314">
        <f>'Tong hop cac ma'!C213</f>
        <v>0</v>
      </c>
      <c r="D213" s="197">
        <f t="shared" si="964"/>
        <v>0</v>
      </c>
      <c r="E213" s="213">
        <f>+'Tong hop cac ma'!S213</f>
        <v>0</v>
      </c>
      <c r="F213" s="214"/>
      <c r="G213" s="214"/>
      <c r="H213" s="214"/>
      <c r="I213" s="214"/>
      <c r="J213" s="210"/>
      <c r="K213" s="210"/>
      <c r="L213" s="210"/>
      <c r="M213" s="210"/>
      <c r="N213" s="210"/>
      <c r="O213" s="210"/>
      <c r="P213" s="210"/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0"/>
      <c r="AE213" s="210"/>
      <c r="AF213" s="210">
        <f t="shared" ref="AF213" si="1015">IFERROR(SUM(F213:AC213)*0.2,0)</f>
        <v>0</v>
      </c>
      <c r="AG213" s="210"/>
      <c r="AH213" s="210" t="s">
        <v>192</v>
      </c>
      <c r="AI213" s="215">
        <f t="shared" ref="AI213" si="1016">IFERROR(130*D213,0)</f>
        <v>0</v>
      </c>
      <c r="AJ213" s="198" cm="1">
        <f t="array" ref="AJ213">IFERROR(SUM(_xlfn._xlws.FILTER(E213:AI213,ISNUMBER(E213:AI213))),0)</f>
        <v>0</v>
      </c>
      <c r="AK213" s="198"/>
      <c r="AL213" s="216">
        <f t="shared" ref="AL213" si="1017">IFERROR(AJ213*(1+AK213%),0)</f>
        <v>0</v>
      </c>
      <c r="AM213" s="233"/>
      <c r="AN213" s="201">
        <f t="shared" ref="AN213" si="1018">IFERROR(SUM(E213:AC213)/D213,0)</f>
        <v>0</v>
      </c>
      <c r="AO213" s="255"/>
      <c r="AQ213" s="254"/>
      <c r="AR213" s="254"/>
      <c r="AS213" s="254"/>
      <c r="AT213" s="254"/>
      <c r="AU213" s="254"/>
      <c r="AV213" s="254"/>
      <c r="AY213" s="253">
        <f t="shared" ref="AY213" si="1019">IFERROR((AQ213*20)/60,0)</f>
        <v>0</v>
      </c>
      <c r="AZ213" s="253">
        <f t="shared" ref="AZ213" si="1020">IFERROR(AX213 + AY213 + BI213,0)</f>
        <v>0</v>
      </c>
      <c r="BA213" s="252">
        <f t="shared" ref="BA213" si="1021">IFERROR(AZ213/8,0)</f>
        <v>0</v>
      </c>
      <c r="BB213" s="252">
        <f t="shared" ref="BB213" si="1022">IFERROR(MAX(AQ213-BA213,0),0)</f>
        <v>0</v>
      </c>
      <c r="BD213" s="234">
        <f t="shared" ref="BD213" si="1023">IFERROR(10000*D213,0)</f>
        <v>0</v>
      </c>
      <c r="BE213" s="234"/>
      <c r="BF213" s="234"/>
      <c r="BG213" s="234">
        <f t="shared" ref="BG213" si="1024">IFERROR(-IF(AH213=$K$3,0,IF(AH213=$M$3,15*680*D213,IF(AH213=$O$3,30*680*D213,IF(AH213=0,50*680*D213,0)))),0)</f>
        <v>0</v>
      </c>
      <c r="BH213" s="234"/>
      <c r="BI213" s="234"/>
      <c r="BJ213" s="234"/>
    </row>
    <row r="214" spans="1:62" ht="18" hidden="1" customHeight="1">
      <c r="A214" s="81"/>
      <c r="B214" s="88">
        <f>'Tong hop cac ma'!B214</f>
        <v>0</v>
      </c>
      <c r="C214" s="314">
        <f>'Tong hop cac ma'!C214</f>
        <v>0</v>
      </c>
      <c r="D214" s="197">
        <f t="shared" si="964"/>
        <v>0</v>
      </c>
      <c r="E214" s="228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29"/>
      <c r="AJ214" s="230"/>
      <c r="AK214" s="230"/>
      <c r="AL214" s="231"/>
      <c r="AM214" s="212"/>
      <c r="AN214" s="212"/>
      <c r="AO214" s="212"/>
      <c r="AP214" s="212"/>
      <c r="AQ214" s="212"/>
      <c r="AR214" s="212"/>
      <c r="AS214" s="212"/>
      <c r="AT214" s="212"/>
      <c r="AU214" s="212"/>
      <c r="AV214" s="212"/>
      <c r="AW214" s="212"/>
      <c r="AX214" s="212"/>
      <c r="AY214" s="212"/>
      <c r="AZ214" s="212"/>
      <c r="BA214" s="258"/>
      <c r="BB214" s="258"/>
      <c r="BC214" s="212"/>
      <c r="BD214" s="212"/>
      <c r="BE214" s="212"/>
      <c r="BF214" s="212"/>
      <c r="BG214" s="212"/>
      <c r="BH214" s="212"/>
      <c r="BI214" s="212"/>
      <c r="BJ214" s="212"/>
    </row>
    <row r="215" spans="1:62" ht="18" hidden="1" customHeight="1">
      <c r="A215" s="86">
        <v>104</v>
      </c>
      <c r="B215" s="88">
        <f>'Tong hop cac ma'!B215</f>
        <v>0</v>
      </c>
      <c r="C215" s="314">
        <f>'Tong hop cac ma'!C215</f>
        <v>0</v>
      </c>
      <c r="D215" s="197">
        <f t="shared" si="964"/>
        <v>0</v>
      </c>
      <c r="E215" s="213">
        <f>+'Tong hop cac ma'!S215</f>
        <v>0</v>
      </c>
      <c r="F215" s="214"/>
      <c r="G215" s="214"/>
      <c r="H215" s="214"/>
      <c r="I215" s="214"/>
      <c r="J215" s="210"/>
      <c r="K215" s="210"/>
      <c r="L215" s="210"/>
      <c r="M215" s="210"/>
      <c r="N215" s="210"/>
      <c r="O215" s="210"/>
      <c r="P215" s="210"/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  <c r="AD215" s="210"/>
      <c r="AE215" s="210"/>
      <c r="AF215" s="210">
        <f t="shared" ref="AF215" si="1025">IFERROR(SUM(F215:AC215)*0.2,0)</f>
        <v>0</v>
      </c>
      <c r="AG215" s="210"/>
      <c r="AH215" s="210" t="s">
        <v>192</v>
      </c>
      <c r="AI215" s="215">
        <f t="shared" ref="AI215" si="1026">IFERROR(130*D215,0)</f>
        <v>0</v>
      </c>
      <c r="AJ215" s="198" cm="1">
        <f t="array" ref="AJ215">IFERROR(SUM(_xlfn._xlws.FILTER(E215:AI215,ISNUMBER(E215:AI215))),0)</f>
        <v>0</v>
      </c>
      <c r="AK215" s="198"/>
      <c r="AL215" s="216">
        <f t="shared" ref="AL215" si="1027">IFERROR(AJ215*(1+AK215%),0)</f>
        <v>0</v>
      </c>
      <c r="AM215" s="233"/>
      <c r="AN215" s="201">
        <f t="shared" ref="AN215" si="1028">IFERROR(SUM(E215:AC215)/D215,0)</f>
        <v>0</v>
      </c>
      <c r="AO215" s="255"/>
      <c r="AQ215" s="254"/>
      <c r="AR215" s="254"/>
      <c r="AS215" s="254"/>
      <c r="AT215" s="254"/>
      <c r="AU215" s="254"/>
      <c r="AV215" s="254"/>
      <c r="AY215" s="253">
        <f t="shared" ref="AY215" si="1029">IFERROR((AQ215*20)/60,0)</f>
        <v>0</v>
      </c>
      <c r="AZ215" s="253">
        <f t="shared" ref="AZ215" si="1030">IFERROR(AX215 + AY215 + BI215,0)</f>
        <v>0</v>
      </c>
      <c r="BA215" s="252">
        <f t="shared" ref="BA215" si="1031">IFERROR(AZ215/8,0)</f>
        <v>0</v>
      </c>
      <c r="BB215" s="252">
        <f t="shared" ref="BB215" si="1032">IFERROR(MAX(AQ215-BA215,0),0)</f>
        <v>0</v>
      </c>
      <c r="BD215" s="234">
        <f t="shared" ref="BD215" si="1033">IFERROR(10000*D215,0)</f>
        <v>0</v>
      </c>
      <c r="BE215" s="234"/>
      <c r="BF215" s="234"/>
      <c r="BG215" s="234">
        <f t="shared" ref="BG215" si="1034">IFERROR(-IF(AH215=$K$3,0,IF(AH215=$M$3,15*680*D215,IF(AH215=$O$3,30*680*D215,IF(AH215=0,50*680*D215,0)))),0)</f>
        <v>0</v>
      </c>
      <c r="BH215" s="234"/>
      <c r="BI215" s="234"/>
      <c r="BJ215" s="234"/>
    </row>
    <row r="216" spans="1:62" ht="18" hidden="1" customHeight="1">
      <c r="A216" s="212"/>
      <c r="B216" s="88">
        <f>'Tong hop cac ma'!B216</f>
        <v>0</v>
      </c>
      <c r="C216" s="314">
        <f>'Tong hop cac ma'!C216</f>
        <v>0</v>
      </c>
      <c r="D216" s="197">
        <f t="shared" si="964"/>
        <v>0</v>
      </c>
      <c r="E216" s="228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29"/>
      <c r="AJ216" s="230"/>
      <c r="AK216" s="230"/>
      <c r="AL216" s="231"/>
      <c r="AM216" s="212"/>
      <c r="AN216" s="212"/>
      <c r="AO216" s="212"/>
      <c r="AP216" s="212"/>
      <c r="AQ216" s="212"/>
      <c r="AR216" s="212"/>
      <c r="AS216" s="212"/>
      <c r="AT216" s="212"/>
      <c r="AU216" s="212"/>
      <c r="AV216" s="212"/>
      <c r="AW216" s="212"/>
      <c r="AX216" s="212"/>
      <c r="AY216" s="212"/>
      <c r="AZ216" s="212"/>
      <c r="BA216" s="258"/>
      <c r="BB216" s="258"/>
      <c r="BC216" s="212"/>
      <c r="BD216" s="212"/>
      <c r="BE216" s="212"/>
      <c r="BF216" s="212"/>
      <c r="BG216" s="212"/>
      <c r="BH216" s="212"/>
      <c r="BI216" s="212"/>
      <c r="BJ216" s="212"/>
    </row>
    <row r="217" spans="1:62" ht="18" hidden="1" customHeight="1">
      <c r="A217" s="89">
        <v>105</v>
      </c>
      <c r="B217" s="88">
        <f>'Tong hop cac ma'!B217</f>
        <v>0</v>
      </c>
      <c r="C217" s="314">
        <f>'Tong hop cac ma'!C217</f>
        <v>0</v>
      </c>
      <c r="D217" s="197">
        <f t="shared" si="964"/>
        <v>0</v>
      </c>
      <c r="E217" s="213">
        <f>+'Tong hop cac ma'!S217</f>
        <v>0</v>
      </c>
      <c r="F217" s="214"/>
      <c r="G217" s="214"/>
      <c r="H217" s="214"/>
      <c r="I217" s="214"/>
      <c r="J217" s="210"/>
      <c r="K217" s="210"/>
      <c r="L217" s="210"/>
      <c r="M217" s="210"/>
      <c r="N217" s="210"/>
      <c r="O217" s="210"/>
      <c r="P217" s="210"/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0"/>
      <c r="AE217" s="210"/>
      <c r="AF217" s="210">
        <f t="shared" ref="AF217" si="1035">IFERROR(SUM(F217:AC217)*0.2,0)</f>
        <v>0</v>
      </c>
      <c r="AG217" s="210"/>
      <c r="AH217" s="210" t="s">
        <v>192</v>
      </c>
      <c r="AI217" s="215">
        <f t="shared" ref="AI217" si="1036">IFERROR(130*D217,0)</f>
        <v>0</v>
      </c>
      <c r="AJ217" s="198" cm="1">
        <f t="array" ref="AJ217">IFERROR(SUM(_xlfn._xlws.FILTER(E217:AI217,ISNUMBER(E217:AI217))),0)</f>
        <v>0</v>
      </c>
      <c r="AK217" s="198"/>
      <c r="AL217" s="216">
        <f t="shared" ref="AL217" si="1037">IFERROR(AJ217*(1+AK217%),0)</f>
        <v>0</v>
      </c>
      <c r="AM217" s="233"/>
      <c r="AN217" s="201">
        <f t="shared" ref="AN217" si="1038">IFERROR(SUM(E217:AC217)/D217,0)</f>
        <v>0</v>
      </c>
      <c r="AO217" s="255"/>
      <c r="AQ217" s="254"/>
      <c r="AR217" s="254"/>
      <c r="AS217" s="254"/>
      <c r="AT217" s="254"/>
      <c r="AU217" s="254"/>
      <c r="AV217" s="254"/>
      <c r="AY217" s="253">
        <f t="shared" ref="AY217" si="1039">IFERROR((AQ217*20)/60,0)</f>
        <v>0</v>
      </c>
      <c r="AZ217" s="253">
        <f t="shared" ref="AZ217" si="1040">IFERROR(AX217 + AY217 + BI217,0)</f>
        <v>0</v>
      </c>
      <c r="BA217" s="252">
        <f t="shared" ref="BA217" si="1041">IFERROR(AZ217/8,0)</f>
        <v>0</v>
      </c>
      <c r="BB217" s="252">
        <f t="shared" ref="BB217" si="1042">IFERROR(MAX(AQ217-BA217,0),0)</f>
        <v>0</v>
      </c>
      <c r="BD217" s="234">
        <f t="shared" ref="BD217" si="1043">IFERROR(10000*D217,0)</f>
        <v>0</v>
      </c>
      <c r="BE217" s="234"/>
      <c r="BF217" s="234"/>
      <c r="BG217" s="234">
        <f t="shared" ref="BG217" si="1044">IFERROR(-IF(AH217=$K$3,0,IF(AH217=$M$3,15*680*D217,IF(AH217=$O$3,30*680*D217,IF(AH217=0,50*680*D217,0)))),0)</f>
        <v>0</v>
      </c>
      <c r="BH217" s="234"/>
      <c r="BI217" s="234"/>
      <c r="BJ217" s="234"/>
    </row>
    <row r="218" spans="1:62" ht="18" hidden="1" customHeight="1">
      <c r="A218" s="81"/>
      <c r="B218" s="88">
        <f>'Tong hop cac ma'!B218</f>
        <v>0</v>
      </c>
      <c r="C218" s="314">
        <f>'Tong hop cac ma'!C218</f>
        <v>0</v>
      </c>
      <c r="D218" s="197">
        <f t="shared" si="964"/>
        <v>0</v>
      </c>
      <c r="E218" s="228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29"/>
      <c r="AJ218" s="230"/>
      <c r="AK218" s="230"/>
      <c r="AL218" s="231"/>
      <c r="AM218" s="212"/>
      <c r="AN218" s="212"/>
      <c r="AO218" s="212"/>
      <c r="AP218" s="212"/>
      <c r="AQ218" s="212"/>
      <c r="AR218" s="212"/>
      <c r="AS218" s="212"/>
      <c r="AT218" s="212"/>
      <c r="AU218" s="212"/>
      <c r="AV218" s="212"/>
      <c r="AW218" s="212"/>
      <c r="AX218" s="212"/>
      <c r="AY218" s="212"/>
      <c r="AZ218" s="212"/>
      <c r="BA218" s="258"/>
      <c r="BB218" s="258"/>
      <c r="BC218" s="212"/>
      <c r="BD218" s="212"/>
      <c r="BE218" s="212"/>
      <c r="BF218" s="212"/>
      <c r="BG218" s="212"/>
      <c r="BH218" s="212"/>
      <c r="BI218" s="212"/>
      <c r="BJ218" s="212"/>
    </row>
    <row r="219" spans="1:62" ht="18" hidden="1" customHeight="1">
      <c r="A219" s="86">
        <v>106</v>
      </c>
      <c r="B219" s="88">
        <f>'Tong hop cac ma'!B219</f>
        <v>0</v>
      </c>
      <c r="C219" s="314">
        <f>'Tong hop cac ma'!C219</f>
        <v>0</v>
      </c>
      <c r="D219" s="197">
        <f t="shared" si="964"/>
        <v>0</v>
      </c>
      <c r="E219" s="213">
        <f>+'Tong hop cac ma'!S219</f>
        <v>0</v>
      </c>
      <c r="F219" s="214"/>
      <c r="G219" s="214"/>
      <c r="H219" s="214"/>
      <c r="I219" s="214"/>
      <c r="J219" s="210"/>
      <c r="K219" s="210"/>
      <c r="L219" s="210"/>
      <c r="M219" s="210"/>
      <c r="N219" s="210"/>
      <c r="O219" s="210"/>
      <c r="P219" s="210"/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/>
      <c r="AE219" s="210"/>
      <c r="AF219" s="210">
        <f t="shared" ref="AF219" si="1045">IFERROR(SUM(F219:AC219)*0.2,0)</f>
        <v>0</v>
      </c>
      <c r="AG219" s="210"/>
      <c r="AH219" s="210" t="s">
        <v>192</v>
      </c>
      <c r="AI219" s="215">
        <f t="shared" ref="AI219" si="1046">IFERROR(130*D219,0)</f>
        <v>0</v>
      </c>
      <c r="AJ219" s="198" cm="1">
        <f t="array" ref="AJ219">IFERROR(SUM(_xlfn._xlws.FILTER(E219:AI219,ISNUMBER(E219:AI219))),0)</f>
        <v>0</v>
      </c>
      <c r="AK219" s="198"/>
      <c r="AL219" s="216">
        <f t="shared" ref="AL219" si="1047">IFERROR(AJ219*(1+AK219%),0)</f>
        <v>0</v>
      </c>
      <c r="AM219" s="233"/>
      <c r="AN219" s="201">
        <f t="shared" ref="AN219" si="1048">IFERROR(SUM(E219:AC219)/D219,0)</f>
        <v>0</v>
      </c>
      <c r="AO219" s="255"/>
      <c r="AQ219" s="254"/>
      <c r="AR219" s="254"/>
      <c r="AS219" s="254"/>
      <c r="AT219" s="254"/>
      <c r="AU219" s="254"/>
      <c r="AV219" s="254"/>
      <c r="AY219" s="253">
        <f t="shared" ref="AY219" si="1049">IFERROR((AQ219*20)/60,0)</f>
        <v>0</v>
      </c>
      <c r="AZ219" s="253">
        <f t="shared" ref="AZ219" si="1050">IFERROR(AX219 + AY219 + BI219,0)</f>
        <v>0</v>
      </c>
      <c r="BA219" s="252">
        <f t="shared" ref="BA219" si="1051">IFERROR(AZ219/8,0)</f>
        <v>0</v>
      </c>
      <c r="BB219" s="252">
        <f t="shared" ref="BB219" si="1052">IFERROR(MAX(AQ219-BA219,0),0)</f>
        <v>0</v>
      </c>
      <c r="BD219" s="234">
        <f t="shared" ref="BD219" si="1053">IFERROR(10000*D219,0)</f>
        <v>0</v>
      </c>
      <c r="BE219" s="234"/>
      <c r="BF219" s="234"/>
      <c r="BG219" s="234">
        <f t="shared" ref="BG219" si="1054">IFERROR(-IF(AH219=$K$3,0,IF(AH219=$M$3,15*680*D219,IF(AH219=$O$3,30*680*D219,IF(AH219=0,50*680*D219,0)))),0)</f>
        <v>0</v>
      </c>
      <c r="BH219" s="234"/>
      <c r="BI219" s="234"/>
      <c r="BJ219" s="234"/>
    </row>
    <row r="220" spans="1:62" ht="18" hidden="1" customHeight="1">
      <c r="A220" s="212"/>
      <c r="B220" s="88">
        <f>'Tong hop cac ma'!B220</f>
        <v>0</v>
      </c>
      <c r="C220" s="314">
        <f>'Tong hop cac ma'!C220</f>
        <v>0</v>
      </c>
      <c r="D220" s="197">
        <f t="shared" si="964"/>
        <v>0</v>
      </c>
      <c r="E220" s="228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29"/>
      <c r="AJ220" s="230"/>
      <c r="AK220" s="230"/>
      <c r="AL220" s="231"/>
      <c r="AM220" s="212"/>
      <c r="AN220" s="212"/>
      <c r="AO220" s="212"/>
      <c r="AP220" s="212"/>
      <c r="AQ220" s="212"/>
      <c r="AR220" s="212"/>
      <c r="AS220" s="212"/>
      <c r="AT220" s="212"/>
      <c r="AU220" s="212"/>
      <c r="AV220" s="212"/>
      <c r="AW220" s="212"/>
      <c r="AX220" s="212"/>
      <c r="AY220" s="212"/>
      <c r="AZ220" s="212"/>
      <c r="BA220" s="258"/>
      <c r="BB220" s="258"/>
      <c r="BC220" s="212"/>
      <c r="BD220" s="212"/>
      <c r="BE220" s="212"/>
      <c r="BF220" s="212"/>
      <c r="BG220" s="212"/>
      <c r="BH220" s="212"/>
      <c r="BI220" s="212"/>
      <c r="BJ220" s="212"/>
    </row>
    <row r="221" spans="1:62" ht="18" hidden="1" customHeight="1">
      <c r="A221" s="89">
        <v>107</v>
      </c>
      <c r="B221" s="88">
        <f>'Tong hop cac ma'!B221</f>
        <v>0</v>
      </c>
      <c r="C221" s="314">
        <f>'Tong hop cac ma'!C221</f>
        <v>0</v>
      </c>
      <c r="D221" s="197">
        <f t="shared" si="964"/>
        <v>0</v>
      </c>
      <c r="E221" s="213">
        <f>+'Tong hop cac ma'!S221</f>
        <v>0</v>
      </c>
      <c r="F221" s="214"/>
      <c r="G221" s="214"/>
      <c r="H221" s="214"/>
      <c r="I221" s="214"/>
      <c r="J221" s="210"/>
      <c r="K221" s="210"/>
      <c r="L221" s="210"/>
      <c r="M221" s="210"/>
      <c r="N221" s="210"/>
      <c r="O221" s="210"/>
      <c r="P221" s="210"/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/>
      <c r="AE221" s="210"/>
      <c r="AF221" s="210">
        <f t="shared" ref="AF221" si="1055">IFERROR(SUM(F221:AC221)*0.2,0)</f>
        <v>0</v>
      </c>
      <c r="AG221" s="210"/>
      <c r="AH221" s="210" t="s">
        <v>192</v>
      </c>
      <c r="AI221" s="215">
        <f t="shared" ref="AI221" si="1056">IFERROR(130*D221,0)</f>
        <v>0</v>
      </c>
      <c r="AJ221" s="198" cm="1">
        <f t="array" ref="AJ221">IFERROR(SUM(_xlfn._xlws.FILTER(E221:AI221,ISNUMBER(E221:AI221))),0)</f>
        <v>0</v>
      </c>
      <c r="AK221" s="198"/>
      <c r="AL221" s="216">
        <f t="shared" ref="AL221" si="1057">IFERROR(AJ221*(1+AK221%),0)</f>
        <v>0</v>
      </c>
      <c r="AM221" s="233"/>
      <c r="AN221" s="201">
        <f t="shared" ref="AN221" si="1058">IFERROR(SUM(E221:AC221)/D221,0)</f>
        <v>0</v>
      </c>
      <c r="AO221" s="255"/>
      <c r="AQ221" s="254"/>
      <c r="AR221" s="254"/>
      <c r="AS221" s="254"/>
      <c r="AT221" s="254"/>
      <c r="AU221" s="254"/>
      <c r="AV221" s="254"/>
      <c r="AY221" s="253">
        <f t="shared" ref="AY221" si="1059">IFERROR((AQ221*20)/60,0)</f>
        <v>0</v>
      </c>
      <c r="AZ221" s="253">
        <f t="shared" ref="AZ221" si="1060">IFERROR(AX221 + AY221 + BI221,0)</f>
        <v>0</v>
      </c>
      <c r="BA221" s="252">
        <f t="shared" ref="BA221" si="1061">IFERROR(AZ221/8,0)</f>
        <v>0</v>
      </c>
      <c r="BB221" s="252">
        <f t="shared" ref="BB221" si="1062">IFERROR(MAX(AQ221-BA221,0),0)</f>
        <v>0</v>
      </c>
      <c r="BD221" s="234">
        <f t="shared" ref="BD221" si="1063">IFERROR(10000*D221,0)</f>
        <v>0</v>
      </c>
      <c r="BE221" s="234"/>
      <c r="BF221" s="234"/>
      <c r="BG221" s="234">
        <f t="shared" ref="BG221" si="1064">IFERROR(-IF(AH221=$K$3,0,IF(AH221=$M$3,15*680*D221,IF(AH221=$O$3,30*680*D221,IF(AH221=0,50*680*D221,0)))),0)</f>
        <v>0</v>
      </c>
      <c r="BH221" s="234"/>
      <c r="BI221" s="234"/>
      <c r="BJ221" s="234"/>
    </row>
    <row r="222" spans="1:62" ht="18" hidden="1" customHeight="1">
      <c r="A222" s="81"/>
      <c r="B222" s="88">
        <f>'Tong hop cac ma'!B222</f>
        <v>0</v>
      </c>
      <c r="C222" s="314">
        <f>'Tong hop cac ma'!C222</f>
        <v>0</v>
      </c>
      <c r="D222" s="197">
        <f t="shared" si="964"/>
        <v>0</v>
      </c>
      <c r="E222" s="228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29"/>
      <c r="AJ222" s="230"/>
      <c r="AK222" s="230"/>
      <c r="AL222" s="231"/>
      <c r="AM222" s="212"/>
      <c r="AN222" s="212"/>
      <c r="AO222" s="212"/>
      <c r="AP222" s="212"/>
      <c r="AQ222" s="212"/>
      <c r="AR222" s="212"/>
      <c r="AS222" s="212"/>
      <c r="AT222" s="212"/>
      <c r="AU222" s="212"/>
      <c r="AV222" s="212"/>
      <c r="AW222" s="212"/>
      <c r="AX222" s="212"/>
      <c r="AY222" s="212"/>
      <c r="AZ222" s="212"/>
      <c r="BA222" s="258"/>
      <c r="BB222" s="258"/>
      <c r="BC222" s="212"/>
      <c r="BD222" s="212"/>
      <c r="BE222" s="212"/>
      <c r="BF222" s="212"/>
      <c r="BG222" s="212"/>
      <c r="BH222" s="212"/>
      <c r="BI222" s="212"/>
      <c r="BJ222" s="212"/>
    </row>
    <row r="223" spans="1:62" ht="18" hidden="1" customHeight="1">
      <c r="A223" s="86">
        <v>108</v>
      </c>
      <c r="B223" s="88">
        <f>'Tong hop cac ma'!B223</f>
        <v>0</v>
      </c>
      <c r="C223" s="314">
        <f>'Tong hop cac ma'!C223</f>
        <v>0</v>
      </c>
      <c r="D223" s="197">
        <f t="shared" si="964"/>
        <v>0</v>
      </c>
      <c r="E223" s="213">
        <f>+'Tong hop cac ma'!S223</f>
        <v>0</v>
      </c>
      <c r="F223" s="214"/>
      <c r="G223" s="214"/>
      <c r="H223" s="214"/>
      <c r="I223" s="214"/>
      <c r="J223" s="210"/>
      <c r="K223" s="210"/>
      <c r="L223" s="210"/>
      <c r="M223" s="210"/>
      <c r="N223" s="210"/>
      <c r="O223" s="210"/>
      <c r="P223" s="210"/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/>
      <c r="AE223" s="210"/>
      <c r="AF223" s="210">
        <f t="shared" ref="AF223" si="1065">IFERROR(SUM(F223:AC223)*0.2,0)</f>
        <v>0</v>
      </c>
      <c r="AG223" s="210"/>
      <c r="AH223" s="210" t="s">
        <v>192</v>
      </c>
      <c r="AI223" s="215">
        <f t="shared" ref="AI223" si="1066">IFERROR(130*D223,0)</f>
        <v>0</v>
      </c>
      <c r="AJ223" s="198" cm="1">
        <f t="array" ref="AJ223">IFERROR(SUM(_xlfn._xlws.FILTER(E223:AI223,ISNUMBER(E223:AI223))),0)</f>
        <v>0</v>
      </c>
      <c r="AK223" s="198"/>
      <c r="AL223" s="216">
        <f t="shared" ref="AL223" si="1067">IFERROR(AJ223*(1+AK223%),0)</f>
        <v>0</v>
      </c>
      <c r="AM223" s="233"/>
      <c r="AN223" s="201">
        <f t="shared" ref="AN223" si="1068">IFERROR(SUM(E223:AC223)/D223,0)</f>
        <v>0</v>
      </c>
      <c r="AO223" s="255"/>
      <c r="AQ223" s="254"/>
      <c r="AR223" s="254"/>
      <c r="AS223" s="254"/>
      <c r="AT223" s="254"/>
      <c r="AU223" s="254"/>
      <c r="AV223" s="254"/>
      <c r="AY223" s="253">
        <f t="shared" ref="AY223" si="1069">IFERROR((AQ223*20)/60,0)</f>
        <v>0</v>
      </c>
      <c r="AZ223" s="253">
        <f t="shared" ref="AZ223" si="1070">IFERROR(AX223 + AY223 + BI223,0)</f>
        <v>0</v>
      </c>
      <c r="BA223" s="252">
        <f t="shared" ref="BA223" si="1071">IFERROR(AZ223/8,0)</f>
        <v>0</v>
      </c>
      <c r="BB223" s="252">
        <f t="shared" ref="BB223" si="1072">IFERROR(MAX(AQ223-BA223,0),0)</f>
        <v>0</v>
      </c>
      <c r="BD223" s="234">
        <f t="shared" ref="BD223" si="1073">IFERROR(10000*D223,0)</f>
        <v>0</v>
      </c>
      <c r="BE223" s="234"/>
      <c r="BF223" s="234"/>
      <c r="BG223" s="234">
        <f t="shared" ref="BG223" si="1074">IFERROR(-IF(AH223=$K$3,0,IF(AH223=$M$3,15*680*D223,IF(AH223=$O$3,30*680*D223,IF(AH223=0,50*680*D223,0)))),0)</f>
        <v>0</v>
      </c>
      <c r="BH223" s="234"/>
      <c r="BI223" s="234"/>
      <c r="BJ223" s="234"/>
    </row>
    <row r="224" spans="1:62" ht="18" hidden="1" customHeight="1">
      <c r="A224" s="212"/>
      <c r="B224" s="88">
        <f>'Tong hop cac ma'!B224</f>
        <v>0</v>
      </c>
      <c r="C224" s="314">
        <f>'Tong hop cac ma'!C224</f>
        <v>0</v>
      </c>
      <c r="D224" s="197">
        <f t="shared" si="964"/>
        <v>0</v>
      </c>
      <c r="E224" s="228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29"/>
      <c r="AJ224" s="230"/>
      <c r="AK224" s="230"/>
      <c r="AL224" s="231"/>
      <c r="AM224" s="212"/>
      <c r="AN224" s="212"/>
      <c r="AO224" s="212"/>
      <c r="AP224" s="212"/>
      <c r="AQ224" s="212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58"/>
      <c r="BB224" s="258"/>
      <c r="BC224" s="212"/>
      <c r="BD224" s="212"/>
      <c r="BE224" s="212"/>
      <c r="BF224" s="212"/>
      <c r="BG224" s="212"/>
      <c r="BH224" s="212"/>
      <c r="BI224" s="212"/>
      <c r="BJ224" s="212"/>
    </row>
    <row r="225" spans="1:62" ht="18" hidden="1" customHeight="1">
      <c r="A225" s="89">
        <v>109</v>
      </c>
      <c r="B225" s="88">
        <f>'Tong hop cac ma'!B225</f>
        <v>0</v>
      </c>
      <c r="C225" s="314">
        <f>'Tong hop cac ma'!C225</f>
        <v>0</v>
      </c>
      <c r="D225" s="197">
        <f t="shared" si="964"/>
        <v>0</v>
      </c>
      <c r="E225" s="213">
        <f>+'Tong hop cac ma'!S225</f>
        <v>0</v>
      </c>
      <c r="F225" s="214"/>
      <c r="G225" s="214"/>
      <c r="H225" s="214"/>
      <c r="I225" s="214"/>
      <c r="J225" s="210"/>
      <c r="K225" s="210"/>
      <c r="L225" s="210"/>
      <c r="M225" s="210"/>
      <c r="N225" s="210"/>
      <c r="O225" s="210"/>
      <c r="P225" s="210"/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/>
      <c r="AE225" s="210"/>
      <c r="AF225" s="210">
        <f t="shared" ref="AF225" si="1075">IFERROR(SUM(F225:AC225)*0.2,0)</f>
        <v>0</v>
      </c>
      <c r="AG225" s="210"/>
      <c r="AH225" s="210" t="s">
        <v>192</v>
      </c>
      <c r="AI225" s="215">
        <f t="shared" ref="AI225" si="1076">IFERROR(130*D225,0)</f>
        <v>0</v>
      </c>
      <c r="AJ225" s="198" cm="1">
        <f t="array" ref="AJ225">IFERROR(SUM(_xlfn._xlws.FILTER(E225:AI225,ISNUMBER(E225:AI225))),0)</f>
        <v>0</v>
      </c>
      <c r="AK225" s="198"/>
      <c r="AL225" s="216">
        <f t="shared" ref="AL225" si="1077">IFERROR(AJ225*(1+AK225%),0)</f>
        <v>0</v>
      </c>
      <c r="AM225" s="233"/>
      <c r="AN225" s="201">
        <f t="shared" ref="AN225" si="1078">IFERROR(SUM(E225:AC225)/D225,0)</f>
        <v>0</v>
      </c>
      <c r="AO225" s="255"/>
      <c r="AQ225" s="254"/>
      <c r="AR225" s="254"/>
      <c r="AS225" s="254"/>
      <c r="AT225" s="254"/>
      <c r="AU225" s="254"/>
      <c r="AV225" s="254"/>
      <c r="AY225" s="253">
        <f t="shared" ref="AY225" si="1079">IFERROR((AQ225*20)/60,0)</f>
        <v>0</v>
      </c>
      <c r="AZ225" s="253">
        <f t="shared" ref="AZ225" si="1080">IFERROR(AX225 + AY225 + BI225,0)</f>
        <v>0</v>
      </c>
      <c r="BA225" s="252">
        <f t="shared" ref="BA225" si="1081">IFERROR(AZ225/8,0)</f>
        <v>0</v>
      </c>
      <c r="BB225" s="252">
        <f t="shared" ref="BB225" si="1082">IFERROR(MAX(AQ225-BA225,0),0)</f>
        <v>0</v>
      </c>
      <c r="BD225" s="234">
        <f t="shared" ref="BD225" si="1083">IFERROR(10000*D225,0)</f>
        <v>0</v>
      </c>
      <c r="BE225" s="234"/>
      <c r="BF225" s="234"/>
      <c r="BG225" s="234">
        <f t="shared" ref="BG225" si="1084">IFERROR(-IF(AH225=$K$3,0,IF(AH225=$M$3,15*680*D225,IF(AH225=$O$3,30*680*D225,IF(AH225=0,50*680*D225,0)))),0)</f>
        <v>0</v>
      </c>
      <c r="BH225" s="234"/>
      <c r="BI225" s="234"/>
      <c r="BJ225" s="234"/>
    </row>
    <row r="226" spans="1:62" ht="18" hidden="1" customHeight="1">
      <c r="A226" s="81"/>
      <c r="B226" s="88">
        <f>'Tong hop cac ma'!B226</f>
        <v>0</v>
      </c>
      <c r="C226" s="314">
        <f>'Tong hop cac ma'!C226</f>
        <v>0</v>
      </c>
      <c r="D226" s="197">
        <f t="shared" si="964"/>
        <v>0</v>
      </c>
      <c r="E226" s="228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29"/>
      <c r="AJ226" s="230"/>
      <c r="AK226" s="230"/>
      <c r="AL226" s="231"/>
      <c r="AM226" s="212"/>
      <c r="AN226" s="212"/>
      <c r="AO226" s="212"/>
      <c r="AP226" s="212"/>
      <c r="AQ226" s="212"/>
      <c r="AR226" s="212"/>
      <c r="AS226" s="212"/>
      <c r="AT226" s="212"/>
      <c r="AU226" s="212"/>
      <c r="AV226" s="212"/>
      <c r="AW226" s="212"/>
      <c r="AX226" s="212"/>
      <c r="AY226" s="212"/>
      <c r="AZ226" s="212"/>
      <c r="BA226" s="258"/>
      <c r="BB226" s="258"/>
      <c r="BC226" s="212"/>
      <c r="BD226" s="212"/>
      <c r="BE226" s="212"/>
      <c r="BF226" s="212"/>
      <c r="BG226" s="212"/>
      <c r="BH226" s="212"/>
      <c r="BI226" s="212"/>
      <c r="BJ226" s="212"/>
    </row>
    <row r="227" spans="1:62" ht="18" hidden="1" customHeight="1">
      <c r="A227" s="86">
        <v>110</v>
      </c>
      <c r="B227" s="88">
        <f>'Tong hop cac ma'!B227</f>
        <v>0</v>
      </c>
      <c r="C227" s="314">
        <f>'Tong hop cac ma'!C227</f>
        <v>0</v>
      </c>
      <c r="D227" s="197">
        <f t="shared" si="964"/>
        <v>0</v>
      </c>
      <c r="E227" s="213">
        <f>+'Tong hop cac ma'!S227</f>
        <v>0</v>
      </c>
      <c r="F227" s="214"/>
      <c r="G227" s="214"/>
      <c r="H227" s="214"/>
      <c r="I227" s="214"/>
      <c r="J227" s="210"/>
      <c r="K227" s="210"/>
      <c r="L227" s="210"/>
      <c r="M227" s="210"/>
      <c r="N227" s="210"/>
      <c r="O227" s="210"/>
      <c r="P227" s="210"/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/>
      <c r="AE227" s="210"/>
      <c r="AF227" s="210">
        <f t="shared" ref="AF227" si="1085">IFERROR(SUM(F227:AC227)*0.2,0)</f>
        <v>0</v>
      </c>
      <c r="AG227" s="210"/>
      <c r="AH227" s="210" t="s">
        <v>192</v>
      </c>
      <c r="AI227" s="215">
        <f t="shared" ref="AI227" si="1086">IFERROR(130*D227,0)</f>
        <v>0</v>
      </c>
      <c r="AJ227" s="198" cm="1">
        <f t="array" ref="AJ227">IFERROR(SUM(_xlfn._xlws.FILTER(E227:AI227,ISNUMBER(E227:AI227))),0)</f>
        <v>0</v>
      </c>
      <c r="AK227" s="198"/>
      <c r="AL227" s="216">
        <f t="shared" ref="AL227" si="1087">IFERROR(AJ227*(1+AK227%),0)</f>
        <v>0</v>
      </c>
      <c r="AM227" s="233"/>
      <c r="AN227" s="201">
        <f t="shared" ref="AN227" si="1088">IFERROR(SUM(E227:AC227)/D227,0)</f>
        <v>0</v>
      </c>
      <c r="AO227" s="255"/>
      <c r="AQ227" s="254"/>
      <c r="AR227" s="254"/>
      <c r="AS227" s="254"/>
      <c r="AT227" s="254"/>
      <c r="AU227" s="254"/>
      <c r="AV227" s="254"/>
      <c r="AY227" s="253">
        <f t="shared" ref="AY227" si="1089">IFERROR((AQ227*20)/60,0)</f>
        <v>0</v>
      </c>
      <c r="AZ227" s="253">
        <f t="shared" ref="AZ227" si="1090">IFERROR(AX227 + AY227 + BI227,0)</f>
        <v>0</v>
      </c>
      <c r="BA227" s="252">
        <f t="shared" ref="BA227" si="1091">IFERROR(AZ227/8,0)</f>
        <v>0</v>
      </c>
      <c r="BB227" s="252">
        <f t="shared" ref="BB227" si="1092">IFERROR(MAX(AQ227-BA227,0),0)</f>
        <v>0</v>
      </c>
      <c r="BD227" s="234">
        <f t="shared" ref="BD227" si="1093">IFERROR(10000*D227,0)</f>
        <v>0</v>
      </c>
      <c r="BE227" s="234"/>
      <c r="BF227" s="234"/>
      <c r="BG227" s="234">
        <f t="shared" ref="BG227" si="1094">IFERROR(-IF(AH227=$K$3,0,IF(AH227=$M$3,15*680*D227,IF(AH227=$O$3,30*680*D227,IF(AH227=0,50*680*D227,0)))),0)</f>
        <v>0</v>
      </c>
      <c r="BH227" s="234"/>
      <c r="BI227" s="234"/>
      <c r="BJ227" s="234"/>
    </row>
    <row r="228" spans="1:62" ht="18" hidden="1" customHeight="1">
      <c r="A228" s="212"/>
      <c r="B228" s="88">
        <f>'Tong hop cac ma'!B228</f>
        <v>0</v>
      </c>
      <c r="C228" s="314">
        <f>'Tong hop cac ma'!C228</f>
        <v>0</v>
      </c>
      <c r="D228" s="197">
        <f t="shared" si="964"/>
        <v>0</v>
      </c>
      <c r="E228" s="228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29"/>
      <c r="AJ228" s="230"/>
      <c r="AK228" s="230"/>
      <c r="AL228" s="231"/>
      <c r="AM228" s="212"/>
      <c r="AN228" s="212"/>
      <c r="AO228" s="212"/>
      <c r="AP228" s="212"/>
      <c r="AQ228" s="212"/>
      <c r="AR228" s="212"/>
      <c r="AS228" s="212"/>
      <c r="AT228" s="212"/>
      <c r="AU228" s="212"/>
      <c r="AV228" s="212"/>
      <c r="AW228" s="212"/>
      <c r="AX228" s="212"/>
      <c r="AY228" s="212"/>
      <c r="AZ228" s="212"/>
      <c r="BA228" s="258"/>
      <c r="BB228" s="258"/>
      <c r="BC228" s="212"/>
      <c r="BD228" s="212"/>
      <c r="BE228" s="212"/>
      <c r="BF228" s="212"/>
      <c r="BG228" s="212"/>
      <c r="BH228" s="212"/>
      <c r="BI228" s="212"/>
      <c r="BJ228" s="212"/>
    </row>
    <row r="229" spans="1:62" ht="18" hidden="1" customHeight="1">
      <c r="A229" s="89">
        <v>111</v>
      </c>
      <c r="B229" s="88">
        <f>'Tong hop cac ma'!B229</f>
        <v>0</v>
      </c>
      <c r="C229" s="314">
        <f>'Tong hop cac ma'!C229</f>
        <v>0</v>
      </c>
      <c r="D229" s="197">
        <f t="shared" si="964"/>
        <v>0</v>
      </c>
      <c r="E229" s="213">
        <f>+'Tong hop cac ma'!S229</f>
        <v>0</v>
      </c>
      <c r="F229" s="214"/>
      <c r="G229" s="214"/>
      <c r="H229" s="214"/>
      <c r="I229" s="214"/>
      <c r="J229" s="210"/>
      <c r="K229" s="210"/>
      <c r="L229" s="210"/>
      <c r="M229" s="210"/>
      <c r="N229" s="210"/>
      <c r="O229" s="210"/>
      <c r="P229" s="210"/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/>
      <c r="AE229" s="210"/>
      <c r="AF229" s="210">
        <f t="shared" ref="AF229" si="1095">IFERROR(SUM(F229:AC229)*0.2,0)</f>
        <v>0</v>
      </c>
      <c r="AG229" s="210"/>
      <c r="AH229" s="210" t="s">
        <v>192</v>
      </c>
      <c r="AI229" s="215">
        <f t="shared" ref="AI229" si="1096">IFERROR(130*D229,0)</f>
        <v>0</v>
      </c>
      <c r="AJ229" s="198" cm="1">
        <f t="array" ref="AJ229">IFERROR(SUM(_xlfn._xlws.FILTER(E229:AI229,ISNUMBER(E229:AI229))),0)</f>
        <v>0</v>
      </c>
      <c r="AK229" s="198"/>
      <c r="AL229" s="216">
        <f t="shared" ref="AL229" si="1097">IFERROR(AJ229*(1+AK229%),0)</f>
        <v>0</v>
      </c>
      <c r="AM229" s="233"/>
      <c r="AN229" s="201">
        <f t="shared" ref="AN229" si="1098">IFERROR(SUM(E229:AC229)/D229,0)</f>
        <v>0</v>
      </c>
      <c r="AO229" s="255"/>
      <c r="AQ229" s="254"/>
      <c r="AR229" s="254"/>
      <c r="AS229" s="254"/>
      <c r="AT229" s="254"/>
      <c r="AU229" s="254"/>
      <c r="AV229" s="254"/>
      <c r="AY229" s="253">
        <f t="shared" ref="AY229" si="1099">IFERROR((AQ229*20)/60,0)</f>
        <v>0</v>
      </c>
      <c r="AZ229" s="253">
        <f t="shared" ref="AZ229" si="1100">IFERROR(AX229 + AY229 + BI229,0)</f>
        <v>0</v>
      </c>
      <c r="BA229" s="252">
        <f t="shared" ref="BA229" si="1101">IFERROR(AZ229/8,0)</f>
        <v>0</v>
      </c>
      <c r="BB229" s="252">
        <f t="shared" ref="BB229" si="1102">IFERROR(MAX(AQ229-BA229,0),0)</f>
        <v>0</v>
      </c>
      <c r="BD229" s="234">
        <f t="shared" ref="BD229" si="1103">IFERROR(10000*D229,0)</f>
        <v>0</v>
      </c>
      <c r="BE229" s="234"/>
      <c r="BF229" s="234"/>
      <c r="BG229" s="234">
        <f t="shared" ref="BG229" si="1104">IFERROR(-IF(AH229=$K$3,0,IF(AH229=$M$3,15*680*D229,IF(AH229=$O$3,30*680*D229,IF(AH229=0,50*680*D229,0)))),0)</f>
        <v>0</v>
      </c>
      <c r="BH229" s="234"/>
      <c r="BI229" s="234"/>
      <c r="BJ229" s="234"/>
    </row>
    <row r="230" spans="1:62" ht="18" hidden="1" customHeight="1">
      <c r="A230" s="81"/>
      <c r="B230" s="88">
        <f>'Tong hop cac ma'!B230</f>
        <v>0</v>
      </c>
      <c r="C230" s="314">
        <f>'Tong hop cac ma'!C230</f>
        <v>0</v>
      </c>
      <c r="D230" s="197">
        <f t="shared" si="964"/>
        <v>0</v>
      </c>
      <c r="E230" s="228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29"/>
      <c r="AJ230" s="230"/>
      <c r="AK230" s="230"/>
      <c r="AL230" s="231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58"/>
      <c r="BB230" s="258"/>
      <c r="BC230" s="212"/>
      <c r="BD230" s="212"/>
      <c r="BE230" s="212"/>
      <c r="BF230" s="212"/>
      <c r="BG230" s="212"/>
      <c r="BH230" s="212"/>
      <c r="BI230" s="212"/>
      <c r="BJ230" s="212"/>
    </row>
    <row r="231" spans="1:62" ht="18" hidden="1" customHeight="1">
      <c r="A231" s="86">
        <v>112</v>
      </c>
      <c r="B231" s="88">
        <f>'Tong hop cac ma'!B231</f>
        <v>0</v>
      </c>
      <c r="C231" s="314">
        <f>'Tong hop cac ma'!C231</f>
        <v>0</v>
      </c>
      <c r="D231" s="197">
        <f t="shared" si="964"/>
        <v>0</v>
      </c>
      <c r="E231" s="213">
        <f>+'Tong hop cac ma'!S231</f>
        <v>0</v>
      </c>
      <c r="F231" s="214"/>
      <c r="G231" s="214"/>
      <c r="H231" s="214"/>
      <c r="I231" s="214"/>
      <c r="J231" s="210"/>
      <c r="K231" s="210"/>
      <c r="L231" s="210"/>
      <c r="M231" s="210"/>
      <c r="N231" s="210"/>
      <c r="O231" s="210"/>
      <c r="P231" s="210"/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>
        <f t="shared" ref="AF231" si="1105">IFERROR(SUM(F231:AC231)*0.2,0)</f>
        <v>0</v>
      </c>
      <c r="AG231" s="210"/>
      <c r="AH231" s="210" t="s">
        <v>192</v>
      </c>
      <c r="AI231" s="215">
        <f t="shared" ref="AI231" si="1106">IFERROR(130*D231,0)</f>
        <v>0</v>
      </c>
      <c r="AJ231" s="198" cm="1">
        <f t="array" ref="AJ231">IFERROR(SUM(_xlfn._xlws.FILTER(E231:AI231,ISNUMBER(E231:AI231))),0)</f>
        <v>0</v>
      </c>
      <c r="AK231" s="198"/>
      <c r="AL231" s="216">
        <f t="shared" ref="AL231" si="1107">IFERROR(AJ231*(1+AK231%),0)</f>
        <v>0</v>
      </c>
      <c r="AM231" s="233"/>
      <c r="AN231" s="201">
        <f t="shared" ref="AN231" si="1108">IFERROR(SUM(E231:AC231)/D231,0)</f>
        <v>0</v>
      </c>
      <c r="AO231" s="255"/>
      <c r="AQ231" s="254"/>
      <c r="AR231" s="254"/>
      <c r="AS231" s="254"/>
      <c r="AT231" s="254"/>
      <c r="AU231" s="254"/>
      <c r="AV231" s="254"/>
      <c r="AY231" s="253">
        <f t="shared" ref="AY231" si="1109">IFERROR((AQ231*20)/60,0)</f>
        <v>0</v>
      </c>
      <c r="AZ231" s="253">
        <f t="shared" ref="AZ231" si="1110">IFERROR(AX231 + AY231 + BI231,0)</f>
        <v>0</v>
      </c>
      <c r="BA231" s="252">
        <f t="shared" ref="BA231" si="1111">IFERROR(AZ231/8,0)</f>
        <v>0</v>
      </c>
      <c r="BB231" s="252">
        <f t="shared" ref="BB231" si="1112">IFERROR(MAX(AQ231-BA231,0),0)</f>
        <v>0</v>
      </c>
      <c r="BD231" s="234">
        <f t="shared" ref="BD231" si="1113">IFERROR(10000*D231,0)</f>
        <v>0</v>
      </c>
      <c r="BE231" s="234"/>
      <c r="BF231" s="234"/>
      <c r="BG231" s="234">
        <f t="shared" ref="BG231" si="1114">IFERROR(-IF(AH231=$K$3,0,IF(AH231=$M$3,15*680*D231,IF(AH231=$O$3,30*680*D231,IF(AH231=0,50*680*D231,0)))),0)</f>
        <v>0</v>
      </c>
      <c r="BH231" s="234"/>
      <c r="BI231" s="234"/>
      <c r="BJ231" s="234"/>
    </row>
    <row r="232" spans="1:62" ht="18" hidden="1" customHeight="1">
      <c r="A232" s="212"/>
      <c r="B232" s="88">
        <f>'Tong hop cac ma'!B232</f>
        <v>0</v>
      </c>
      <c r="C232" s="314">
        <f>'Tong hop cac ma'!C232</f>
        <v>0</v>
      </c>
      <c r="D232" s="197">
        <f t="shared" si="964"/>
        <v>0</v>
      </c>
      <c r="E232" s="228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29"/>
      <c r="AJ232" s="230"/>
      <c r="AK232" s="230"/>
      <c r="AL232" s="231"/>
      <c r="AM232" s="212"/>
      <c r="AN232" s="212"/>
      <c r="AO232" s="212"/>
      <c r="AP232" s="212"/>
      <c r="AQ232" s="212"/>
      <c r="AR232" s="212"/>
      <c r="AS232" s="212"/>
      <c r="AT232" s="212"/>
      <c r="AU232" s="212"/>
      <c r="AV232" s="212"/>
      <c r="AW232" s="212"/>
      <c r="AX232" s="212"/>
      <c r="AY232" s="212"/>
      <c r="AZ232" s="212"/>
      <c r="BA232" s="258"/>
      <c r="BB232" s="258"/>
      <c r="BC232" s="212"/>
      <c r="BD232" s="212"/>
      <c r="BE232" s="212"/>
      <c r="BF232" s="212"/>
      <c r="BG232" s="212"/>
      <c r="BH232" s="212"/>
      <c r="BI232" s="212"/>
      <c r="BJ232" s="212"/>
    </row>
    <row r="233" spans="1:62" ht="18" hidden="1" customHeight="1">
      <c r="A233" s="89">
        <v>113</v>
      </c>
      <c r="B233" s="88">
        <f>'Tong hop cac ma'!B233</f>
        <v>0</v>
      </c>
      <c r="C233" s="314">
        <f>'Tong hop cac ma'!C233</f>
        <v>0</v>
      </c>
      <c r="D233" s="197">
        <f t="shared" si="964"/>
        <v>0</v>
      </c>
      <c r="E233" s="213">
        <f>+'Tong hop cac ma'!S233</f>
        <v>0</v>
      </c>
      <c r="F233" s="214"/>
      <c r="G233" s="214"/>
      <c r="H233" s="214"/>
      <c r="I233" s="214"/>
      <c r="J233" s="210"/>
      <c r="K233" s="210"/>
      <c r="L233" s="210"/>
      <c r="M233" s="210"/>
      <c r="N233" s="210"/>
      <c r="O233" s="210"/>
      <c r="P233" s="210"/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/>
      <c r="AE233" s="210"/>
      <c r="AF233" s="210">
        <f t="shared" ref="AF233" si="1115">IFERROR(SUM(F233:AC233)*0.2,0)</f>
        <v>0</v>
      </c>
      <c r="AG233" s="210"/>
      <c r="AH233" s="210" t="s">
        <v>192</v>
      </c>
      <c r="AI233" s="215">
        <f t="shared" ref="AI233" si="1116">IFERROR(130*D233,0)</f>
        <v>0</v>
      </c>
      <c r="AJ233" s="198" cm="1">
        <f t="array" ref="AJ233">IFERROR(SUM(_xlfn._xlws.FILTER(E233:AI233,ISNUMBER(E233:AI233))),0)</f>
        <v>0</v>
      </c>
      <c r="AK233" s="198"/>
      <c r="AL233" s="216">
        <f t="shared" ref="AL233" si="1117">IFERROR(AJ233*(1+AK233%),0)</f>
        <v>0</v>
      </c>
      <c r="AM233" s="233"/>
      <c r="AN233" s="201">
        <f t="shared" ref="AN233" si="1118">IFERROR(SUM(E233:AC233)/D233,0)</f>
        <v>0</v>
      </c>
      <c r="AO233" s="255"/>
      <c r="AQ233" s="254"/>
      <c r="AR233" s="254"/>
      <c r="AS233" s="254"/>
      <c r="AT233" s="254"/>
      <c r="AU233" s="254"/>
      <c r="AV233" s="254"/>
      <c r="AY233" s="253">
        <f t="shared" ref="AY233" si="1119">IFERROR((AQ233*20)/60,0)</f>
        <v>0</v>
      </c>
      <c r="AZ233" s="253">
        <f t="shared" ref="AZ233" si="1120">IFERROR(AX233 + AY233 + BI233,0)</f>
        <v>0</v>
      </c>
      <c r="BA233" s="252">
        <f t="shared" ref="BA233" si="1121">IFERROR(AZ233/8,0)</f>
        <v>0</v>
      </c>
      <c r="BB233" s="252">
        <f t="shared" ref="BB233" si="1122">IFERROR(MAX(AQ233-BA233,0),0)</f>
        <v>0</v>
      </c>
      <c r="BD233" s="234">
        <f t="shared" ref="BD233" si="1123">IFERROR(10000*D233,0)</f>
        <v>0</v>
      </c>
      <c r="BE233" s="234"/>
      <c r="BF233" s="234"/>
      <c r="BG233" s="234">
        <f t="shared" ref="BG233" si="1124">IFERROR(-IF(AH233=$K$3,0,IF(AH233=$M$3,15*680*D233,IF(AH233=$O$3,30*680*D233,IF(AH233=0,50*680*D233,0)))),0)</f>
        <v>0</v>
      </c>
      <c r="BH233" s="234"/>
      <c r="BI233" s="234"/>
      <c r="BJ233" s="234"/>
    </row>
    <row r="234" spans="1:62" ht="18" hidden="1" customHeight="1">
      <c r="A234" s="81"/>
      <c r="B234" s="88">
        <f>'Tong hop cac ma'!B234</f>
        <v>0</v>
      </c>
      <c r="C234" s="314">
        <f>'Tong hop cac ma'!C234</f>
        <v>0</v>
      </c>
      <c r="D234" s="197">
        <f t="shared" si="964"/>
        <v>0</v>
      </c>
      <c r="E234" s="228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29"/>
      <c r="AJ234" s="230"/>
      <c r="AK234" s="230"/>
      <c r="AL234" s="231"/>
      <c r="AM234" s="212"/>
      <c r="AN234" s="212"/>
      <c r="AO234" s="212"/>
      <c r="AP234" s="212"/>
      <c r="AQ234" s="212"/>
      <c r="AR234" s="212"/>
      <c r="AS234" s="212"/>
      <c r="AT234" s="212"/>
      <c r="AU234" s="212"/>
      <c r="AV234" s="212"/>
      <c r="AW234" s="212"/>
      <c r="AX234" s="212"/>
      <c r="AY234" s="212"/>
      <c r="AZ234" s="212"/>
      <c r="BA234" s="258"/>
      <c r="BB234" s="258"/>
      <c r="BC234" s="212"/>
      <c r="BD234" s="212"/>
      <c r="BE234" s="212"/>
      <c r="BF234" s="212"/>
      <c r="BG234" s="212"/>
      <c r="BH234" s="212"/>
      <c r="BI234" s="212"/>
      <c r="BJ234" s="212"/>
    </row>
    <row r="235" spans="1:62" ht="18" hidden="1" customHeight="1">
      <c r="A235" s="86">
        <v>114</v>
      </c>
      <c r="B235" s="88">
        <f>'Tong hop cac ma'!B235</f>
        <v>0</v>
      </c>
      <c r="C235" s="314">
        <f>'Tong hop cac ma'!C235</f>
        <v>0</v>
      </c>
      <c r="D235" s="197">
        <f t="shared" si="964"/>
        <v>0</v>
      </c>
      <c r="E235" s="213">
        <f>+'Tong hop cac ma'!S235</f>
        <v>0</v>
      </c>
      <c r="F235" s="214"/>
      <c r="G235" s="214"/>
      <c r="H235" s="214"/>
      <c r="I235" s="214"/>
      <c r="J235" s="210"/>
      <c r="K235" s="210"/>
      <c r="L235" s="210"/>
      <c r="M235" s="210"/>
      <c r="N235" s="210"/>
      <c r="O235" s="210"/>
      <c r="P235" s="210"/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>
        <f t="shared" ref="AF235" si="1125">IFERROR(SUM(F235:AC235)*0.2,0)</f>
        <v>0</v>
      </c>
      <c r="AG235" s="210"/>
      <c r="AH235" s="210" t="s">
        <v>192</v>
      </c>
      <c r="AI235" s="215">
        <f t="shared" ref="AI235" si="1126">IFERROR(130*D235,0)</f>
        <v>0</v>
      </c>
      <c r="AJ235" s="198" cm="1">
        <f t="array" ref="AJ235">IFERROR(SUM(_xlfn._xlws.FILTER(E235:AI235,ISNUMBER(E235:AI235))),0)</f>
        <v>0</v>
      </c>
      <c r="AK235" s="198"/>
      <c r="AL235" s="216">
        <f t="shared" ref="AL235" si="1127">IFERROR(AJ235*(1+AK235%),0)</f>
        <v>0</v>
      </c>
      <c r="AM235" s="233"/>
      <c r="AN235" s="201">
        <f t="shared" ref="AN235" si="1128">IFERROR(SUM(E235:AC235)/D235,0)</f>
        <v>0</v>
      </c>
      <c r="AO235" s="255"/>
      <c r="AQ235" s="254"/>
      <c r="AR235" s="254"/>
      <c r="AS235" s="254"/>
      <c r="AT235" s="254"/>
      <c r="AU235" s="254"/>
      <c r="AV235" s="254"/>
      <c r="AY235" s="253">
        <f t="shared" ref="AY235" si="1129">IFERROR((AQ235*20)/60,0)</f>
        <v>0</v>
      </c>
      <c r="AZ235" s="253">
        <f t="shared" ref="AZ235" si="1130">IFERROR(AX235 + AY235 + BI235,0)</f>
        <v>0</v>
      </c>
      <c r="BA235" s="252">
        <f t="shared" ref="BA235" si="1131">IFERROR(AZ235/8,0)</f>
        <v>0</v>
      </c>
      <c r="BB235" s="252">
        <f t="shared" ref="BB235" si="1132">IFERROR(MAX(AQ235-BA235,0),0)</f>
        <v>0</v>
      </c>
      <c r="BD235" s="234">
        <f t="shared" ref="BD235" si="1133">IFERROR(10000*D235,0)</f>
        <v>0</v>
      </c>
      <c r="BE235" s="234"/>
      <c r="BF235" s="234"/>
      <c r="BG235" s="234">
        <f t="shared" ref="BG235" si="1134">IFERROR(-IF(AH235=$K$3,0,IF(AH235=$M$3,15*680*D235,IF(AH235=$O$3,30*680*D235,IF(AH235=0,50*680*D235,0)))),0)</f>
        <v>0</v>
      </c>
      <c r="BH235" s="234"/>
      <c r="BI235" s="234"/>
      <c r="BJ235" s="234"/>
    </row>
    <row r="236" spans="1:62" ht="18" hidden="1" customHeight="1">
      <c r="A236" s="212"/>
      <c r="B236" s="88">
        <f>'Tong hop cac ma'!B236</f>
        <v>0</v>
      </c>
      <c r="C236" s="314">
        <f>'Tong hop cac ma'!C236</f>
        <v>0</v>
      </c>
      <c r="D236" s="197">
        <f t="shared" si="964"/>
        <v>0</v>
      </c>
      <c r="E236" s="228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29"/>
      <c r="AJ236" s="230"/>
      <c r="AK236" s="230"/>
      <c r="AL236" s="231"/>
      <c r="AM236" s="212"/>
      <c r="AN236" s="212"/>
      <c r="AO236" s="212"/>
      <c r="AP236" s="212"/>
      <c r="AQ236" s="212"/>
      <c r="AR236" s="212"/>
      <c r="AS236" s="212"/>
      <c r="AT236" s="212"/>
      <c r="AU236" s="212"/>
      <c r="AV236" s="212"/>
      <c r="AW236" s="212"/>
      <c r="AX236" s="212"/>
      <c r="AY236" s="212"/>
      <c r="AZ236" s="212"/>
      <c r="BA236" s="258"/>
      <c r="BB236" s="258"/>
      <c r="BC236" s="212"/>
      <c r="BD236" s="212"/>
      <c r="BE236" s="212"/>
      <c r="BF236" s="212"/>
      <c r="BG236" s="212"/>
      <c r="BH236" s="212"/>
      <c r="BI236" s="212"/>
      <c r="BJ236" s="212"/>
    </row>
    <row r="237" spans="1:62" ht="17.25" hidden="1" customHeight="1">
      <c r="A237" s="89">
        <v>115</v>
      </c>
      <c r="B237" s="88">
        <f>'Tong hop cac ma'!B237</f>
        <v>0</v>
      </c>
      <c r="C237" s="314">
        <f>'Tong hop cac ma'!C237</f>
        <v>0</v>
      </c>
      <c r="D237" s="197">
        <f t="shared" si="964"/>
        <v>0</v>
      </c>
      <c r="E237" s="213">
        <f>+'Tong hop cac ma'!S237</f>
        <v>0</v>
      </c>
      <c r="F237" s="214"/>
      <c r="G237" s="214"/>
      <c r="H237" s="214"/>
      <c r="I237" s="214"/>
      <c r="J237" s="210"/>
      <c r="K237" s="210"/>
      <c r="L237" s="210"/>
      <c r="M237" s="210"/>
      <c r="N237" s="210"/>
      <c r="O237" s="210"/>
      <c r="P237" s="210"/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/>
      <c r="AE237" s="210"/>
      <c r="AF237" s="210">
        <f t="shared" ref="AF237" si="1135">IFERROR(SUM(F237:AC237)*0.2,0)</f>
        <v>0</v>
      </c>
      <c r="AG237" s="210"/>
      <c r="AH237" s="210" t="s">
        <v>192</v>
      </c>
      <c r="AI237" s="215">
        <f t="shared" ref="AI237" si="1136">IFERROR(130*D237,0)</f>
        <v>0</v>
      </c>
      <c r="AJ237" s="198" cm="1">
        <f t="array" ref="AJ237">IFERROR(SUM(_xlfn._xlws.FILTER(E237:AI237,ISNUMBER(E237:AI237))),0)</f>
        <v>0</v>
      </c>
      <c r="AK237" s="198"/>
      <c r="AL237" s="216">
        <f t="shared" ref="AL237" si="1137">IFERROR(AJ237*(1+AK237%),0)</f>
        <v>0</v>
      </c>
      <c r="AM237" s="233"/>
      <c r="AN237" s="201">
        <f t="shared" ref="AN237" si="1138">IFERROR(SUM(E237:AC237)/D237,0)</f>
        <v>0</v>
      </c>
      <c r="AO237" s="255"/>
      <c r="AQ237" s="254"/>
      <c r="AR237" s="254"/>
      <c r="AS237" s="254"/>
      <c r="AT237" s="254"/>
      <c r="AU237" s="254"/>
      <c r="AV237" s="254"/>
      <c r="AY237" s="253">
        <f t="shared" ref="AY237" si="1139">IFERROR((AQ237*20)/60,0)</f>
        <v>0</v>
      </c>
      <c r="AZ237" s="253">
        <f t="shared" ref="AZ237" si="1140">IFERROR(AX237 + AY237 + BI237,0)</f>
        <v>0</v>
      </c>
      <c r="BA237" s="252">
        <f t="shared" ref="BA237" si="1141">IFERROR(AZ237/8,0)</f>
        <v>0</v>
      </c>
      <c r="BB237" s="252">
        <f t="shared" ref="BB237" si="1142">IFERROR(MAX(AQ237-BA237,0),0)</f>
        <v>0</v>
      </c>
      <c r="BD237" s="234">
        <f t="shared" ref="BD237" si="1143">IFERROR(10000*D237,0)</f>
        <v>0</v>
      </c>
      <c r="BE237" s="234"/>
      <c r="BF237" s="234"/>
      <c r="BG237" s="234">
        <f t="shared" ref="BG237" si="1144">IFERROR(-IF(AH237=$K$3,0,IF(AH237=$M$3,15*680*D237,IF(AH237=$O$3,30*680*D237,IF(AH237=0,50*680*D237,0)))),0)</f>
        <v>0</v>
      </c>
      <c r="BH237" s="234"/>
      <c r="BI237" s="234"/>
      <c r="BJ237" s="234"/>
    </row>
    <row r="238" spans="1:62" ht="18" hidden="1" customHeight="1">
      <c r="A238" s="81"/>
      <c r="B238" s="88">
        <f>'Tong hop cac ma'!B238</f>
        <v>0</v>
      </c>
      <c r="C238" s="314">
        <f>'Tong hop cac ma'!C238</f>
        <v>0</v>
      </c>
      <c r="D238" s="197">
        <f t="shared" si="964"/>
        <v>0</v>
      </c>
      <c r="E238" s="228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29"/>
      <c r="AJ238" s="230"/>
      <c r="AK238" s="230"/>
      <c r="AL238" s="231"/>
      <c r="AM238" s="212"/>
      <c r="AN238" s="212"/>
      <c r="AO238" s="212"/>
      <c r="AP238" s="212"/>
      <c r="AQ238" s="212"/>
      <c r="AR238" s="212"/>
      <c r="AS238" s="212"/>
      <c r="AT238" s="212"/>
      <c r="AU238" s="212"/>
      <c r="AV238" s="212"/>
      <c r="AW238" s="212"/>
      <c r="AX238" s="212"/>
      <c r="AY238" s="212"/>
      <c r="AZ238" s="212"/>
      <c r="BA238" s="258"/>
      <c r="BB238" s="258"/>
      <c r="BC238" s="212"/>
      <c r="BD238" s="212"/>
      <c r="BE238" s="212"/>
      <c r="BF238" s="212"/>
      <c r="BG238" s="212"/>
      <c r="BH238" s="212"/>
      <c r="BI238" s="212"/>
      <c r="BJ238" s="212"/>
    </row>
    <row r="239" spans="1:62" ht="18" hidden="1" customHeight="1">
      <c r="A239" s="86">
        <v>116</v>
      </c>
      <c r="B239" s="88">
        <f>'Tong hop cac ma'!B239</f>
        <v>0</v>
      </c>
      <c r="C239" s="314">
        <f>'Tong hop cac ma'!C239</f>
        <v>0</v>
      </c>
      <c r="D239" s="197">
        <f t="shared" si="964"/>
        <v>0</v>
      </c>
      <c r="E239" s="213">
        <f>+'Tong hop cac ma'!S239</f>
        <v>0</v>
      </c>
      <c r="F239" s="214"/>
      <c r="G239" s="214"/>
      <c r="H239" s="214"/>
      <c r="I239" s="214"/>
      <c r="J239" s="210"/>
      <c r="K239" s="210"/>
      <c r="L239" s="210"/>
      <c r="M239" s="210"/>
      <c r="N239" s="210"/>
      <c r="O239" s="210"/>
      <c r="P239" s="210"/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/>
      <c r="AE239" s="210"/>
      <c r="AF239" s="210">
        <f t="shared" ref="AF239" si="1145">IFERROR(SUM(F239:AC239)*0.2,0)</f>
        <v>0</v>
      </c>
      <c r="AG239" s="210"/>
      <c r="AH239" s="210" t="s">
        <v>192</v>
      </c>
      <c r="AI239" s="215">
        <f t="shared" ref="AI239" si="1146">IFERROR(130*D239,0)</f>
        <v>0</v>
      </c>
      <c r="AJ239" s="198" cm="1">
        <f t="array" ref="AJ239">IFERROR(SUM(_xlfn._xlws.FILTER(E239:AI239,ISNUMBER(E239:AI239))),0)</f>
        <v>0</v>
      </c>
      <c r="AK239" s="198"/>
      <c r="AL239" s="216">
        <f t="shared" ref="AL239" si="1147">IFERROR(AJ239*(1+AK239%),0)</f>
        <v>0</v>
      </c>
      <c r="AM239" s="233"/>
      <c r="AN239" s="201">
        <f t="shared" ref="AN239" si="1148">IFERROR(SUM(E239:AC239)/D239,0)</f>
        <v>0</v>
      </c>
      <c r="AO239" s="255"/>
      <c r="AQ239" s="254"/>
      <c r="AR239" s="254"/>
      <c r="AS239" s="254"/>
      <c r="AT239" s="254"/>
      <c r="AU239" s="254"/>
      <c r="AV239" s="254"/>
      <c r="AY239" s="253">
        <f t="shared" ref="AY239" si="1149">IFERROR((AQ239*20)/60,0)</f>
        <v>0</v>
      </c>
      <c r="AZ239" s="253">
        <f t="shared" ref="AZ239" si="1150">IFERROR(AX239 + AY239 + BI239,0)</f>
        <v>0</v>
      </c>
      <c r="BA239" s="252">
        <f t="shared" ref="BA239" si="1151">IFERROR(AZ239/8,0)</f>
        <v>0</v>
      </c>
      <c r="BB239" s="252">
        <f t="shared" ref="BB239" si="1152">IFERROR(MAX(AQ239-BA239,0),0)</f>
        <v>0</v>
      </c>
      <c r="BD239" s="234">
        <f t="shared" ref="BD239" si="1153">IFERROR(10000*D239,0)</f>
        <v>0</v>
      </c>
      <c r="BE239" s="234"/>
      <c r="BF239" s="234"/>
      <c r="BG239" s="234">
        <f t="shared" ref="BG239" si="1154">IFERROR(-IF(AH239=$K$3,0,IF(AH239=$M$3,15*680*D239,IF(AH239=$O$3,30*680*D239,IF(AH239=0,50*680*D239,0)))),0)</f>
        <v>0</v>
      </c>
      <c r="BH239" s="234"/>
      <c r="BI239" s="234"/>
      <c r="BJ239" s="234"/>
    </row>
    <row r="240" spans="1:62" ht="18" hidden="1" customHeight="1">
      <c r="A240" s="212"/>
      <c r="B240" s="88">
        <f>'Tong hop cac ma'!B240</f>
        <v>0</v>
      </c>
      <c r="C240" s="314">
        <f>'Tong hop cac ma'!C240</f>
        <v>0</v>
      </c>
      <c r="D240" s="197">
        <f t="shared" si="964"/>
        <v>0</v>
      </c>
      <c r="E240" s="228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29"/>
      <c r="AJ240" s="230"/>
      <c r="AK240" s="230"/>
      <c r="AL240" s="231"/>
      <c r="AM240" s="212"/>
      <c r="AN240" s="212"/>
      <c r="AO240" s="212"/>
      <c r="AP240" s="212"/>
      <c r="AQ240" s="212"/>
      <c r="AR240" s="212"/>
      <c r="AS240" s="212"/>
      <c r="AT240" s="212"/>
      <c r="AU240" s="212"/>
      <c r="AV240" s="212"/>
      <c r="AW240" s="212"/>
      <c r="AX240" s="212"/>
      <c r="AY240" s="212"/>
      <c r="AZ240" s="212"/>
      <c r="BA240" s="258"/>
      <c r="BB240" s="258"/>
      <c r="BC240" s="212"/>
      <c r="BD240" s="212"/>
      <c r="BE240" s="212"/>
      <c r="BF240" s="212"/>
      <c r="BG240" s="212"/>
      <c r="BH240" s="212"/>
      <c r="BI240" s="212"/>
      <c r="BJ240" s="212"/>
    </row>
    <row r="241" spans="1:62" ht="18" hidden="1" customHeight="1">
      <c r="A241" s="89">
        <v>117</v>
      </c>
      <c r="B241" s="88">
        <f>'Tong hop cac ma'!B241</f>
        <v>0</v>
      </c>
      <c r="C241" s="314">
        <f>'Tong hop cac ma'!C241</f>
        <v>0</v>
      </c>
      <c r="D241" s="197">
        <f t="shared" si="964"/>
        <v>0</v>
      </c>
      <c r="E241" s="213">
        <f>+'Tong hop cac ma'!S241</f>
        <v>0</v>
      </c>
      <c r="F241" s="214"/>
      <c r="G241" s="214"/>
      <c r="H241" s="214"/>
      <c r="I241" s="214"/>
      <c r="J241" s="210"/>
      <c r="K241" s="210"/>
      <c r="L241" s="210"/>
      <c r="M241" s="210"/>
      <c r="N241" s="210"/>
      <c r="O241" s="210"/>
      <c r="P241" s="210"/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>
        <f t="shared" ref="AF241" si="1155">IFERROR(SUM(F241:AC241)*0.2,0)</f>
        <v>0</v>
      </c>
      <c r="AG241" s="210"/>
      <c r="AH241" s="210" t="s">
        <v>192</v>
      </c>
      <c r="AI241" s="215">
        <f t="shared" ref="AI241" si="1156">IFERROR(130*D241,0)</f>
        <v>0</v>
      </c>
      <c r="AJ241" s="198" cm="1">
        <f t="array" ref="AJ241">IFERROR(SUM(_xlfn._xlws.FILTER(E241:AI241,ISNUMBER(E241:AI241))),0)</f>
        <v>0</v>
      </c>
      <c r="AK241" s="198"/>
      <c r="AL241" s="216">
        <f t="shared" ref="AL241" si="1157">IFERROR(AJ241*(1+AK241%),0)</f>
        <v>0</v>
      </c>
      <c r="AM241" s="233"/>
      <c r="AN241" s="201">
        <f t="shared" ref="AN241" si="1158">IFERROR(SUM(E241:AC241)/D241,0)</f>
        <v>0</v>
      </c>
      <c r="AO241" s="255"/>
      <c r="AQ241" s="254"/>
      <c r="AR241" s="254"/>
      <c r="AS241" s="254"/>
      <c r="AT241" s="254"/>
      <c r="AU241" s="254"/>
      <c r="AV241" s="254"/>
      <c r="AY241" s="253">
        <f t="shared" ref="AY241" si="1159">IFERROR((AQ241*20)/60,0)</f>
        <v>0</v>
      </c>
      <c r="AZ241" s="253">
        <f t="shared" ref="AZ241" si="1160">IFERROR(AX241 + AY241 + BI241,0)</f>
        <v>0</v>
      </c>
      <c r="BA241" s="252">
        <f t="shared" ref="BA241" si="1161">IFERROR(AZ241/8,0)</f>
        <v>0</v>
      </c>
      <c r="BB241" s="252">
        <f t="shared" ref="BB241" si="1162">IFERROR(MAX(AQ241-BA241,0),0)</f>
        <v>0</v>
      </c>
      <c r="BD241" s="234">
        <f t="shared" ref="BD241" si="1163">IFERROR(10000*D241,0)</f>
        <v>0</v>
      </c>
      <c r="BE241" s="234"/>
      <c r="BF241" s="234"/>
      <c r="BG241" s="234">
        <f t="shared" ref="BG241" si="1164">IFERROR(-IF(AH241=$K$3,0,IF(AH241=$M$3,15*680*D241,IF(AH241=$O$3,30*680*D241,IF(AH241=0,50*680*D241,0)))),0)</f>
        <v>0</v>
      </c>
      <c r="BH241" s="234"/>
      <c r="BI241" s="234"/>
      <c r="BJ241" s="234"/>
    </row>
    <row r="242" spans="1:62" ht="18" hidden="1" customHeight="1">
      <c r="A242" s="81"/>
      <c r="B242" s="88">
        <f>'Tong hop cac ma'!B242</f>
        <v>0</v>
      </c>
      <c r="C242" s="314">
        <f>'Tong hop cac ma'!C242</f>
        <v>0</v>
      </c>
      <c r="D242" s="197">
        <f t="shared" si="964"/>
        <v>0</v>
      </c>
      <c r="E242" s="228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29"/>
      <c r="AJ242" s="230"/>
      <c r="AK242" s="230"/>
      <c r="AL242" s="231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  <c r="AW242" s="212"/>
      <c r="AX242" s="212"/>
      <c r="AY242" s="212"/>
      <c r="AZ242" s="212"/>
      <c r="BA242" s="258"/>
      <c r="BB242" s="258"/>
      <c r="BC242" s="212"/>
      <c r="BD242" s="212"/>
      <c r="BE242" s="212"/>
      <c r="BF242" s="212"/>
      <c r="BG242" s="212"/>
      <c r="BH242" s="212"/>
      <c r="BI242" s="212"/>
      <c r="BJ242" s="212"/>
    </row>
    <row r="243" spans="1:62" ht="18" hidden="1" customHeight="1">
      <c r="A243" s="86">
        <v>118</v>
      </c>
      <c r="B243" s="88">
        <f>'Tong hop cac ma'!B243</f>
        <v>0</v>
      </c>
      <c r="C243" s="314">
        <f>'Tong hop cac ma'!C243</f>
        <v>0</v>
      </c>
      <c r="D243" s="197">
        <f t="shared" si="964"/>
        <v>0</v>
      </c>
      <c r="E243" s="213">
        <f>+'Tong hop cac ma'!S243</f>
        <v>0</v>
      </c>
      <c r="F243" s="214"/>
      <c r="G243" s="214"/>
      <c r="H243" s="214"/>
      <c r="I243" s="214"/>
      <c r="J243" s="210"/>
      <c r="K243" s="210"/>
      <c r="L243" s="210"/>
      <c r="M243" s="210"/>
      <c r="N243" s="210"/>
      <c r="O243" s="210"/>
      <c r="P243" s="210"/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/>
      <c r="AE243" s="210"/>
      <c r="AF243" s="210">
        <f t="shared" ref="AF243" si="1165">IFERROR(SUM(F243:AC243)*0.2,0)</f>
        <v>0</v>
      </c>
      <c r="AG243" s="210"/>
      <c r="AH243" s="210" t="s">
        <v>192</v>
      </c>
      <c r="AI243" s="215">
        <f t="shared" ref="AI243" si="1166">IFERROR(130*D243,0)</f>
        <v>0</v>
      </c>
      <c r="AJ243" s="198" cm="1">
        <f t="array" ref="AJ243">IFERROR(SUM(_xlfn._xlws.FILTER(E243:AI243,ISNUMBER(E243:AI243))),0)</f>
        <v>0</v>
      </c>
      <c r="AK243" s="198"/>
      <c r="AL243" s="216">
        <f t="shared" ref="AL243" si="1167">IFERROR(AJ243*(1+AK243%),0)</f>
        <v>0</v>
      </c>
      <c r="AM243" s="233"/>
      <c r="AN243" s="201">
        <f t="shared" ref="AN243" si="1168">IFERROR(SUM(E243:AC243)/D243,0)</f>
        <v>0</v>
      </c>
      <c r="AO243" s="255"/>
      <c r="AQ243" s="254"/>
      <c r="AR243" s="254"/>
      <c r="AS243" s="254"/>
      <c r="AT243" s="254"/>
      <c r="AU243" s="254"/>
      <c r="AV243" s="254"/>
      <c r="AY243" s="253">
        <f t="shared" ref="AY243" si="1169">IFERROR((AQ243*20)/60,0)</f>
        <v>0</v>
      </c>
      <c r="AZ243" s="253">
        <f t="shared" ref="AZ243" si="1170">IFERROR(AX243 + AY243 + BI243,0)</f>
        <v>0</v>
      </c>
      <c r="BA243" s="252">
        <f t="shared" ref="BA243" si="1171">IFERROR(AZ243/8,0)</f>
        <v>0</v>
      </c>
      <c r="BB243" s="252">
        <f t="shared" ref="BB243" si="1172">IFERROR(MAX(AQ243-BA243,0),0)</f>
        <v>0</v>
      </c>
      <c r="BD243" s="234">
        <f t="shared" ref="BD243" si="1173">IFERROR(10000*D243,0)</f>
        <v>0</v>
      </c>
      <c r="BE243" s="234"/>
      <c r="BF243" s="234"/>
      <c r="BG243" s="234">
        <f t="shared" ref="BG243" si="1174">IFERROR(-IF(AH243=$K$3,0,IF(AH243=$M$3,15*680*D243,IF(AH243=$O$3,30*680*D243,IF(AH243=0,50*680*D243,0)))),0)</f>
        <v>0</v>
      </c>
      <c r="BH243" s="234"/>
      <c r="BI243" s="234"/>
      <c r="BJ243" s="234"/>
    </row>
    <row r="244" spans="1:62" ht="18" hidden="1" customHeight="1">
      <c r="A244" s="212"/>
      <c r="B244" s="88">
        <f>'Tong hop cac ma'!B244</f>
        <v>0</v>
      </c>
      <c r="C244" s="314">
        <f>'Tong hop cac ma'!C244</f>
        <v>0</v>
      </c>
      <c r="D244" s="197">
        <f t="shared" si="964"/>
        <v>0</v>
      </c>
      <c r="E244" s="228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29"/>
      <c r="AJ244" s="230"/>
      <c r="AK244" s="230"/>
      <c r="AL244" s="231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58"/>
      <c r="BB244" s="258"/>
      <c r="BC244" s="212"/>
      <c r="BD244" s="212"/>
      <c r="BE244" s="212"/>
      <c r="BF244" s="212"/>
      <c r="BG244" s="212"/>
      <c r="BH244" s="212"/>
      <c r="BI244" s="212"/>
      <c r="BJ244" s="212"/>
    </row>
    <row r="245" spans="1:62" ht="18" hidden="1" customHeight="1">
      <c r="A245" s="89">
        <v>119</v>
      </c>
      <c r="B245" s="88">
        <f>'Tong hop cac ma'!B245</f>
        <v>0</v>
      </c>
      <c r="C245" s="314">
        <f>'Tong hop cac ma'!C245</f>
        <v>0</v>
      </c>
      <c r="D245" s="197">
        <f t="shared" si="964"/>
        <v>0</v>
      </c>
      <c r="E245" s="213">
        <f>+'Tong hop cac ma'!S245</f>
        <v>0</v>
      </c>
      <c r="F245" s="214"/>
      <c r="G245" s="214"/>
      <c r="H245" s="214"/>
      <c r="I245" s="214"/>
      <c r="J245" s="210"/>
      <c r="K245" s="210"/>
      <c r="L245" s="210"/>
      <c r="M245" s="210"/>
      <c r="N245" s="210"/>
      <c r="O245" s="210"/>
      <c r="P245" s="210"/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>
        <f t="shared" ref="AF245" si="1175">IFERROR(SUM(F245:AC245)*0.2,0)</f>
        <v>0</v>
      </c>
      <c r="AG245" s="210"/>
      <c r="AH245" s="210" t="s">
        <v>192</v>
      </c>
      <c r="AI245" s="215">
        <f t="shared" ref="AI245" si="1176">IFERROR(130*D245,0)</f>
        <v>0</v>
      </c>
      <c r="AJ245" s="198" cm="1">
        <f t="array" ref="AJ245">IFERROR(SUM(_xlfn._xlws.FILTER(E245:AI245,ISNUMBER(E245:AI245))),0)</f>
        <v>0</v>
      </c>
      <c r="AK245" s="198"/>
      <c r="AL245" s="216">
        <f t="shared" ref="AL245" si="1177">IFERROR(AJ245*(1+AK245%),0)</f>
        <v>0</v>
      </c>
      <c r="AM245" s="233"/>
      <c r="AN245" s="201">
        <f t="shared" ref="AN245" si="1178">IFERROR(SUM(E245:AC245)/D245,0)</f>
        <v>0</v>
      </c>
      <c r="AO245" s="255"/>
      <c r="AQ245" s="254"/>
      <c r="AR245" s="254"/>
      <c r="AS245" s="254"/>
      <c r="AT245" s="254"/>
      <c r="AU245" s="254"/>
      <c r="AV245" s="254"/>
      <c r="AY245" s="253">
        <f t="shared" ref="AY245" si="1179">IFERROR((AQ245*20)/60,0)</f>
        <v>0</v>
      </c>
      <c r="AZ245" s="253">
        <f t="shared" ref="AZ245" si="1180">IFERROR(AX245 + AY245 + BI245,0)</f>
        <v>0</v>
      </c>
      <c r="BA245" s="252">
        <f t="shared" ref="BA245" si="1181">IFERROR(AZ245/8,0)</f>
        <v>0</v>
      </c>
      <c r="BB245" s="252">
        <f t="shared" ref="BB245" si="1182">IFERROR(MAX(AQ245-BA245,0),0)</f>
        <v>0</v>
      </c>
      <c r="BD245" s="234">
        <f t="shared" ref="BD245" si="1183">IFERROR(10000*D245,0)</f>
        <v>0</v>
      </c>
      <c r="BE245" s="234"/>
      <c r="BF245" s="234"/>
      <c r="BG245" s="234">
        <f t="shared" ref="BG245" si="1184">IFERROR(-IF(AH245=$K$3,0,IF(AH245=$M$3,15*680*D245,IF(AH245=$O$3,30*680*D245,IF(AH245=0,50*680*D245,0)))),0)</f>
        <v>0</v>
      </c>
      <c r="BH245" s="234"/>
      <c r="BI245" s="234"/>
      <c r="BJ245" s="234"/>
    </row>
    <row r="246" spans="1:62" ht="18" hidden="1" customHeight="1">
      <c r="A246" s="81"/>
      <c r="B246" s="88">
        <f>'Tong hop cac ma'!B246</f>
        <v>0</v>
      </c>
      <c r="C246" s="314">
        <f>'Tong hop cac ma'!C246</f>
        <v>0</v>
      </c>
      <c r="D246" s="197">
        <f t="shared" si="964"/>
        <v>0</v>
      </c>
      <c r="E246" s="228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29"/>
      <c r="AJ246" s="230"/>
      <c r="AK246" s="230"/>
      <c r="AL246" s="231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  <c r="AW246" s="212"/>
      <c r="AX246" s="212"/>
      <c r="AY246" s="212"/>
      <c r="AZ246" s="212"/>
      <c r="BA246" s="258"/>
      <c r="BB246" s="258"/>
      <c r="BC246" s="212"/>
      <c r="BD246" s="212"/>
      <c r="BE246" s="212"/>
      <c r="BF246" s="212"/>
      <c r="BG246" s="212"/>
      <c r="BH246" s="212"/>
      <c r="BI246" s="212"/>
      <c r="BJ246" s="212"/>
    </row>
    <row r="247" spans="1:62" ht="18" hidden="1" customHeight="1">
      <c r="A247" s="86">
        <v>120</v>
      </c>
      <c r="B247" s="88">
        <f>'Tong hop cac ma'!B247</f>
        <v>0</v>
      </c>
      <c r="C247" s="314">
        <f>'Tong hop cac ma'!C247</f>
        <v>0</v>
      </c>
      <c r="D247" s="197">
        <f t="shared" si="964"/>
        <v>0</v>
      </c>
      <c r="E247" s="213">
        <f>+'Tong hop cac ma'!S247</f>
        <v>0</v>
      </c>
      <c r="F247" s="214"/>
      <c r="G247" s="214"/>
      <c r="H247" s="214"/>
      <c r="I247" s="214"/>
      <c r="J247" s="210"/>
      <c r="K247" s="210"/>
      <c r="L247" s="210"/>
      <c r="M247" s="210"/>
      <c r="N247" s="210"/>
      <c r="O247" s="210"/>
      <c r="P247" s="210"/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/>
      <c r="AE247" s="210"/>
      <c r="AF247" s="210">
        <f t="shared" ref="AF247" si="1185">IFERROR(SUM(F247:AC247)*0.2,0)</f>
        <v>0</v>
      </c>
      <c r="AG247" s="210"/>
      <c r="AH247" s="210" t="s">
        <v>192</v>
      </c>
      <c r="AI247" s="215">
        <f t="shared" ref="AI247" si="1186">IFERROR(130*D247,0)</f>
        <v>0</v>
      </c>
      <c r="AJ247" s="198" cm="1">
        <f t="array" ref="AJ247">IFERROR(SUM(_xlfn._xlws.FILTER(E247:AI247,ISNUMBER(E247:AI247))),0)</f>
        <v>0</v>
      </c>
      <c r="AK247" s="198"/>
      <c r="AL247" s="216">
        <f t="shared" ref="AL247" si="1187">IFERROR(AJ247*(1+AK247%),0)</f>
        <v>0</v>
      </c>
      <c r="AM247" s="233"/>
      <c r="AN247" s="201">
        <f t="shared" ref="AN247" si="1188">IFERROR(SUM(E247:AC247)/D247,0)</f>
        <v>0</v>
      </c>
      <c r="AO247" s="255"/>
      <c r="AQ247" s="254"/>
      <c r="AR247" s="254"/>
      <c r="AS247" s="254"/>
      <c r="AT247" s="254"/>
      <c r="AU247" s="254"/>
      <c r="AV247" s="254"/>
      <c r="AY247" s="253">
        <f t="shared" ref="AY247" si="1189">IFERROR((AQ247*20)/60,0)</f>
        <v>0</v>
      </c>
      <c r="AZ247" s="253">
        <f t="shared" ref="AZ247" si="1190">IFERROR(AX247 + AY247 + BI247,0)</f>
        <v>0</v>
      </c>
      <c r="BA247" s="252">
        <f t="shared" ref="BA247" si="1191">IFERROR(AZ247/8,0)</f>
        <v>0</v>
      </c>
      <c r="BB247" s="252">
        <f t="shared" ref="BB247" si="1192">IFERROR(MAX(AQ247-BA247,0),0)</f>
        <v>0</v>
      </c>
      <c r="BD247" s="234">
        <f t="shared" ref="BD247" si="1193">IFERROR(10000*D247,0)</f>
        <v>0</v>
      </c>
      <c r="BE247" s="234"/>
      <c r="BF247" s="234"/>
      <c r="BG247" s="234">
        <f t="shared" ref="BG247" si="1194">IFERROR(-IF(AH247=$K$3,0,IF(AH247=$M$3,15*680*D247,IF(AH247=$O$3,30*680*D247,IF(AH247=0,50*680*D247,0)))),0)</f>
        <v>0</v>
      </c>
      <c r="BH247" s="234"/>
      <c r="BI247" s="234"/>
      <c r="BJ247" s="234"/>
    </row>
    <row r="248" spans="1:62" ht="18" hidden="1" customHeight="1">
      <c r="A248" s="212"/>
      <c r="B248" s="88">
        <f>'Tong hop cac ma'!B248</f>
        <v>0</v>
      </c>
      <c r="C248" s="314">
        <f>'Tong hop cac ma'!C248</f>
        <v>0</v>
      </c>
      <c r="D248" s="197">
        <f t="shared" si="964"/>
        <v>0</v>
      </c>
      <c r="E248" s="228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29"/>
      <c r="AJ248" s="230"/>
      <c r="AK248" s="230"/>
      <c r="AL248" s="231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  <c r="AW248" s="212"/>
      <c r="AX248" s="212"/>
      <c r="AY248" s="212"/>
      <c r="AZ248" s="212"/>
      <c r="BA248" s="258"/>
      <c r="BB248" s="258"/>
      <c r="BC248" s="212"/>
      <c r="BD248" s="212"/>
      <c r="BE248" s="212"/>
      <c r="BF248" s="212"/>
      <c r="BG248" s="212"/>
      <c r="BH248" s="212"/>
      <c r="BI248" s="212"/>
      <c r="BJ248" s="212"/>
    </row>
    <row r="249" spans="1:62" ht="18" hidden="1" customHeight="1">
      <c r="A249" s="89">
        <v>121</v>
      </c>
      <c r="B249" s="88">
        <f>'Tong hop cac ma'!B249</f>
        <v>0</v>
      </c>
      <c r="C249" s="314">
        <f>'Tong hop cac ma'!C249</f>
        <v>0</v>
      </c>
      <c r="D249" s="197">
        <f t="shared" si="964"/>
        <v>0</v>
      </c>
      <c r="E249" s="213">
        <f>+'Tong hop cac ma'!S249</f>
        <v>0</v>
      </c>
      <c r="F249" s="214"/>
      <c r="G249" s="214"/>
      <c r="H249" s="214"/>
      <c r="I249" s="214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/>
      <c r="AE249" s="210"/>
      <c r="AF249" s="210">
        <f t="shared" ref="AF249" si="1195">IFERROR(SUM(F249:AC249)*0.2,0)</f>
        <v>0</v>
      </c>
      <c r="AG249" s="210"/>
      <c r="AH249" s="210" t="s">
        <v>192</v>
      </c>
      <c r="AI249" s="215">
        <f t="shared" ref="AI249" si="1196">IFERROR(130*D249,0)</f>
        <v>0</v>
      </c>
      <c r="AJ249" s="198" cm="1">
        <f t="array" ref="AJ249">IFERROR(SUM(_xlfn._xlws.FILTER(E249:AI249,ISNUMBER(E249:AI249))),0)</f>
        <v>0</v>
      </c>
      <c r="AK249" s="198"/>
      <c r="AL249" s="216">
        <f t="shared" ref="AL249" si="1197">IFERROR(AJ249*(1+AK249%),0)</f>
        <v>0</v>
      </c>
      <c r="AM249" s="233"/>
      <c r="AN249" s="201">
        <f t="shared" ref="AN249" si="1198">IFERROR(SUM(E249:AC249)/D249,0)</f>
        <v>0</v>
      </c>
      <c r="AO249" s="255"/>
      <c r="AQ249" s="254"/>
      <c r="AR249" s="254"/>
      <c r="AS249" s="254"/>
      <c r="AT249" s="254"/>
      <c r="AU249" s="254"/>
      <c r="AV249" s="254"/>
      <c r="AY249" s="253">
        <f t="shared" ref="AY249" si="1199">IFERROR((AQ249*20)/60,0)</f>
        <v>0</v>
      </c>
      <c r="AZ249" s="253">
        <f t="shared" ref="AZ249" si="1200">IFERROR(AX249 + AY249 + BI249,0)</f>
        <v>0</v>
      </c>
      <c r="BA249" s="252">
        <f t="shared" ref="BA249" si="1201">IFERROR(AZ249/8,0)</f>
        <v>0</v>
      </c>
      <c r="BB249" s="252">
        <f t="shared" ref="BB249" si="1202">IFERROR(MAX(AQ249-BA249,0),0)</f>
        <v>0</v>
      </c>
      <c r="BD249" s="234">
        <f t="shared" ref="BD249" si="1203">IFERROR(10000*D249,0)</f>
        <v>0</v>
      </c>
      <c r="BE249" s="234"/>
      <c r="BF249" s="234"/>
      <c r="BG249" s="234">
        <f t="shared" ref="BG249" si="1204">IFERROR(-IF(AH249=$K$3,0,IF(AH249=$M$3,15*680*D249,IF(AH249=$O$3,30*680*D249,IF(AH249=0,50*680*D249,0)))),0)</f>
        <v>0</v>
      </c>
      <c r="BH249" s="234"/>
      <c r="BI249" s="234"/>
      <c r="BJ249" s="234"/>
    </row>
    <row r="250" spans="1:62" ht="18" hidden="1" customHeight="1">
      <c r="A250" s="81"/>
      <c r="B250" s="88">
        <f>'Tong hop cac ma'!B250</f>
        <v>0</v>
      </c>
      <c r="C250" s="314">
        <f>'Tong hop cac ma'!C250</f>
        <v>0</v>
      </c>
      <c r="D250" s="197">
        <f t="shared" si="964"/>
        <v>0</v>
      </c>
      <c r="E250" s="228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29"/>
      <c r="AJ250" s="230"/>
      <c r="AK250" s="230"/>
      <c r="AL250" s="231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  <c r="AW250" s="212"/>
      <c r="AX250" s="212"/>
      <c r="AY250" s="212"/>
      <c r="AZ250" s="212"/>
      <c r="BA250" s="258"/>
      <c r="BB250" s="258"/>
      <c r="BC250" s="212"/>
      <c r="BD250" s="212"/>
      <c r="BE250" s="212"/>
      <c r="BF250" s="212"/>
      <c r="BG250" s="212"/>
      <c r="BH250" s="212"/>
      <c r="BI250" s="212"/>
      <c r="BJ250" s="212"/>
    </row>
    <row r="251" spans="1:62" ht="18" hidden="1" customHeight="1">
      <c r="A251" s="86">
        <v>122</v>
      </c>
      <c r="B251" s="88">
        <f>'Tong hop cac ma'!B251</f>
        <v>0</v>
      </c>
      <c r="C251" s="314">
        <f>'Tong hop cac ma'!C251</f>
        <v>0</v>
      </c>
      <c r="D251" s="197">
        <f t="shared" si="964"/>
        <v>0</v>
      </c>
      <c r="E251" s="213">
        <f>+'Tong hop cac ma'!S251</f>
        <v>0</v>
      </c>
      <c r="F251" s="214"/>
      <c r="G251" s="214"/>
      <c r="H251" s="214"/>
      <c r="I251" s="214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/>
      <c r="AE251" s="210"/>
      <c r="AF251" s="210">
        <f t="shared" ref="AF251" si="1205">IFERROR(SUM(F251:AC251)*0.2,0)</f>
        <v>0</v>
      </c>
      <c r="AG251" s="210"/>
      <c r="AH251" s="210" t="s">
        <v>192</v>
      </c>
      <c r="AI251" s="215">
        <f t="shared" ref="AI251" si="1206">IFERROR(130*D251,0)</f>
        <v>0</v>
      </c>
      <c r="AJ251" s="198" cm="1">
        <f t="array" ref="AJ251">IFERROR(SUM(_xlfn._xlws.FILTER(E251:AI251,ISNUMBER(E251:AI251))),0)</f>
        <v>0</v>
      </c>
      <c r="AK251" s="198"/>
      <c r="AL251" s="216">
        <f t="shared" ref="AL251" si="1207">IFERROR(AJ251*(1+AK251%),0)</f>
        <v>0</v>
      </c>
      <c r="AM251" s="233"/>
      <c r="AN251" s="201">
        <f t="shared" ref="AN251" si="1208">IFERROR(SUM(E251:AC251)/D251,0)</f>
        <v>0</v>
      </c>
      <c r="AO251" s="255"/>
      <c r="AQ251" s="254"/>
      <c r="AR251" s="254"/>
      <c r="AS251" s="254"/>
      <c r="AT251" s="254"/>
      <c r="AU251" s="254"/>
      <c r="AV251" s="254"/>
      <c r="AY251" s="253">
        <f t="shared" ref="AY251" si="1209">IFERROR((AQ251*20)/60,0)</f>
        <v>0</v>
      </c>
      <c r="AZ251" s="253">
        <f t="shared" ref="AZ251" si="1210">IFERROR(AX251 + AY251 + BI251,0)</f>
        <v>0</v>
      </c>
      <c r="BA251" s="252">
        <f t="shared" ref="BA251" si="1211">IFERROR(AZ251/8,0)</f>
        <v>0</v>
      </c>
      <c r="BB251" s="252">
        <f t="shared" ref="BB251" si="1212">IFERROR(MAX(AQ251-BA251,0),0)</f>
        <v>0</v>
      </c>
      <c r="BD251" s="234">
        <f t="shared" ref="BD251" si="1213">IFERROR(10000*D251,0)</f>
        <v>0</v>
      </c>
      <c r="BE251" s="234"/>
      <c r="BF251" s="234"/>
      <c r="BG251" s="234">
        <f t="shared" ref="BG251" si="1214">IFERROR(-IF(AH251=$K$3,0,IF(AH251=$M$3,15*680*D251,IF(AH251=$O$3,30*680*D251,IF(AH251=0,50*680*D251,0)))),0)</f>
        <v>0</v>
      </c>
      <c r="BH251" s="234"/>
      <c r="BI251" s="234"/>
      <c r="BJ251" s="234"/>
    </row>
    <row r="252" spans="1:62" ht="18" hidden="1" customHeight="1">
      <c r="A252" s="212"/>
      <c r="B252" s="88">
        <f>'Tong hop cac ma'!B252</f>
        <v>0</v>
      </c>
      <c r="C252" s="314">
        <f>'Tong hop cac ma'!C252</f>
        <v>0</v>
      </c>
      <c r="D252" s="197">
        <f t="shared" si="964"/>
        <v>0</v>
      </c>
      <c r="E252" s="228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29"/>
      <c r="AJ252" s="230"/>
      <c r="AK252" s="230"/>
      <c r="AL252" s="231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  <c r="AW252" s="212"/>
      <c r="AX252" s="212"/>
      <c r="AY252" s="212"/>
      <c r="AZ252" s="212"/>
      <c r="BA252" s="258"/>
      <c r="BB252" s="258"/>
      <c r="BC252" s="212"/>
      <c r="BD252" s="212"/>
      <c r="BE252" s="212"/>
      <c r="BF252" s="212"/>
      <c r="BG252" s="212"/>
      <c r="BH252" s="212"/>
      <c r="BI252" s="212"/>
      <c r="BJ252" s="212"/>
    </row>
    <row r="253" spans="1:62" ht="18" hidden="1" customHeight="1">
      <c r="A253" s="89">
        <v>123</v>
      </c>
      <c r="B253" s="88">
        <f>'Tong hop cac ma'!B253</f>
        <v>0</v>
      </c>
      <c r="C253" s="314">
        <f>'Tong hop cac ma'!C253</f>
        <v>0</v>
      </c>
      <c r="D253" s="197">
        <f t="shared" si="964"/>
        <v>0</v>
      </c>
      <c r="E253" s="213">
        <f>+'Tong hop cac ma'!S253</f>
        <v>0</v>
      </c>
      <c r="F253" s="214"/>
      <c r="G253" s="214"/>
      <c r="H253" s="214"/>
      <c r="I253" s="214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>
        <f t="shared" ref="AF253" si="1215">IFERROR(SUM(F253:AC253)*0.2,0)</f>
        <v>0</v>
      </c>
      <c r="AG253" s="210"/>
      <c r="AH253" s="210" t="s">
        <v>192</v>
      </c>
      <c r="AI253" s="215">
        <f t="shared" ref="AI253" si="1216">IFERROR(130*D253,0)</f>
        <v>0</v>
      </c>
      <c r="AJ253" s="198" cm="1">
        <f t="array" ref="AJ253">IFERROR(SUM(_xlfn._xlws.FILTER(E253:AI253,ISNUMBER(E253:AI253))),0)</f>
        <v>0</v>
      </c>
      <c r="AK253" s="198"/>
      <c r="AL253" s="216">
        <f t="shared" ref="AL253" si="1217">IFERROR(AJ253*(1+AK253%),0)</f>
        <v>0</v>
      </c>
      <c r="AM253" s="233"/>
      <c r="AN253" s="201">
        <f t="shared" ref="AN253" si="1218">IFERROR(SUM(E253:AC253)/D253,0)</f>
        <v>0</v>
      </c>
      <c r="AO253" s="255"/>
      <c r="AQ253" s="254"/>
      <c r="AR253" s="254"/>
      <c r="AS253" s="254"/>
      <c r="AT253" s="254"/>
      <c r="AU253" s="254"/>
      <c r="AV253" s="254"/>
      <c r="AY253" s="253">
        <f t="shared" ref="AY253" si="1219">IFERROR((AQ253*20)/60,0)</f>
        <v>0</v>
      </c>
      <c r="AZ253" s="253">
        <f t="shared" ref="AZ253" si="1220">IFERROR(AX253 + AY253 + BI253,0)</f>
        <v>0</v>
      </c>
      <c r="BA253" s="252">
        <f t="shared" ref="BA253" si="1221">IFERROR(AZ253/8,0)</f>
        <v>0</v>
      </c>
      <c r="BB253" s="252">
        <f t="shared" ref="BB253" si="1222">IFERROR(MAX(AQ253-BA253,0),0)</f>
        <v>0</v>
      </c>
      <c r="BD253" s="234">
        <f t="shared" ref="BD253" si="1223">IFERROR(10000*D253,0)</f>
        <v>0</v>
      </c>
      <c r="BE253" s="234"/>
      <c r="BF253" s="234"/>
      <c r="BG253" s="234">
        <f t="shared" ref="BG253" si="1224">IFERROR(-IF(AH253=$K$3,0,IF(AH253=$M$3,15*680*D253,IF(AH253=$O$3,30*680*D253,IF(AH253=0,50*680*D253,0)))),0)</f>
        <v>0</v>
      </c>
      <c r="BH253" s="234"/>
      <c r="BI253" s="234"/>
      <c r="BJ253" s="234"/>
    </row>
    <row r="254" spans="1:62" ht="18" hidden="1" customHeight="1">
      <c r="A254" s="81"/>
      <c r="B254" s="88">
        <f>'Tong hop cac ma'!B254</f>
        <v>0</v>
      </c>
      <c r="C254" s="314">
        <f>'Tong hop cac ma'!C254</f>
        <v>0</v>
      </c>
      <c r="D254" s="197">
        <f t="shared" si="964"/>
        <v>0</v>
      </c>
      <c r="E254" s="228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29"/>
      <c r="AJ254" s="230"/>
      <c r="AK254" s="230"/>
      <c r="AL254" s="231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  <c r="AW254" s="212"/>
      <c r="AX254" s="212"/>
      <c r="AY254" s="212"/>
      <c r="AZ254" s="212"/>
      <c r="BA254" s="258"/>
      <c r="BB254" s="258"/>
      <c r="BC254" s="212"/>
      <c r="BD254" s="212"/>
      <c r="BE254" s="212"/>
      <c r="BF254" s="212"/>
      <c r="BG254" s="212"/>
      <c r="BH254" s="212"/>
      <c r="BI254" s="212"/>
      <c r="BJ254" s="212"/>
    </row>
    <row r="255" spans="1:62" ht="18" hidden="1" customHeight="1">
      <c r="A255" s="86">
        <v>124</v>
      </c>
      <c r="B255" s="88">
        <f>'Tong hop cac ma'!B255</f>
        <v>0</v>
      </c>
      <c r="C255" s="314">
        <f>'Tong hop cac ma'!C255</f>
        <v>0</v>
      </c>
      <c r="D255" s="197">
        <f t="shared" si="964"/>
        <v>0</v>
      </c>
      <c r="E255" s="213">
        <f>+'Tong hop cac ma'!S255</f>
        <v>0</v>
      </c>
      <c r="F255" s="214"/>
      <c r="G255" s="214"/>
      <c r="H255" s="214"/>
      <c r="I255" s="214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>
        <f t="shared" ref="AF255" si="1225">IFERROR(SUM(F255:AC255)*0.2,0)</f>
        <v>0</v>
      </c>
      <c r="AG255" s="210"/>
      <c r="AH255" s="210" t="s">
        <v>192</v>
      </c>
      <c r="AI255" s="215">
        <f t="shared" ref="AI255" si="1226">IFERROR(130*D255,0)</f>
        <v>0</v>
      </c>
      <c r="AJ255" s="198" cm="1">
        <f t="array" ref="AJ255">IFERROR(SUM(_xlfn._xlws.FILTER(E255:AI255,ISNUMBER(E255:AI255))),0)</f>
        <v>0</v>
      </c>
      <c r="AK255" s="198"/>
      <c r="AL255" s="216">
        <f t="shared" ref="AL255" si="1227">IFERROR(AJ255*(1+AK255%),0)</f>
        <v>0</v>
      </c>
      <c r="AM255" s="233"/>
      <c r="AN255" s="201">
        <f t="shared" ref="AN255" si="1228">IFERROR(SUM(E255:AC255)/D255,0)</f>
        <v>0</v>
      </c>
      <c r="AO255" s="255"/>
      <c r="AQ255" s="254"/>
      <c r="AR255" s="254"/>
      <c r="AS255" s="254"/>
      <c r="AT255" s="254"/>
      <c r="AU255" s="254"/>
      <c r="AV255" s="254"/>
      <c r="AY255" s="253">
        <f t="shared" ref="AY255" si="1229">IFERROR((AQ255*20)/60,0)</f>
        <v>0</v>
      </c>
      <c r="AZ255" s="253">
        <f t="shared" ref="AZ255" si="1230">IFERROR(AX255 + AY255 + BI255,0)</f>
        <v>0</v>
      </c>
      <c r="BA255" s="252">
        <f t="shared" ref="BA255" si="1231">IFERROR(AZ255/8,0)</f>
        <v>0</v>
      </c>
      <c r="BB255" s="252">
        <f t="shared" ref="BB255" si="1232">IFERROR(MAX(AQ255-BA255,0),0)</f>
        <v>0</v>
      </c>
      <c r="BD255" s="234">
        <f t="shared" ref="BD255" si="1233">IFERROR(10000*D255,0)</f>
        <v>0</v>
      </c>
      <c r="BE255" s="234"/>
      <c r="BF255" s="234"/>
      <c r="BG255" s="234">
        <f t="shared" ref="BG255" si="1234">IFERROR(-IF(AH255=$K$3,0,IF(AH255=$M$3,15*680*D255,IF(AH255=$O$3,30*680*D255,IF(AH255=0,50*680*D255,0)))),0)</f>
        <v>0</v>
      </c>
      <c r="BH255" s="234"/>
      <c r="BI255" s="234"/>
      <c r="BJ255" s="234"/>
    </row>
    <row r="256" spans="1:62" ht="18" hidden="1" customHeight="1">
      <c r="A256" s="212"/>
      <c r="B256" s="88">
        <f>'Tong hop cac ma'!B256</f>
        <v>0</v>
      </c>
      <c r="C256" s="314">
        <f>'Tong hop cac ma'!C256</f>
        <v>0</v>
      </c>
      <c r="D256" s="197">
        <f t="shared" si="964"/>
        <v>0</v>
      </c>
      <c r="E256" s="228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29"/>
      <c r="AJ256" s="230"/>
      <c r="AK256" s="230"/>
      <c r="AL256" s="231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  <c r="AW256" s="212"/>
      <c r="AX256" s="212"/>
      <c r="AY256" s="212"/>
      <c r="AZ256" s="212"/>
      <c r="BA256" s="258"/>
      <c r="BB256" s="258"/>
      <c r="BC256" s="212"/>
      <c r="BD256" s="212"/>
      <c r="BE256" s="212"/>
      <c r="BF256" s="212"/>
      <c r="BG256" s="212"/>
      <c r="BH256" s="212"/>
      <c r="BI256" s="212"/>
      <c r="BJ256" s="212"/>
    </row>
    <row r="257" spans="1:62" ht="18" hidden="1" customHeight="1">
      <c r="A257" s="89">
        <v>125</v>
      </c>
      <c r="B257" s="88">
        <f>'Tong hop cac ma'!B257</f>
        <v>0</v>
      </c>
      <c r="C257" s="314">
        <f>'Tong hop cac ma'!C257</f>
        <v>0</v>
      </c>
      <c r="D257" s="197">
        <f t="shared" si="964"/>
        <v>0</v>
      </c>
      <c r="E257" s="213">
        <f>+'Tong hop cac ma'!S257</f>
        <v>0</v>
      </c>
      <c r="F257" s="214"/>
      <c r="G257" s="214"/>
      <c r="H257" s="214"/>
      <c r="I257" s="214"/>
      <c r="J257" s="210"/>
      <c r="K257" s="210"/>
      <c r="L257" s="210"/>
      <c r="M257" s="210"/>
      <c r="N257" s="210"/>
      <c r="O257" s="210"/>
      <c r="P257" s="210"/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/>
      <c r="AE257" s="210"/>
      <c r="AF257" s="210">
        <f t="shared" ref="AF257" si="1235">IFERROR(SUM(F257:AC257)*0.2,0)</f>
        <v>0</v>
      </c>
      <c r="AG257" s="210"/>
      <c r="AH257" s="210" t="s">
        <v>192</v>
      </c>
      <c r="AI257" s="215">
        <f t="shared" ref="AI257" si="1236">IFERROR(130*D257,0)</f>
        <v>0</v>
      </c>
      <c r="AJ257" s="198" cm="1">
        <f t="array" ref="AJ257">IFERROR(SUM(_xlfn._xlws.FILTER(E257:AI257,ISNUMBER(E257:AI257))),0)</f>
        <v>0</v>
      </c>
      <c r="AK257" s="198"/>
      <c r="AL257" s="216">
        <f t="shared" ref="AL257" si="1237">IFERROR(AJ257*(1+AK257%),0)</f>
        <v>0</v>
      </c>
      <c r="AM257" s="233"/>
      <c r="AN257" s="201">
        <f t="shared" ref="AN257" si="1238">IFERROR(SUM(E257:AC257)/D257,0)</f>
        <v>0</v>
      </c>
      <c r="AO257" s="255"/>
      <c r="AQ257" s="254"/>
      <c r="AR257" s="254"/>
      <c r="AS257" s="254"/>
      <c r="AT257" s="254"/>
      <c r="AU257" s="254"/>
      <c r="AV257" s="254"/>
      <c r="AY257" s="253">
        <f t="shared" ref="AY257" si="1239">IFERROR((AQ257*20)/60,0)</f>
        <v>0</v>
      </c>
      <c r="AZ257" s="253">
        <f t="shared" ref="AZ257" si="1240">IFERROR(AX257 + AY257 + BI257,0)</f>
        <v>0</v>
      </c>
      <c r="BA257" s="252">
        <f t="shared" ref="BA257" si="1241">IFERROR(AZ257/8,0)</f>
        <v>0</v>
      </c>
      <c r="BB257" s="252">
        <f t="shared" ref="BB257" si="1242">IFERROR(MAX(AQ257-BA257,0),0)</f>
        <v>0</v>
      </c>
      <c r="BD257" s="234">
        <f t="shared" ref="BD257" si="1243">IFERROR(10000*D257,0)</f>
        <v>0</v>
      </c>
      <c r="BE257" s="234"/>
      <c r="BF257" s="234"/>
      <c r="BG257" s="234">
        <f t="shared" ref="BG257" si="1244">IFERROR(-IF(AH257=$K$3,0,IF(AH257=$M$3,15*680*D257,IF(AH257=$O$3,30*680*D257,IF(AH257=0,50*680*D257,0)))),0)</f>
        <v>0</v>
      </c>
      <c r="BH257" s="234"/>
      <c r="BI257" s="234"/>
      <c r="BJ257" s="234"/>
    </row>
    <row r="258" spans="1:62" ht="18" hidden="1" customHeight="1">
      <c r="A258" s="81"/>
      <c r="B258" s="88">
        <f>'Tong hop cac ma'!B258</f>
        <v>0</v>
      </c>
      <c r="C258" s="314">
        <f>'Tong hop cac ma'!C258</f>
        <v>0</v>
      </c>
      <c r="D258" s="197">
        <f t="shared" si="964"/>
        <v>0</v>
      </c>
      <c r="E258" s="228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29"/>
      <c r="AJ258" s="230"/>
      <c r="AK258" s="230"/>
      <c r="AL258" s="231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212"/>
      <c r="AW258" s="212"/>
      <c r="AX258" s="212"/>
      <c r="AY258" s="212"/>
      <c r="AZ258" s="212"/>
      <c r="BA258" s="258"/>
      <c r="BB258" s="258"/>
      <c r="BC258" s="212"/>
      <c r="BD258" s="212"/>
      <c r="BE258" s="212"/>
      <c r="BF258" s="212"/>
      <c r="BG258" s="212"/>
      <c r="BH258" s="212"/>
      <c r="BI258" s="212"/>
      <c r="BJ258" s="212"/>
    </row>
    <row r="259" spans="1:62" ht="18" hidden="1" customHeight="1">
      <c r="A259" s="86">
        <v>126</v>
      </c>
      <c r="B259" s="88">
        <f>'Tong hop cac ma'!B259</f>
        <v>0</v>
      </c>
      <c r="C259" s="314">
        <f>'Tong hop cac ma'!C259</f>
        <v>0</v>
      </c>
      <c r="D259" s="197">
        <f t="shared" si="964"/>
        <v>0</v>
      </c>
      <c r="E259" s="213">
        <f>+'Tong hop cac ma'!S259</f>
        <v>0</v>
      </c>
      <c r="F259" s="214"/>
      <c r="G259" s="214"/>
      <c r="H259" s="214"/>
      <c r="I259" s="214"/>
      <c r="J259" s="210"/>
      <c r="K259" s="210"/>
      <c r="L259" s="210"/>
      <c r="M259" s="210"/>
      <c r="N259" s="210"/>
      <c r="O259" s="210"/>
      <c r="P259" s="210"/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0">
        <f t="shared" ref="AF259" si="1245">IFERROR(SUM(F259:AC259)*0.2,0)</f>
        <v>0</v>
      </c>
      <c r="AG259" s="210"/>
      <c r="AH259" s="210" t="s">
        <v>192</v>
      </c>
      <c r="AI259" s="215">
        <f t="shared" ref="AI259" si="1246">IFERROR(130*D259,0)</f>
        <v>0</v>
      </c>
      <c r="AJ259" s="198" cm="1">
        <f t="array" ref="AJ259">IFERROR(SUM(_xlfn._xlws.FILTER(E259:AI259,ISNUMBER(E259:AI259))),0)</f>
        <v>0</v>
      </c>
      <c r="AK259" s="198"/>
      <c r="AL259" s="216">
        <f t="shared" ref="AL259" si="1247">IFERROR(AJ259*(1+AK259%),0)</f>
        <v>0</v>
      </c>
      <c r="AM259" s="233"/>
      <c r="AN259" s="201">
        <f t="shared" ref="AN259" si="1248">IFERROR(SUM(E259:AC259)/D259,0)</f>
        <v>0</v>
      </c>
      <c r="AO259" s="255"/>
      <c r="AQ259" s="254"/>
      <c r="AR259" s="254"/>
      <c r="AS259" s="254"/>
      <c r="AT259" s="254"/>
      <c r="AU259" s="254"/>
      <c r="AV259" s="254"/>
      <c r="AY259" s="253">
        <f t="shared" ref="AY259" si="1249">IFERROR((AQ259*20)/60,0)</f>
        <v>0</v>
      </c>
      <c r="AZ259" s="253">
        <f t="shared" ref="AZ259" si="1250">IFERROR(AX259 + AY259 + BI259,0)</f>
        <v>0</v>
      </c>
      <c r="BA259" s="252">
        <f t="shared" ref="BA259" si="1251">IFERROR(AZ259/8,0)</f>
        <v>0</v>
      </c>
      <c r="BB259" s="252">
        <f t="shared" ref="BB259" si="1252">IFERROR(MAX(AQ259-BA259,0),0)</f>
        <v>0</v>
      </c>
      <c r="BD259" s="234">
        <f t="shared" ref="BD259" si="1253">IFERROR(10000*D259,0)</f>
        <v>0</v>
      </c>
      <c r="BE259" s="234"/>
      <c r="BF259" s="234"/>
      <c r="BG259" s="234">
        <f t="shared" ref="BG259" si="1254">IFERROR(-IF(AH259=$K$3,0,IF(AH259=$M$3,15*680*D259,IF(AH259=$O$3,30*680*D259,IF(AH259=0,50*680*D259,0)))),0)</f>
        <v>0</v>
      </c>
      <c r="BH259" s="234"/>
      <c r="BI259" s="234"/>
      <c r="BJ259" s="234"/>
    </row>
    <row r="260" spans="1:62" s="202" customFormat="1" ht="20.25" hidden="1" customHeight="1">
      <c r="A260" s="212"/>
      <c r="B260" s="88">
        <f>'Tong hop cac ma'!B260</f>
        <v>0</v>
      </c>
      <c r="C260" s="314">
        <f>'Tong hop cac ma'!C260</f>
        <v>0</v>
      </c>
      <c r="D260" s="197">
        <f t="shared" si="964"/>
        <v>0</v>
      </c>
      <c r="E260" s="228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29"/>
      <c r="AJ260" s="230"/>
      <c r="AK260" s="230"/>
      <c r="AL260" s="231"/>
      <c r="AM260" s="212"/>
      <c r="AN260" s="212"/>
      <c r="AO260" s="212"/>
      <c r="AP260" s="212"/>
      <c r="AQ260" s="212"/>
      <c r="AR260" s="212"/>
      <c r="AS260" s="212"/>
      <c r="AT260" s="212"/>
      <c r="AU260" s="212"/>
      <c r="AV260" s="212"/>
      <c r="AW260" s="212"/>
      <c r="AX260" s="212"/>
      <c r="AY260" s="212"/>
      <c r="AZ260" s="212"/>
      <c r="BA260" s="258"/>
      <c r="BB260" s="258"/>
      <c r="BC260" s="212"/>
      <c r="BD260" s="212"/>
      <c r="BE260" s="212"/>
      <c r="BF260" s="212"/>
      <c r="BG260" s="212"/>
      <c r="BH260" s="212"/>
      <c r="BI260" s="212"/>
      <c r="BJ260" s="212"/>
    </row>
    <row r="261" spans="1:62" s="202" customFormat="1" ht="20.25" hidden="1" customHeight="1">
      <c r="A261" s="89">
        <v>127</v>
      </c>
      <c r="B261" s="88">
        <f>'Tong hop cac ma'!B261</f>
        <v>0</v>
      </c>
      <c r="C261" s="314">
        <f>'Tong hop cac ma'!C261</f>
        <v>0</v>
      </c>
      <c r="D261" s="197">
        <f t="shared" si="964"/>
        <v>0</v>
      </c>
      <c r="E261" s="213">
        <f>+'Tong hop cac ma'!S261</f>
        <v>0</v>
      </c>
      <c r="F261" s="214"/>
      <c r="G261" s="214"/>
      <c r="H261" s="214"/>
      <c r="I261" s="214"/>
      <c r="J261" s="210"/>
      <c r="K261" s="210"/>
      <c r="L261" s="210"/>
      <c r="M261" s="210"/>
      <c r="N261" s="210"/>
      <c r="O261" s="210"/>
      <c r="P261" s="210"/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>
        <f t="shared" ref="AF261" si="1255">IFERROR(SUM(F261:AC261)*0.2,0)</f>
        <v>0</v>
      </c>
      <c r="AG261" s="210"/>
      <c r="AH261" s="210" t="s">
        <v>192</v>
      </c>
      <c r="AI261" s="215">
        <f t="shared" ref="AI261" si="1256">IFERROR(130*D261,0)</f>
        <v>0</v>
      </c>
      <c r="AJ261" s="198" cm="1">
        <f t="array" ref="AJ261">IFERROR(SUM(_xlfn._xlws.FILTER(E261:AI261,ISNUMBER(E261:AI261))),0)</f>
        <v>0</v>
      </c>
      <c r="AK261" s="198"/>
      <c r="AL261" s="216">
        <f t="shared" ref="AL261" si="1257">IFERROR(AJ261*(1+AK261%),0)</f>
        <v>0</v>
      </c>
      <c r="AM261" s="233"/>
      <c r="AN261" s="201">
        <f t="shared" ref="AN261" si="1258">IFERROR(SUM(E261:AC261)/D261,0)</f>
        <v>0</v>
      </c>
      <c r="AO261" s="255"/>
      <c r="AP261" s="234"/>
      <c r="AQ261" s="254"/>
      <c r="AR261" s="254"/>
      <c r="AS261" s="254"/>
      <c r="AT261" s="254"/>
      <c r="AU261" s="254"/>
      <c r="AV261" s="254"/>
      <c r="AW261" s="234"/>
      <c r="AX261" s="234"/>
      <c r="AY261" s="253">
        <f t="shared" ref="AY261" si="1259">IFERROR((AQ261*20)/60,0)</f>
        <v>0</v>
      </c>
      <c r="AZ261" s="253">
        <f t="shared" ref="AZ261" si="1260">IFERROR(AX261 + AY261 + BI261,0)</f>
        <v>0</v>
      </c>
      <c r="BA261" s="252">
        <f t="shared" ref="BA261" si="1261">IFERROR(AZ261/8,0)</f>
        <v>0</v>
      </c>
      <c r="BB261" s="252">
        <f t="shared" ref="BB261" si="1262">IFERROR(MAX(AQ261-BA261,0),0)</f>
        <v>0</v>
      </c>
      <c r="BC261" s="234"/>
      <c r="BD261" s="234">
        <f t="shared" ref="BD261" si="1263">IFERROR(10000*D261,0)</f>
        <v>0</v>
      </c>
      <c r="BE261" s="234"/>
      <c r="BF261" s="234"/>
      <c r="BG261" s="234">
        <f t="shared" ref="BG261" si="1264">IFERROR(-IF(AH261=$K$3,0,IF(AH261=$M$3,15*680*D261,IF(AH261=$O$3,30*680*D261,IF(AH261=0,50*680*D261,0)))),0)</f>
        <v>0</v>
      </c>
      <c r="BH261" s="234"/>
      <c r="BI261" s="234"/>
      <c r="BJ261" s="234"/>
    </row>
    <row r="262" spans="1:62" s="202" customFormat="1" ht="20.25" hidden="1" customHeight="1">
      <c r="A262" s="81"/>
      <c r="B262" s="88">
        <f>'Tong hop cac ma'!B262</f>
        <v>0</v>
      </c>
      <c r="C262" s="314">
        <f>'Tong hop cac ma'!C262</f>
        <v>0</v>
      </c>
      <c r="D262" s="197">
        <f t="shared" si="964"/>
        <v>0</v>
      </c>
      <c r="E262" s="228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29"/>
      <c r="AJ262" s="230"/>
      <c r="AK262" s="230"/>
      <c r="AL262" s="231"/>
      <c r="AM262" s="212"/>
      <c r="AN262" s="212"/>
      <c r="AO262" s="212"/>
      <c r="AP262" s="212"/>
      <c r="AQ262" s="212"/>
      <c r="AR262" s="212"/>
      <c r="AS262" s="212"/>
      <c r="AT262" s="212"/>
      <c r="AU262" s="212"/>
      <c r="AV262" s="212"/>
      <c r="AW262" s="212"/>
      <c r="AX262" s="212"/>
      <c r="AY262" s="212"/>
      <c r="AZ262" s="212"/>
      <c r="BA262" s="258"/>
      <c r="BB262" s="258"/>
      <c r="BC262" s="212"/>
      <c r="BD262" s="212"/>
      <c r="BE262" s="212"/>
      <c r="BF262" s="212"/>
      <c r="BG262" s="212"/>
      <c r="BH262" s="212"/>
      <c r="BI262" s="212"/>
      <c r="BJ262" s="212"/>
    </row>
    <row r="263" spans="1:62" s="202" customFormat="1" ht="20.25" hidden="1" customHeight="1">
      <c r="A263" s="86">
        <v>128</v>
      </c>
      <c r="B263" s="88">
        <f>'Tong hop cac ma'!B263</f>
        <v>0</v>
      </c>
      <c r="C263" s="314">
        <f>'Tong hop cac ma'!C263</f>
        <v>0</v>
      </c>
      <c r="D263" s="197">
        <f t="shared" si="964"/>
        <v>0</v>
      </c>
      <c r="E263" s="213">
        <f>+'Tong hop cac ma'!S263</f>
        <v>0</v>
      </c>
      <c r="F263" s="214"/>
      <c r="G263" s="214"/>
      <c r="H263" s="214"/>
      <c r="I263" s="214"/>
      <c r="J263" s="210"/>
      <c r="K263" s="210"/>
      <c r="L263" s="210"/>
      <c r="M263" s="210"/>
      <c r="N263" s="210"/>
      <c r="O263" s="210"/>
      <c r="P263" s="210"/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/>
      <c r="AE263" s="210"/>
      <c r="AF263" s="210">
        <f t="shared" ref="AF263" si="1265">IFERROR(SUM(F263:AC263)*0.2,0)</f>
        <v>0</v>
      </c>
      <c r="AG263" s="210"/>
      <c r="AH263" s="210" t="s">
        <v>192</v>
      </c>
      <c r="AI263" s="215">
        <f t="shared" ref="AI263" si="1266">IFERROR(130*D263,0)</f>
        <v>0</v>
      </c>
      <c r="AJ263" s="198" cm="1">
        <f t="array" ref="AJ263">IFERROR(SUM(_xlfn._xlws.FILTER(E263:AI263,ISNUMBER(E263:AI263))),0)</f>
        <v>0</v>
      </c>
      <c r="AK263" s="198"/>
      <c r="AL263" s="216">
        <f t="shared" ref="AL263" si="1267">IFERROR(AJ263*(1+AK263%),0)</f>
        <v>0</v>
      </c>
      <c r="AM263" s="233"/>
      <c r="AN263" s="201">
        <f t="shared" ref="AN263" si="1268">IFERROR(SUM(E263:AC263)/D263,0)</f>
        <v>0</v>
      </c>
      <c r="AO263" s="255"/>
      <c r="AP263" s="234"/>
      <c r="AQ263" s="254"/>
      <c r="AR263" s="254"/>
      <c r="AS263" s="254"/>
      <c r="AT263" s="254"/>
      <c r="AU263" s="254"/>
      <c r="AV263" s="254"/>
      <c r="AW263" s="234"/>
      <c r="AX263" s="234"/>
      <c r="AY263" s="253">
        <f t="shared" ref="AY263" si="1269">IFERROR((AQ263*20)/60,0)</f>
        <v>0</v>
      </c>
      <c r="AZ263" s="253">
        <f t="shared" ref="AZ263" si="1270">IFERROR(AX263 + AY263 + BI263,0)</f>
        <v>0</v>
      </c>
      <c r="BA263" s="252">
        <f t="shared" ref="BA263" si="1271">IFERROR(AZ263/8,0)</f>
        <v>0</v>
      </c>
      <c r="BB263" s="252">
        <f t="shared" ref="BB263" si="1272">IFERROR(MAX(AQ263-BA263,0),0)</f>
        <v>0</v>
      </c>
      <c r="BC263" s="234"/>
      <c r="BD263" s="234">
        <f t="shared" ref="BD263" si="1273">IFERROR(10000*D263,0)</f>
        <v>0</v>
      </c>
      <c r="BE263" s="234"/>
      <c r="BF263" s="234"/>
      <c r="BG263" s="234">
        <f t="shared" ref="BG263" si="1274">IFERROR(-IF(AH263=$K$3,0,IF(AH263=$M$3,15*680*D263,IF(AH263=$O$3,30*680*D263,IF(AH263=0,50*680*D263,0)))),0)</f>
        <v>0</v>
      </c>
      <c r="BH263" s="234"/>
      <c r="BI263" s="234"/>
      <c r="BJ263" s="234"/>
    </row>
    <row r="264" spans="1:62" s="202" customFormat="1" ht="20.25" hidden="1" customHeight="1">
      <c r="A264" s="212"/>
      <c r="B264" s="88">
        <f>'Tong hop cac ma'!B264</f>
        <v>0</v>
      </c>
      <c r="C264" s="314">
        <f>'Tong hop cac ma'!C264</f>
        <v>0</v>
      </c>
      <c r="D264" s="197">
        <f t="shared" si="964"/>
        <v>0</v>
      </c>
      <c r="E264" s="228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29"/>
      <c r="AJ264" s="230"/>
      <c r="AK264" s="230"/>
      <c r="AL264" s="231"/>
      <c r="AM264" s="212"/>
      <c r="AN264" s="212"/>
      <c r="AO264" s="212"/>
      <c r="AP264" s="212"/>
      <c r="AQ264" s="212"/>
      <c r="AR264" s="212"/>
      <c r="AS264" s="212"/>
      <c r="AT264" s="212"/>
      <c r="AU264" s="212"/>
      <c r="AV264" s="212"/>
      <c r="AW264" s="212"/>
      <c r="AX264" s="212"/>
      <c r="AY264" s="212"/>
      <c r="AZ264" s="212"/>
      <c r="BA264" s="258"/>
      <c r="BB264" s="258"/>
      <c r="BC264" s="212"/>
      <c r="BD264" s="212"/>
      <c r="BE264" s="212"/>
      <c r="BF264" s="212"/>
      <c r="BG264" s="212"/>
      <c r="BH264" s="212"/>
      <c r="BI264" s="212"/>
      <c r="BJ264" s="212"/>
    </row>
    <row r="265" spans="1:62" s="202" customFormat="1" ht="20.25" hidden="1" customHeight="1">
      <c r="A265" s="89">
        <v>129</v>
      </c>
      <c r="B265" s="88">
        <f>'Tong hop cac ma'!B265</f>
        <v>0</v>
      </c>
      <c r="C265" s="314">
        <f>'Tong hop cac ma'!C265</f>
        <v>0</v>
      </c>
      <c r="D265" s="197">
        <f t="shared" si="964"/>
        <v>0</v>
      </c>
      <c r="E265" s="213">
        <f>+'Tong hop cac ma'!S265</f>
        <v>0</v>
      </c>
      <c r="F265" s="214"/>
      <c r="G265" s="214"/>
      <c r="H265" s="214"/>
      <c r="I265" s="214"/>
      <c r="J265" s="210"/>
      <c r="K265" s="210"/>
      <c r="L265" s="210"/>
      <c r="M265" s="210"/>
      <c r="N265" s="210"/>
      <c r="O265" s="210"/>
      <c r="P265" s="210"/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/>
      <c r="AE265" s="210"/>
      <c r="AF265" s="210">
        <f t="shared" ref="AF265" si="1275">IFERROR(SUM(F265:AC265)*0.2,0)</f>
        <v>0</v>
      </c>
      <c r="AG265" s="210"/>
      <c r="AH265" s="210" t="s">
        <v>192</v>
      </c>
      <c r="AI265" s="215">
        <f t="shared" ref="AI265" si="1276">IFERROR(130*D265,0)</f>
        <v>0</v>
      </c>
      <c r="AJ265" s="198" cm="1">
        <f t="array" ref="AJ265">IFERROR(SUM(_xlfn._xlws.FILTER(E265:AI265,ISNUMBER(E265:AI265))),0)</f>
        <v>0</v>
      </c>
      <c r="AK265" s="198"/>
      <c r="AL265" s="216">
        <f t="shared" ref="AL265" si="1277">IFERROR(AJ265*(1+AK265%),0)</f>
        <v>0</v>
      </c>
      <c r="AM265" s="233"/>
      <c r="AN265" s="201">
        <f t="shared" ref="AN265" si="1278">IFERROR(SUM(E265:AC265)/D265,0)</f>
        <v>0</v>
      </c>
      <c r="AO265" s="255"/>
      <c r="AP265" s="234"/>
      <c r="AQ265" s="254"/>
      <c r="AR265" s="254"/>
      <c r="AS265" s="254"/>
      <c r="AT265" s="254"/>
      <c r="AU265" s="254"/>
      <c r="AV265" s="254"/>
      <c r="AW265" s="234"/>
      <c r="AX265" s="234"/>
      <c r="AY265" s="253">
        <f t="shared" ref="AY265" si="1279">IFERROR((AQ265*20)/60,0)</f>
        <v>0</v>
      </c>
      <c r="AZ265" s="253">
        <f t="shared" ref="AZ265" si="1280">IFERROR(AX265 + AY265 + BI265,0)</f>
        <v>0</v>
      </c>
      <c r="BA265" s="252">
        <f t="shared" ref="BA265" si="1281">IFERROR(AZ265/8,0)</f>
        <v>0</v>
      </c>
      <c r="BB265" s="252">
        <f t="shared" ref="BB265" si="1282">IFERROR(MAX(AQ265-BA265,0),0)</f>
        <v>0</v>
      </c>
      <c r="BC265" s="234"/>
      <c r="BD265" s="234">
        <f t="shared" ref="BD265" si="1283">IFERROR(10000*D265,0)</f>
        <v>0</v>
      </c>
      <c r="BE265" s="234"/>
      <c r="BF265" s="234"/>
      <c r="BG265" s="234">
        <f t="shared" ref="BG265" si="1284">IFERROR(-IF(AH265=$K$3,0,IF(AH265=$M$3,15*680*D265,IF(AH265=$O$3,30*680*D265,IF(AH265=0,50*680*D265,0)))),0)</f>
        <v>0</v>
      </c>
      <c r="BH265" s="234"/>
      <c r="BI265" s="234"/>
      <c r="BJ265" s="234"/>
    </row>
    <row r="266" spans="1:62" s="202" customFormat="1" ht="20.25" customHeight="1">
      <c r="A266" s="81"/>
      <c r="B266" s="88">
        <f>'Tong hop cac ma'!B266</f>
        <v>0</v>
      </c>
      <c r="C266" s="314">
        <f>'Tong hop cac ma'!C266</f>
        <v>0</v>
      </c>
      <c r="D266" s="197">
        <f t="shared" ref="D266:D267" si="1285">AQ266</f>
        <v>0</v>
      </c>
      <c r="E266" s="228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29"/>
      <c r="AJ266" s="230"/>
      <c r="AK266" s="230"/>
      <c r="AL266" s="231"/>
      <c r="AM266" s="212"/>
      <c r="AN266" s="212"/>
      <c r="AO266" s="212"/>
      <c r="AP266" s="212"/>
      <c r="AQ266" s="212"/>
      <c r="AR266" s="212"/>
      <c r="AS266" s="212"/>
      <c r="AT266" s="212"/>
      <c r="AU266" s="212"/>
      <c r="AV266" s="212"/>
      <c r="AW266" s="212"/>
      <c r="AX266" s="212"/>
      <c r="AY266" s="212"/>
      <c r="AZ266" s="212"/>
      <c r="BA266" s="258"/>
      <c r="BB266" s="258"/>
      <c r="BC266" s="212"/>
      <c r="BD266" s="212"/>
      <c r="BE266" s="212"/>
      <c r="BF266" s="212"/>
      <c r="BG266" s="212"/>
      <c r="BH266" s="212"/>
      <c r="BI266" s="212"/>
      <c r="BJ266" s="212"/>
    </row>
    <row r="267" spans="1:62" s="202" customFormat="1" ht="20.25" customHeight="1">
      <c r="A267" s="86">
        <v>130</v>
      </c>
      <c r="B267" s="88">
        <f>'Tong hop cac ma'!B267</f>
        <v>0</v>
      </c>
      <c r="C267" s="314">
        <f>'Tong hop cac ma'!C267</f>
        <v>0</v>
      </c>
      <c r="D267" s="197">
        <f t="shared" si="1285"/>
        <v>0</v>
      </c>
      <c r="E267" s="213">
        <f>+'Tong hop cac ma'!S267</f>
        <v>0</v>
      </c>
      <c r="F267" s="214"/>
      <c r="G267" s="214"/>
      <c r="H267" s="214"/>
      <c r="I267" s="214"/>
      <c r="J267" s="210"/>
      <c r="K267" s="210"/>
      <c r="L267" s="210"/>
      <c r="M267" s="210"/>
      <c r="N267" s="210"/>
      <c r="O267" s="210"/>
      <c r="P267" s="210"/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/>
      <c r="AE267" s="210"/>
      <c r="AF267" s="210">
        <f t="shared" ref="AF267" si="1286">IFERROR(SUM(F267:AC267)*0.2,0)</f>
        <v>0</v>
      </c>
      <c r="AG267" s="210"/>
      <c r="AH267" s="210" t="s">
        <v>192</v>
      </c>
      <c r="AI267" s="215">
        <f t="shared" ref="AI267" si="1287">IFERROR(130*D267,0)</f>
        <v>0</v>
      </c>
      <c r="AJ267" s="198" cm="1">
        <f t="array" ref="AJ267">IFERROR(SUM(_xlfn._xlws.FILTER(E267:AI267,ISNUMBER(E267:AI267))),0)</f>
        <v>0</v>
      </c>
      <c r="AK267" s="198"/>
      <c r="AL267" s="216">
        <f t="shared" ref="AL267" si="1288">IFERROR(AJ267*(1+AK267%),0)</f>
        <v>0</v>
      </c>
      <c r="AM267" s="233"/>
      <c r="AN267" s="201">
        <f t="shared" ref="AN267" si="1289">IFERROR(SUM(E267:AC267)/D267,0)</f>
        <v>0</v>
      </c>
      <c r="AO267" s="255"/>
      <c r="AP267" s="234"/>
      <c r="AQ267" s="254"/>
      <c r="AR267" s="254"/>
      <c r="AS267" s="254"/>
      <c r="AT267" s="254"/>
      <c r="AU267" s="254"/>
      <c r="AV267" s="254"/>
      <c r="AW267" s="234"/>
      <c r="AX267" s="234"/>
      <c r="AY267" s="253">
        <f t="shared" ref="AY267" si="1290">IFERROR((AQ267*20)/60,0)</f>
        <v>0</v>
      </c>
      <c r="AZ267" s="253">
        <f t="shared" ref="AZ267" si="1291">IFERROR(AX267 + AY267 + BI267,0)</f>
        <v>0</v>
      </c>
      <c r="BA267" s="252">
        <f t="shared" ref="BA267" si="1292">IFERROR(AZ267/8,0)</f>
        <v>0</v>
      </c>
      <c r="BB267" s="252">
        <f t="shared" ref="BB267" si="1293">IFERROR(MAX(AQ267-BA267,0),0)</f>
        <v>0</v>
      </c>
      <c r="BC267" s="234"/>
      <c r="BD267" s="234">
        <f t="shared" ref="BD267" si="1294">IFERROR(10000*D267,0)</f>
        <v>0</v>
      </c>
      <c r="BE267" s="234"/>
      <c r="BF267" s="234"/>
      <c r="BG267" s="234">
        <f t="shared" ref="BG267" si="1295">IFERROR(-IF(AH267=$K$3,0,IF(AH267=$M$3,15*680*D267,IF(AH267=$O$3,30*680*D267,IF(AH267=0,50*680*D267,0)))),0)</f>
        <v>0</v>
      </c>
      <c r="BH267" s="234"/>
      <c r="BI267" s="234"/>
      <c r="BJ267" s="234"/>
    </row>
    <row r="268" spans="1:62" s="202" customFormat="1" ht="20.25" customHeight="1">
      <c r="A268" s="212"/>
      <c r="B268" s="249"/>
      <c r="C268" s="212"/>
      <c r="D268" s="212"/>
      <c r="E268" s="228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29"/>
      <c r="AJ268" s="230"/>
      <c r="AK268" s="230"/>
      <c r="AL268" s="231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58"/>
      <c r="BB268" s="258"/>
      <c r="BC268" s="212"/>
      <c r="BD268" s="212"/>
      <c r="BE268" s="212"/>
      <c r="BF268" s="212"/>
      <c r="BG268" s="212"/>
      <c r="BH268" s="212"/>
      <c r="BI268" s="212"/>
      <c r="BJ268" s="212"/>
    </row>
    <row r="269" spans="1:62" ht="20.25" customHeight="1">
      <c r="A269" s="201"/>
      <c r="B269" s="247"/>
      <c r="C269" s="199"/>
      <c r="D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245"/>
      <c r="AJ269" s="246"/>
      <c r="AK269" s="246"/>
      <c r="AL269" s="246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32"/>
      <c r="BB269" s="232"/>
      <c r="BC269" s="200"/>
      <c r="BD269" s="200"/>
    </row>
    <row r="270" spans="1:62" ht="18" customHeight="1">
      <c r="A270" s="90"/>
      <c r="B270" s="247"/>
      <c r="C270" s="199"/>
      <c r="D270" s="199" cm="1">
        <f t="array" ref="D270">SUMPRODUCT(
  (MOD(ROW(D9:D268),2)=1)*
  (LEN(TRIM(B9:B268))&gt;0)*
  ISNUMBER(D9:D268)*
  D9:D268
)</f>
        <v>0</v>
      </c>
      <c r="E270" s="199" cm="1">
        <f t="array" ref="E270">SUMPRODUCT(
  (MOD(ROW(E9:E268),2)=1)*
  (LEN(TRIM(B9:B268))&gt;0)*
  ISNUMBER(E9:E268)*
  E9:E268
)</f>
        <v>0</v>
      </c>
      <c r="AI270" s="235"/>
      <c r="AK270" s="246" t="s">
        <v>21</v>
      </c>
      <c r="AL270" s="236" cm="1">
        <f t="array" ref="AL270">SUMPRODUCT(
  (MOD(ROW(AL9:AL268),2)=1)*
  (LEN(TRIM(B9:B268))&gt;0)*
  ISNUMBER(AL9:AL268)*
  AL9:AL268
)</f>
        <v>0</v>
      </c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63">
        <f>+(AQ270*10)/60</f>
        <v>0</v>
      </c>
      <c r="AZ270" s="263">
        <f>+AX270+AY270</f>
        <v>0</v>
      </c>
      <c r="BA270" s="232"/>
      <c r="BB270" s="232"/>
      <c r="BC270" s="200"/>
      <c r="BD270" s="200"/>
    </row>
    <row r="271" spans="1:62" ht="18" hidden="1" customHeight="1">
      <c r="A271" s="90"/>
      <c r="B271" s="247"/>
      <c r="C271" s="199"/>
      <c r="D271" s="199"/>
      <c r="AI271" s="235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32"/>
      <c r="BB271" s="232"/>
      <c r="BC271" s="200"/>
      <c r="BD271" s="200"/>
    </row>
    <row r="272" spans="1:62" ht="18" hidden="1" customHeight="1">
      <c r="A272" s="90"/>
      <c r="B272" s="247"/>
      <c r="C272" s="199"/>
      <c r="D272" s="199"/>
      <c r="AI272" s="235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63">
        <f>+(AQ272*10)/60</f>
        <v>0</v>
      </c>
      <c r="AZ272" s="263">
        <f>+AX272+AY272</f>
        <v>0</v>
      </c>
      <c r="BA272" s="232"/>
      <c r="BB272" s="232"/>
      <c r="BC272" s="200"/>
      <c r="BD272" s="200"/>
    </row>
    <row r="273" spans="1:56" ht="18" hidden="1" customHeight="1">
      <c r="A273" s="90"/>
      <c r="B273" s="247"/>
      <c r="C273" s="199"/>
      <c r="D273" s="199"/>
      <c r="AI273" s="235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32"/>
      <c r="BB273" s="232"/>
      <c r="BC273" s="200"/>
      <c r="BD273" s="200"/>
    </row>
    <row r="274" spans="1:56" ht="18" hidden="1" customHeight="1">
      <c r="A274" s="90"/>
      <c r="B274" s="247"/>
      <c r="C274" s="199"/>
      <c r="D274" s="199"/>
      <c r="AI274" s="235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63">
        <f>+(AQ274*10)/60</f>
        <v>0</v>
      </c>
      <c r="AZ274" s="263">
        <f>+AX274+AY274</f>
        <v>0</v>
      </c>
      <c r="BA274" s="232"/>
      <c r="BB274" s="232"/>
      <c r="BC274" s="200"/>
      <c r="BD274" s="200"/>
    </row>
    <row r="275" spans="1:56" ht="18" hidden="1" customHeight="1">
      <c r="A275" s="90"/>
      <c r="B275" s="247"/>
      <c r="C275" s="199"/>
      <c r="D275" s="199"/>
      <c r="AI275" s="235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32"/>
      <c r="BB275" s="232"/>
      <c r="BC275" s="200"/>
      <c r="BD275" s="200"/>
    </row>
    <row r="276" spans="1:56" ht="18" hidden="1" customHeight="1">
      <c r="A276" s="90"/>
      <c r="B276" s="247"/>
      <c r="C276" s="199"/>
      <c r="D276" s="199"/>
      <c r="AI276" s="235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63">
        <f>+(AQ276*10)/60</f>
        <v>0</v>
      </c>
      <c r="AZ276" s="263">
        <f>+AX276+AY276</f>
        <v>0</v>
      </c>
      <c r="BA276" s="232"/>
      <c r="BB276" s="232"/>
      <c r="BC276" s="200"/>
      <c r="BD276" s="200"/>
    </row>
    <row r="277" spans="1:56" ht="18" customHeight="1">
      <c r="B277" s="250"/>
      <c r="C277" s="217"/>
      <c r="D277" s="217"/>
      <c r="E277" s="217"/>
      <c r="F277" s="217"/>
      <c r="G277" s="217"/>
      <c r="H277" s="217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37"/>
      <c r="AJ277" s="238"/>
      <c r="AK277" s="238"/>
      <c r="AL277" s="238"/>
      <c r="AM277" s="239"/>
      <c r="AN277" s="202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32"/>
      <c r="BB277" s="232"/>
      <c r="BC277" s="200"/>
      <c r="BD277" s="200"/>
    </row>
    <row r="278" spans="1:56" ht="18" customHeight="1">
      <c r="B278" s="251"/>
      <c r="C278" s="219"/>
      <c r="D278" s="219"/>
      <c r="E278" s="219"/>
      <c r="F278" s="219"/>
      <c r="G278" s="219"/>
      <c r="H278" s="219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  <c r="AB278" s="220"/>
      <c r="AC278" s="220"/>
      <c r="AD278" s="220"/>
      <c r="AE278" s="220"/>
      <c r="AF278" s="220"/>
      <c r="AG278" s="220"/>
      <c r="AH278" s="220"/>
      <c r="AI278" s="221"/>
      <c r="AJ278" s="220"/>
      <c r="AK278" s="220"/>
      <c r="AL278" s="226"/>
      <c r="AM278" s="239"/>
      <c r="AN278" s="202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63">
        <f>+(AQ278*10)/60</f>
        <v>0</v>
      </c>
      <c r="AZ278" s="263">
        <f>+AX278+AY278</f>
        <v>0</v>
      </c>
      <c r="BA278" s="232"/>
      <c r="BB278" s="232"/>
      <c r="BC278" s="200"/>
      <c r="BD278" s="200"/>
    </row>
    <row r="279" spans="1:56" s="36" customFormat="1" ht="18" customHeight="1">
      <c r="B279" s="267"/>
      <c r="C279" s="268"/>
      <c r="D279" s="268"/>
      <c r="E279" s="268"/>
      <c r="F279" s="268"/>
      <c r="G279" s="268"/>
      <c r="H279" s="268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9"/>
      <c r="AB279" s="270">
        <v>0</v>
      </c>
      <c r="AC279" s="270"/>
      <c r="AD279" s="270"/>
      <c r="AE279" s="270"/>
      <c r="AF279" s="270"/>
      <c r="AG279" s="270"/>
      <c r="AH279" s="270"/>
      <c r="AI279" s="241"/>
      <c r="AJ279" s="270"/>
      <c r="AK279" s="270"/>
      <c r="AL279" s="271"/>
      <c r="AM279" s="272"/>
      <c r="AN279" s="269"/>
      <c r="BA279" s="273"/>
      <c r="BB279" s="273"/>
    </row>
    <row r="280" spans="1:56" s="36" customFormat="1" ht="18" customHeight="1" thickBot="1">
      <c r="B280" s="274"/>
      <c r="C280" s="275"/>
      <c r="D280" s="275"/>
      <c r="E280" s="275"/>
      <c r="F280" s="275"/>
      <c r="G280" s="275"/>
      <c r="H280" s="275"/>
      <c r="I280" s="275">
        <v>26</v>
      </c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5"/>
      <c r="AA280" s="275"/>
      <c r="AB280" s="276">
        <f>AL270</f>
        <v>0</v>
      </c>
      <c r="AC280" s="276"/>
      <c r="AD280" s="276"/>
      <c r="AE280" s="276"/>
      <c r="AF280" s="276"/>
      <c r="AG280" s="276"/>
      <c r="AH280" s="276"/>
      <c r="AI280" s="277"/>
      <c r="AJ280" s="276"/>
      <c r="AK280" s="276"/>
      <c r="AL280" s="271"/>
      <c r="AM280" s="272"/>
      <c r="AN280" s="269"/>
      <c r="AY280" s="278">
        <f>+(AQ280*10)/60</f>
        <v>0</v>
      </c>
      <c r="AZ280" s="278">
        <f>+AX280+AY280</f>
        <v>0</v>
      </c>
      <c r="BA280" s="273"/>
      <c r="BB280" s="273"/>
    </row>
    <row r="281" spans="1:56" s="36" customFormat="1" ht="18" customHeight="1" thickTop="1">
      <c r="B281" s="279"/>
      <c r="C281" s="280" t="s">
        <v>184</v>
      </c>
      <c r="D281" s="280"/>
      <c r="E281" s="280"/>
      <c r="F281" s="306">
        <f>IFERROR(AL270,0)</f>
        <v>0</v>
      </c>
      <c r="G281" s="281"/>
      <c r="H281" s="281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  <c r="AA281" s="269"/>
      <c r="AB281" s="282">
        <f>AB280</f>
        <v>0</v>
      </c>
      <c r="AC281" s="282"/>
      <c r="AD281" s="282"/>
      <c r="AE281" s="282"/>
      <c r="AF281" s="282"/>
      <c r="AG281" s="282"/>
      <c r="AH281" s="282"/>
      <c r="AI281" s="283"/>
      <c r="AJ281" s="282"/>
      <c r="AK281" s="282"/>
      <c r="AL281" s="271"/>
      <c r="AM281" s="272"/>
      <c r="AN281" s="269"/>
      <c r="BA281" s="273"/>
      <c r="BB281" s="273"/>
    </row>
    <row r="282" spans="1:56" s="36" customFormat="1" ht="18" customHeight="1">
      <c r="B282" s="284"/>
      <c r="C282" s="37" t="s">
        <v>160</v>
      </c>
      <c r="D282" s="37"/>
      <c r="E282" s="37"/>
      <c r="F282" s="281">
        <f>IFERROR(D270,0)</f>
        <v>0</v>
      </c>
      <c r="G282" s="281"/>
      <c r="H282" s="281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  <c r="AA282" s="269"/>
      <c r="AB282" s="285">
        <f>D268</f>
        <v>0</v>
      </c>
      <c r="AC282" s="285"/>
      <c r="AD282" s="286">
        <f>D11</f>
        <v>0</v>
      </c>
      <c r="AE282" s="286">
        <f>D23</f>
        <v>0</v>
      </c>
      <c r="AF282" s="286"/>
      <c r="AG282" s="286"/>
      <c r="AH282" s="285"/>
      <c r="AI282" s="287"/>
      <c r="AJ282" s="285"/>
      <c r="AK282" s="285"/>
      <c r="AL282" s="271"/>
      <c r="AM282" s="272"/>
      <c r="AN282" s="272"/>
      <c r="AY282" s="278">
        <f>+(AQ282*10)/60</f>
        <v>0</v>
      </c>
      <c r="AZ282" s="278">
        <f>+AX282+AY282</f>
        <v>0</v>
      </c>
      <c r="BA282" s="273"/>
      <c r="BB282" s="273"/>
    </row>
    <row r="283" spans="1:56" s="36" customFormat="1" ht="18" customHeight="1">
      <c r="B283" s="284"/>
      <c r="C283" s="37" t="s">
        <v>161</v>
      </c>
      <c r="D283" s="37"/>
      <c r="E283" s="37"/>
      <c r="F283" s="281">
        <f>IFERROR(F281/F282*$I$280,0)</f>
        <v>0</v>
      </c>
      <c r="G283" s="281"/>
      <c r="H283" s="281"/>
      <c r="I283" s="269">
        <f>IFERROR(F284/I280*I282,0)</f>
        <v>0</v>
      </c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  <c r="AA283" s="269"/>
      <c r="AB283" s="285" t="e">
        <f>AB281/AB282*AD280</f>
        <v>#DIV/0!</v>
      </c>
      <c r="AC283" s="285"/>
      <c r="AD283" s="286"/>
      <c r="AE283" s="286"/>
      <c r="AF283" s="286"/>
      <c r="AG283" s="286"/>
      <c r="AH283" s="285"/>
      <c r="AI283" s="287"/>
      <c r="AJ283" s="285"/>
      <c r="AK283" s="285"/>
      <c r="AL283" s="241"/>
      <c r="AM283" s="242"/>
      <c r="AN283" s="265"/>
      <c r="BA283" s="273"/>
      <c r="BB283" s="273"/>
    </row>
    <row r="284" spans="1:56" s="36" customFormat="1" ht="18" customHeight="1">
      <c r="B284" s="284"/>
      <c r="C284" s="37" t="s">
        <v>162</v>
      </c>
      <c r="D284" s="37"/>
      <c r="E284" s="37"/>
      <c r="F284" s="281">
        <f>IFERROR(F283*1.3*1.25,0)</f>
        <v>0</v>
      </c>
      <c r="G284" s="281"/>
      <c r="H284" s="281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  <c r="AA284" s="269"/>
      <c r="AB284" s="285" t="e">
        <f>AB283*1.25*1.3</f>
        <v>#DIV/0!</v>
      </c>
      <c r="AC284" s="285"/>
      <c r="AD284" s="285"/>
      <c r="AE284" s="285"/>
      <c r="AF284" s="285"/>
      <c r="AG284" s="285"/>
      <c r="AH284" s="285"/>
      <c r="AI284" s="287"/>
      <c r="AJ284" s="285"/>
      <c r="AK284" s="285"/>
      <c r="AL284" s="288"/>
      <c r="AM284" s="272"/>
      <c r="AN284" s="242">
        <f>AK284*1.05</f>
        <v>0</v>
      </c>
      <c r="AY284" s="278">
        <f>+(AQ284*10)/60</f>
        <v>0</v>
      </c>
      <c r="AZ284" s="278">
        <f>+AX284+AY284</f>
        <v>0</v>
      </c>
      <c r="BA284" s="273"/>
      <c r="BB284" s="273"/>
    </row>
    <row r="285" spans="1:56" s="36" customFormat="1" ht="18" customHeight="1" thickBot="1">
      <c r="B285" s="274"/>
      <c r="C285" s="289"/>
      <c r="D285" s="275"/>
      <c r="E285" s="275"/>
      <c r="F285" s="275"/>
      <c r="G285" s="275"/>
      <c r="H285" s="275"/>
      <c r="I285" s="290"/>
      <c r="J285" s="290"/>
      <c r="K285" s="290"/>
      <c r="L285" s="290"/>
      <c r="M285" s="290"/>
      <c r="N285" s="290"/>
      <c r="O285" s="290"/>
      <c r="P285" s="290"/>
      <c r="Q285" s="290"/>
      <c r="R285" s="290"/>
      <c r="S285" s="290"/>
      <c r="T285" s="290"/>
      <c r="U285" s="290"/>
      <c r="V285" s="290"/>
      <c r="W285" s="290"/>
      <c r="X285" s="290"/>
      <c r="Y285" s="290"/>
      <c r="Z285" s="290"/>
      <c r="AA285" s="290"/>
      <c r="AB285" s="276"/>
      <c r="AC285" s="276"/>
      <c r="AD285" s="276"/>
      <c r="AE285" s="276"/>
      <c r="AF285" s="276"/>
      <c r="AG285" s="276"/>
      <c r="AH285" s="276"/>
      <c r="AI285" s="277"/>
      <c r="AJ285" s="276"/>
      <c r="AK285" s="276"/>
      <c r="AL285" s="288"/>
      <c r="AM285" s="272"/>
      <c r="AN285" s="242">
        <f>AN284*AN281/26</f>
        <v>0</v>
      </c>
      <c r="BA285" s="273"/>
      <c r="BB285" s="273"/>
    </row>
    <row r="286" spans="1:56" ht="18" customHeight="1" thickTop="1">
      <c r="B286" s="247"/>
      <c r="C286" s="199" t="s">
        <v>163</v>
      </c>
      <c r="D286" s="199"/>
      <c r="F286" s="240"/>
      <c r="G286" s="240"/>
      <c r="H286" s="240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  <c r="AB286" s="222"/>
      <c r="AC286" s="222"/>
      <c r="AD286" s="222"/>
      <c r="AE286" s="222"/>
      <c r="AF286" s="222"/>
      <c r="AG286" s="223"/>
      <c r="AH286" s="223"/>
      <c r="AI286" s="224"/>
      <c r="AJ286" s="223"/>
      <c r="AK286" s="223"/>
      <c r="AL286" s="243"/>
      <c r="AM286" s="244"/>
      <c r="AN286" s="266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63">
        <f>+(AQ286*10)/60</f>
        <v>0</v>
      </c>
      <c r="AZ286" s="263">
        <f>+AX286+AY286</f>
        <v>0</v>
      </c>
      <c r="BA286" s="232"/>
      <c r="BB286" s="232"/>
      <c r="BC286" s="200"/>
      <c r="BD286" s="200"/>
    </row>
    <row r="287" spans="1:56" ht="18" customHeight="1">
      <c r="B287" s="247"/>
      <c r="C287" s="199"/>
      <c r="D287" s="199"/>
      <c r="AI287" s="235"/>
      <c r="AL287" s="226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32"/>
      <c r="BB287" s="232"/>
      <c r="BC287" s="200"/>
      <c r="BD287" s="200"/>
    </row>
    <row r="288" spans="1:56" ht="18" customHeight="1">
      <c r="B288" s="247"/>
      <c r="C288" s="199"/>
      <c r="D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245"/>
      <c r="AJ288" s="246"/>
      <c r="AK288" s="246" t="s">
        <v>20</v>
      </c>
      <c r="AL288" s="246"/>
      <c r="AM288" s="199"/>
      <c r="AN288" s="199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63">
        <v>0</v>
      </c>
      <c r="AZ288" s="263">
        <f>+AX288+AY288</f>
        <v>0</v>
      </c>
      <c r="BA288" s="232"/>
      <c r="BB288" s="232"/>
      <c r="BC288" s="200"/>
      <c r="BD288" s="200"/>
    </row>
    <row r="289" spans="2:56" ht="18" customHeight="1">
      <c r="B289" s="250"/>
      <c r="C289" s="217"/>
      <c r="D289" s="217"/>
      <c r="E289" s="217"/>
      <c r="AI289" s="235"/>
      <c r="AL289" s="226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32"/>
      <c r="BB289" s="232"/>
      <c r="BC289" s="200"/>
      <c r="BD289" s="200"/>
    </row>
    <row r="290" spans="2:56" ht="18" customHeight="1">
      <c r="B290" s="251"/>
      <c r="C290" s="219"/>
      <c r="D290" s="219"/>
      <c r="E290" s="219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63">
        <v>0</v>
      </c>
      <c r="AZ290" s="263">
        <f>+AX290+AY290</f>
        <v>0</v>
      </c>
      <c r="BA290" s="232"/>
      <c r="BB290" s="232"/>
      <c r="BC290" s="200"/>
      <c r="BD290" s="200"/>
    </row>
    <row r="291" spans="2:56" ht="18" customHeight="1">
      <c r="B291" s="247"/>
      <c r="C291" s="199"/>
      <c r="D291" s="199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32"/>
      <c r="BB291" s="232"/>
      <c r="BC291" s="200"/>
      <c r="BD291" s="200"/>
    </row>
    <row r="292" spans="2:56" ht="18" customHeight="1">
      <c r="B292" s="247"/>
      <c r="C292" s="199"/>
      <c r="D292" s="199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32"/>
      <c r="BB292" s="232"/>
      <c r="BC292" s="200"/>
      <c r="BD292" s="200"/>
    </row>
    <row r="293" spans="2:56" ht="18" customHeight="1">
      <c r="B293" s="247"/>
      <c r="C293" s="199"/>
      <c r="D293" s="199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32"/>
      <c r="BB293" s="232"/>
      <c r="BC293" s="200"/>
      <c r="BD293" s="200"/>
    </row>
    <row r="294" spans="2:56" ht="18" customHeight="1">
      <c r="B294" s="247"/>
      <c r="C294" s="199"/>
      <c r="D294" s="199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32"/>
      <c r="BB294" s="232"/>
      <c r="BC294" s="200"/>
      <c r="BD294" s="200"/>
    </row>
    <row r="295" spans="2:56" ht="18" customHeight="1">
      <c r="B295" s="247"/>
      <c r="C295" s="199"/>
      <c r="D295" s="199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32"/>
      <c r="BB295" s="232"/>
      <c r="BC295" s="200"/>
      <c r="BD295" s="200"/>
    </row>
    <row r="296" spans="2:56" ht="18" customHeight="1">
      <c r="B296" s="247"/>
      <c r="C296" s="199"/>
      <c r="D296" s="199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32"/>
      <c r="BB296" s="232"/>
      <c r="BC296" s="200"/>
      <c r="BD296" s="200"/>
    </row>
    <row r="297" spans="2:56" ht="18" customHeight="1">
      <c r="B297" s="250"/>
      <c r="C297" s="217"/>
      <c r="D297" s="217"/>
      <c r="E297" s="217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32"/>
      <c r="BB297" s="232"/>
      <c r="BC297" s="200"/>
      <c r="BD297" s="200"/>
    </row>
    <row r="298" spans="2:56" ht="18" customHeight="1">
      <c r="B298" s="251"/>
      <c r="C298" s="219"/>
      <c r="D298" s="219"/>
      <c r="E298" s="219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32"/>
      <c r="BB298" s="232"/>
      <c r="BC298" s="200"/>
      <c r="BD298" s="200"/>
    </row>
    <row r="299" spans="2:56" ht="18" customHeight="1">
      <c r="B299" s="251"/>
      <c r="C299" s="219"/>
      <c r="D299" s="219"/>
      <c r="E299" s="219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32"/>
      <c r="BB299" s="232"/>
      <c r="BC299" s="200"/>
      <c r="BD299" s="200"/>
    </row>
    <row r="300" spans="2:56" ht="18" customHeight="1">
      <c r="B300" s="247"/>
      <c r="C300" s="199"/>
      <c r="D300" s="199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32"/>
      <c r="BB300" s="232"/>
      <c r="BC300" s="200"/>
      <c r="BD300" s="200"/>
    </row>
    <row r="301" spans="2:56" ht="18" customHeight="1">
      <c r="B301" s="247"/>
      <c r="C301" s="199"/>
      <c r="D301" s="199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32"/>
      <c r="BB301" s="232"/>
      <c r="BC301" s="200"/>
      <c r="BD301" s="200"/>
    </row>
    <row r="302" spans="2:56" ht="18" customHeight="1">
      <c r="B302" s="247"/>
      <c r="C302" s="199"/>
      <c r="D302" s="199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32"/>
      <c r="BB302" s="232"/>
      <c r="BC302" s="200"/>
      <c r="BD302" s="200"/>
    </row>
    <row r="303" spans="2:56" ht="18" customHeight="1">
      <c r="B303" s="247"/>
      <c r="C303" s="199"/>
      <c r="D303" s="199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32"/>
      <c r="BB303" s="232"/>
      <c r="BC303" s="200"/>
      <c r="BD303" s="200"/>
    </row>
    <row r="304" spans="2:56" ht="18" customHeight="1"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32"/>
      <c r="BB304" s="232"/>
      <c r="BC304" s="200"/>
      <c r="BD304" s="200"/>
    </row>
    <row r="305" spans="41:56" ht="18" customHeight="1">
      <c r="AO305" s="200"/>
      <c r="AP305" s="200"/>
      <c r="AQ305" s="200"/>
      <c r="AR305" s="200"/>
      <c r="AS305" s="200"/>
      <c r="AT305" s="200"/>
      <c r="AU305" s="200"/>
      <c r="AV305" s="200"/>
      <c r="AW305" s="200"/>
      <c r="AX305" s="200"/>
      <c r="AY305" s="200"/>
      <c r="AZ305" s="200"/>
      <c r="BA305" s="232"/>
      <c r="BB305" s="232"/>
      <c r="BC305" s="200"/>
      <c r="BD305" s="200"/>
    </row>
    <row r="306" spans="41:56" ht="18" customHeight="1">
      <c r="AO306" s="200"/>
      <c r="AP306" s="200"/>
      <c r="AQ306" s="200"/>
      <c r="AR306" s="200"/>
      <c r="AS306" s="200"/>
      <c r="AT306" s="200"/>
      <c r="AU306" s="200"/>
      <c r="AV306" s="200"/>
      <c r="AW306" s="200"/>
      <c r="AX306" s="200"/>
      <c r="AY306" s="200"/>
      <c r="AZ306" s="200"/>
      <c r="BA306" s="232"/>
      <c r="BB306" s="232"/>
      <c r="BC306" s="200"/>
      <c r="BD306" s="200"/>
    </row>
    <row r="307" spans="41:56" ht="18" customHeight="1">
      <c r="AO307" s="200"/>
      <c r="AP307" s="200"/>
      <c r="AQ307" s="200"/>
      <c r="AR307" s="200"/>
      <c r="AS307" s="200"/>
      <c r="AT307" s="200"/>
      <c r="AU307" s="200"/>
      <c r="AV307" s="200"/>
      <c r="AW307" s="200"/>
      <c r="AX307" s="200"/>
      <c r="AY307" s="200"/>
      <c r="AZ307" s="200"/>
      <c r="BA307" s="232"/>
      <c r="BB307" s="232"/>
      <c r="BC307" s="200"/>
      <c r="BD307" s="200"/>
    </row>
    <row r="308" spans="41:56" ht="18" customHeight="1">
      <c r="AO308" s="200"/>
      <c r="AP308" s="200"/>
      <c r="AQ308" s="200"/>
      <c r="AR308" s="200"/>
      <c r="AS308" s="200"/>
      <c r="AT308" s="200"/>
      <c r="AU308" s="200"/>
      <c r="AV308" s="200"/>
      <c r="AW308" s="200"/>
      <c r="AX308" s="200"/>
      <c r="AY308" s="200"/>
      <c r="AZ308" s="200"/>
      <c r="BA308" s="232"/>
      <c r="BB308" s="232"/>
      <c r="BC308" s="200"/>
      <c r="BD308" s="200"/>
    </row>
    <row r="309" spans="41:56" ht="18" customHeight="1">
      <c r="AO309" s="200"/>
      <c r="AP309" s="200"/>
      <c r="AQ309" s="200"/>
      <c r="AR309" s="200"/>
      <c r="AS309" s="200"/>
      <c r="AT309" s="200"/>
      <c r="AU309" s="200"/>
      <c r="AV309" s="200"/>
      <c r="AW309" s="200"/>
      <c r="AX309" s="200"/>
      <c r="AY309" s="200"/>
      <c r="AZ309" s="200"/>
      <c r="BA309" s="232"/>
      <c r="BB309" s="232"/>
      <c r="BC309" s="200"/>
      <c r="BD309" s="200"/>
    </row>
    <row r="310" spans="41:56" ht="18" customHeight="1">
      <c r="AO310" s="200"/>
      <c r="AP310" s="200"/>
      <c r="AQ310" s="200"/>
      <c r="AR310" s="200"/>
      <c r="AS310" s="200"/>
      <c r="AT310" s="200"/>
      <c r="AU310" s="200"/>
      <c r="AV310" s="200"/>
      <c r="AW310" s="200"/>
      <c r="AX310" s="200"/>
      <c r="AY310" s="200"/>
      <c r="AZ310" s="200"/>
      <c r="BA310" s="232"/>
      <c r="BB310" s="232"/>
      <c r="BC310" s="200"/>
      <c r="BD310" s="200"/>
    </row>
    <row r="311" spans="41:56" ht="18" customHeight="1">
      <c r="AO311" s="200"/>
      <c r="AP311" s="200"/>
      <c r="AQ311" s="200"/>
      <c r="AR311" s="200"/>
      <c r="AS311" s="200"/>
      <c r="AT311" s="200"/>
      <c r="AU311" s="200"/>
      <c r="AV311" s="200"/>
      <c r="AW311" s="200"/>
      <c r="AX311" s="200"/>
      <c r="AY311" s="200"/>
      <c r="AZ311" s="200"/>
      <c r="BA311" s="232"/>
      <c r="BB311" s="232"/>
      <c r="BC311" s="200"/>
      <c r="BD311" s="200"/>
    </row>
    <row r="312" spans="41:56" ht="18" customHeight="1">
      <c r="AO312" s="200"/>
      <c r="AP312" s="200"/>
      <c r="AQ312" s="200"/>
      <c r="AR312" s="200"/>
      <c r="AS312" s="200"/>
      <c r="AT312" s="200"/>
      <c r="AU312" s="200"/>
      <c r="AV312" s="200"/>
      <c r="AW312" s="200"/>
      <c r="AX312" s="200"/>
      <c r="AY312" s="200"/>
      <c r="AZ312" s="200"/>
      <c r="BA312" s="232"/>
      <c r="BB312" s="232"/>
      <c r="BC312" s="200"/>
      <c r="BD312" s="200"/>
    </row>
    <row r="313" spans="41:56" ht="18" customHeight="1">
      <c r="AO313" s="200"/>
      <c r="AP313" s="200"/>
      <c r="AQ313" s="200"/>
      <c r="AR313" s="200"/>
      <c r="AS313" s="200"/>
      <c r="AT313" s="200"/>
      <c r="AU313" s="200"/>
      <c r="AV313" s="200"/>
      <c r="AW313" s="200"/>
      <c r="AX313" s="200"/>
      <c r="AY313" s="200"/>
      <c r="AZ313" s="200"/>
      <c r="BA313" s="232"/>
      <c r="BB313" s="232"/>
      <c r="BC313" s="200"/>
      <c r="BD313" s="200"/>
    </row>
    <row r="314" spans="41:56" ht="18" customHeight="1">
      <c r="AO314" s="200"/>
      <c r="AP314" s="200"/>
      <c r="AQ314" s="200"/>
      <c r="AR314" s="200"/>
      <c r="AS314" s="200"/>
      <c r="AT314" s="200"/>
      <c r="AU314" s="200"/>
      <c r="AV314" s="200"/>
      <c r="AW314" s="200"/>
      <c r="AX314" s="200"/>
      <c r="AY314" s="200"/>
      <c r="AZ314" s="200"/>
      <c r="BA314" s="232"/>
      <c r="BB314" s="232"/>
      <c r="BC314" s="200"/>
      <c r="BD314" s="200"/>
    </row>
    <row r="315" spans="41:56" ht="18" customHeight="1">
      <c r="AO315" s="200"/>
      <c r="AP315" s="200"/>
      <c r="AQ315" s="200"/>
      <c r="AR315" s="200"/>
      <c r="AS315" s="200"/>
      <c r="AT315" s="200"/>
      <c r="AU315" s="200"/>
      <c r="AV315" s="200"/>
      <c r="AW315" s="200"/>
      <c r="AX315" s="200"/>
      <c r="AY315" s="200"/>
      <c r="AZ315" s="200"/>
      <c r="BA315" s="232"/>
      <c r="BB315" s="232"/>
      <c r="BC315" s="200"/>
      <c r="BD315" s="200"/>
    </row>
    <row r="316" spans="41:56" ht="18" customHeight="1">
      <c r="AO316" s="200"/>
      <c r="AP316" s="200"/>
      <c r="AQ316" s="200"/>
      <c r="AR316" s="200"/>
      <c r="AS316" s="200"/>
      <c r="AT316" s="200"/>
      <c r="AU316" s="200"/>
      <c r="AV316" s="200"/>
      <c r="AW316" s="200"/>
      <c r="AX316" s="200"/>
      <c r="AY316" s="200"/>
      <c r="AZ316" s="200"/>
      <c r="BA316" s="232"/>
      <c r="BB316" s="232"/>
      <c r="BC316" s="200"/>
      <c r="BD316" s="200"/>
    </row>
    <row r="317" spans="41:56" ht="18" customHeight="1">
      <c r="AO317" s="200"/>
      <c r="AP317" s="200"/>
      <c r="AQ317" s="200"/>
      <c r="AR317" s="200"/>
      <c r="AS317" s="200"/>
      <c r="AT317" s="200"/>
      <c r="AU317" s="200"/>
      <c r="AV317" s="200"/>
      <c r="AW317" s="200"/>
      <c r="AX317" s="200"/>
      <c r="AY317" s="200"/>
      <c r="AZ317" s="200"/>
      <c r="BA317" s="232"/>
      <c r="BB317" s="232"/>
      <c r="BC317" s="200"/>
      <c r="BD317" s="200"/>
    </row>
    <row r="318" spans="41:56" ht="18" customHeight="1">
      <c r="AO318" s="200"/>
      <c r="AP318" s="200"/>
      <c r="AQ318" s="200"/>
      <c r="AR318" s="200"/>
      <c r="AS318" s="200"/>
      <c r="AT318" s="200"/>
      <c r="AU318" s="200"/>
      <c r="AV318" s="200"/>
      <c r="AW318" s="200"/>
      <c r="AX318" s="200"/>
      <c r="AY318" s="200"/>
      <c r="AZ318" s="200"/>
      <c r="BA318" s="232"/>
      <c r="BB318" s="232"/>
      <c r="BC318" s="200"/>
      <c r="BD318" s="200"/>
    </row>
    <row r="319" spans="41:56" ht="18" customHeight="1">
      <c r="AO319" s="200"/>
      <c r="AP319" s="200"/>
      <c r="AQ319" s="200"/>
      <c r="AR319" s="200"/>
      <c r="AS319" s="200"/>
      <c r="AT319" s="200"/>
      <c r="AU319" s="200"/>
      <c r="AV319" s="200"/>
      <c r="AW319" s="200"/>
      <c r="AX319" s="200"/>
      <c r="AY319" s="200"/>
      <c r="AZ319" s="200"/>
      <c r="BA319" s="232"/>
      <c r="BB319" s="232"/>
      <c r="BC319" s="200"/>
      <c r="BD319" s="200"/>
    </row>
    <row r="320" spans="41:56" ht="18" customHeight="1">
      <c r="AO320" s="200"/>
      <c r="AP320" s="200"/>
      <c r="AQ320" s="200"/>
      <c r="AR320" s="200"/>
      <c r="AS320" s="200"/>
      <c r="AT320" s="200"/>
      <c r="AU320" s="200"/>
      <c r="AV320" s="200"/>
      <c r="AW320" s="200"/>
      <c r="AX320" s="200"/>
      <c r="AY320" s="200"/>
      <c r="AZ320" s="200"/>
      <c r="BA320" s="232"/>
      <c r="BB320" s="232"/>
      <c r="BC320" s="200"/>
      <c r="BD320" s="200"/>
    </row>
    <row r="321" spans="41:56" ht="18" customHeight="1">
      <c r="AO321" s="200"/>
      <c r="AP321" s="200"/>
      <c r="AQ321" s="200"/>
      <c r="AR321" s="200"/>
      <c r="AS321" s="200"/>
      <c r="AT321" s="200"/>
      <c r="AU321" s="200"/>
      <c r="AV321" s="200"/>
      <c r="AW321" s="200"/>
      <c r="AX321" s="200"/>
      <c r="AY321" s="200"/>
      <c r="AZ321" s="200"/>
      <c r="BA321" s="232"/>
      <c r="BB321" s="232"/>
      <c r="BC321" s="200"/>
      <c r="BD321" s="200"/>
    </row>
    <row r="322" spans="41:56" ht="18" customHeight="1">
      <c r="AO322" s="200"/>
      <c r="AP322" s="200"/>
      <c r="AQ322" s="200"/>
      <c r="AR322" s="200"/>
      <c r="AS322" s="200"/>
      <c r="AT322" s="200"/>
      <c r="AU322" s="200"/>
      <c r="AV322" s="200"/>
      <c r="AW322" s="200"/>
      <c r="AX322" s="200"/>
      <c r="AY322" s="200"/>
      <c r="AZ322" s="200"/>
      <c r="BA322" s="232"/>
      <c r="BB322" s="232"/>
      <c r="BC322" s="200"/>
      <c r="BD322" s="200"/>
    </row>
    <row r="323" spans="41:56" ht="18" customHeight="1">
      <c r="AO323" s="200"/>
      <c r="AP323" s="200"/>
      <c r="AQ323" s="200"/>
      <c r="AR323" s="200"/>
      <c r="AS323" s="200"/>
      <c r="AT323" s="200"/>
      <c r="AU323" s="200"/>
      <c r="AV323" s="200"/>
      <c r="AW323" s="200"/>
      <c r="AX323" s="200"/>
      <c r="AY323" s="200"/>
      <c r="AZ323" s="200"/>
      <c r="BA323" s="232"/>
      <c r="BB323" s="232"/>
      <c r="BC323" s="200"/>
      <c r="BD323" s="200"/>
    </row>
    <row r="324" spans="41:56" ht="18" customHeight="1">
      <c r="AO324" s="200"/>
      <c r="AP324" s="200"/>
      <c r="AQ324" s="200"/>
      <c r="AR324" s="200"/>
      <c r="AS324" s="200"/>
      <c r="AT324" s="200"/>
      <c r="AU324" s="200"/>
      <c r="AV324" s="200"/>
      <c r="AW324" s="200"/>
      <c r="AX324" s="200"/>
      <c r="AY324" s="200"/>
      <c r="AZ324" s="200"/>
      <c r="BA324" s="232"/>
      <c r="BB324" s="232"/>
      <c r="BC324" s="200"/>
      <c r="BD324" s="200"/>
    </row>
    <row r="325" spans="41:56" ht="18" customHeight="1">
      <c r="AO325" s="200"/>
      <c r="AP325" s="200"/>
      <c r="AQ325" s="200"/>
      <c r="AR325" s="200"/>
      <c r="AS325" s="200"/>
      <c r="AT325" s="200"/>
      <c r="AU325" s="200"/>
      <c r="AV325" s="200"/>
      <c r="AW325" s="200"/>
      <c r="AX325" s="200"/>
      <c r="AY325" s="200"/>
      <c r="AZ325" s="200"/>
      <c r="BA325" s="232"/>
      <c r="BB325" s="232"/>
      <c r="BC325" s="200"/>
      <c r="BD325" s="200"/>
    </row>
    <row r="326" spans="41:56" ht="18" customHeight="1">
      <c r="AO326" s="200"/>
      <c r="AP326" s="200"/>
      <c r="AQ326" s="200"/>
      <c r="AR326" s="200"/>
      <c r="AS326" s="200"/>
      <c r="AT326" s="200"/>
      <c r="AU326" s="200"/>
      <c r="AV326" s="200"/>
      <c r="AW326" s="200"/>
      <c r="AX326" s="200"/>
      <c r="AY326" s="200"/>
      <c r="AZ326" s="200"/>
      <c r="BA326" s="232"/>
      <c r="BB326" s="232"/>
      <c r="BC326" s="200"/>
      <c r="BD326" s="200"/>
    </row>
    <row r="327" spans="41:56" ht="18" customHeight="1">
      <c r="AO327" s="200"/>
      <c r="AP327" s="200"/>
      <c r="AQ327" s="200"/>
      <c r="AR327" s="200"/>
      <c r="AS327" s="200"/>
      <c r="AT327" s="200"/>
      <c r="AU327" s="200"/>
      <c r="AV327" s="200"/>
      <c r="AW327" s="200"/>
      <c r="AX327" s="200"/>
      <c r="AY327" s="200"/>
      <c r="AZ327" s="200"/>
      <c r="BA327" s="232"/>
      <c r="BB327" s="232"/>
      <c r="BC327" s="200"/>
      <c r="BD327" s="200"/>
    </row>
    <row r="328" spans="41:56" ht="18" customHeight="1">
      <c r="AO328" s="200"/>
      <c r="AP328" s="200"/>
      <c r="AQ328" s="200"/>
      <c r="AR328" s="200"/>
      <c r="AS328" s="200"/>
      <c r="AT328" s="200"/>
      <c r="AU328" s="200"/>
      <c r="AV328" s="200"/>
      <c r="AW328" s="200"/>
      <c r="AX328" s="200"/>
      <c r="AY328" s="200"/>
      <c r="AZ328" s="200"/>
      <c r="BA328" s="232"/>
      <c r="BB328" s="232"/>
      <c r="BC328" s="200"/>
      <c r="BD328" s="200"/>
    </row>
    <row r="329" spans="41:56" ht="18" customHeight="1">
      <c r="AO329" s="200"/>
      <c r="AP329" s="200"/>
      <c r="AQ329" s="200"/>
      <c r="AR329" s="200"/>
      <c r="AS329" s="200"/>
      <c r="AT329" s="200"/>
      <c r="AU329" s="200"/>
      <c r="AV329" s="200"/>
      <c r="AW329" s="200"/>
      <c r="AX329" s="200"/>
      <c r="AY329" s="200"/>
      <c r="AZ329" s="200"/>
      <c r="BA329" s="232"/>
      <c r="BB329" s="232"/>
      <c r="BC329" s="200"/>
      <c r="BD329" s="200"/>
    </row>
    <row r="330" spans="41:56" ht="18" customHeight="1">
      <c r="AO330" s="200"/>
      <c r="AP330" s="200"/>
      <c r="AQ330" s="200"/>
      <c r="AR330" s="200"/>
      <c r="AS330" s="200"/>
      <c r="AT330" s="200"/>
      <c r="AU330" s="200"/>
      <c r="AV330" s="200"/>
      <c r="AW330" s="200"/>
      <c r="AX330" s="200"/>
      <c r="AY330" s="200"/>
      <c r="AZ330" s="200"/>
      <c r="BA330" s="232"/>
      <c r="BB330" s="232"/>
      <c r="BC330" s="200"/>
      <c r="BD330" s="200"/>
    </row>
    <row r="331" spans="41:56" ht="18" customHeight="1">
      <c r="AO331" s="200"/>
      <c r="AP331" s="200"/>
      <c r="AQ331" s="200"/>
      <c r="AR331" s="200"/>
      <c r="AS331" s="200"/>
      <c r="AT331" s="200"/>
      <c r="AU331" s="200"/>
      <c r="AV331" s="200"/>
      <c r="AW331" s="200"/>
      <c r="AX331" s="200"/>
      <c r="AY331" s="200"/>
      <c r="AZ331" s="200"/>
      <c r="BA331" s="232"/>
      <c r="BB331" s="232"/>
      <c r="BC331" s="200"/>
      <c r="BD331" s="200"/>
    </row>
    <row r="332" spans="41:56" ht="18" customHeight="1">
      <c r="AO332" s="200"/>
      <c r="AP332" s="200"/>
      <c r="AQ332" s="200"/>
      <c r="AR332" s="200"/>
      <c r="AS332" s="200"/>
      <c r="AT332" s="200"/>
      <c r="AU332" s="200"/>
      <c r="AV332" s="200"/>
      <c r="AW332" s="200"/>
      <c r="AX332" s="200"/>
      <c r="AY332" s="200"/>
      <c r="AZ332" s="200"/>
      <c r="BA332" s="232"/>
      <c r="BB332" s="232"/>
      <c r="BC332" s="200"/>
      <c r="BD332" s="200"/>
    </row>
    <row r="333" spans="41:56" ht="18" customHeight="1">
      <c r="AO333" s="200"/>
      <c r="AP333" s="200"/>
      <c r="AQ333" s="200"/>
      <c r="AR333" s="200"/>
      <c r="AS333" s="200"/>
      <c r="AT333" s="200"/>
      <c r="AU333" s="200"/>
      <c r="AV333" s="200"/>
      <c r="AW333" s="200"/>
      <c r="AX333" s="200"/>
      <c r="AY333" s="200"/>
      <c r="AZ333" s="200"/>
      <c r="BA333" s="232"/>
      <c r="BB333" s="232"/>
      <c r="BC333" s="200"/>
      <c r="BD333" s="200"/>
    </row>
    <row r="334" spans="41:56" ht="18" customHeight="1">
      <c r="AO334" s="200"/>
      <c r="AP334" s="200"/>
      <c r="AQ334" s="200"/>
      <c r="AR334" s="200"/>
      <c r="AS334" s="200"/>
      <c r="AT334" s="200"/>
      <c r="AU334" s="200"/>
      <c r="AV334" s="200"/>
      <c r="AW334" s="200"/>
      <c r="AX334" s="200"/>
      <c r="AY334" s="200"/>
      <c r="AZ334" s="200"/>
      <c r="BA334" s="232"/>
      <c r="BB334" s="232"/>
      <c r="BC334" s="200"/>
      <c r="BD334" s="200"/>
    </row>
    <row r="335" spans="41:56" ht="18" customHeight="1">
      <c r="AO335" s="200"/>
      <c r="AP335" s="200"/>
      <c r="AQ335" s="200"/>
      <c r="AR335" s="200"/>
      <c r="AS335" s="200"/>
      <c r="AT335" s="200"/>
      <c r="AU335" s="200"/>
      <c r="AV335" s="200"/>
      <c r="AW335" s="200"/>
      <c r="AX335" s="200"/>
      <c r="AY335" s="200"/>
      <c r="AZ335" s="200"/>
      <c r="BA335" s="232"/>
      <c r="BB335" s="232"/>
      <c r="BC335" s="200"/>
      <c r="BD335" s="200"/>
    </row>
    <row r="336" spans="41:56" ht="18" customHeight="1">
      <c r="AO336" s="200"/>
      <c r="AP336" s="200"/>
      <c r="AQ336" s="200"/>
      <c r="AR336" s="200"/>
      <c r="AS336" s="200"/>
      <c r="AT336" s="200"/>
      <c r="AU336" s="200"/>
      <c r="AV336" s="200"/>
      <c r="AW336" s="200"/>
      <c r="AX336" s="200"/>
      <c r="AY336" s="200"/>
      <c r="AZ336" s="200"/>
      <c r="BA336" s="232"/>
      <c r="BB336" s="232"/>
      <c r="BC336" s="200"/>
      <c r="BD336" s="200"/>
    </row>
    <row r="337" spans="41:56" ht="18" customHeight="1">
      <c r="AO337" s="200"/>
      <c r="AP337" s="200"/>
      <c r="AQ337" s="200"/>
      <c r="AR337" s="200"/>
      <c r="AS337" s="200"/>
      <c r="AT337" s="200"/>
      <c r="AU337" s="200"/>
      <c r="AV337" s="200"/>
      <c r="AW337" s="200"/>
      <c r="AX337" s="200"/>
      <c r="AY337" s="200"/>
      <c r="AZ337" s="200"/>
      <c r="BA337" s="232"/>
      <c r="BB337" s="232"/>
      <c r="BC337" s="200"/>
      <c r="BD337" s="200"/>
    </row>
    <row r="338" spans="41:56" ht="18" customHeight="1">
      <c r="AO338" s="200"/>
      <c r="AP338" s="200"/>
      <c r="AQ338" s="200"/>
      <c r="AR338" s="200"/>
      <c r="AS338" s="200"/>
      <c r="AT338" s="200"/>
      <c r="AU338" s="200"/>
      <c r="AV338" s="200"/>
      <c r="AW338" s="200"/>
      <c r="AX338" s="200"/>
      <c r="AY338" s="200"/>
      <c r="AZ338" s="200"/>
      <c r="BA338" s="232"/>
      <c r="BB338" s="232"/>
      <c r="BC338" s="200"/>
      <c r="BD338" s="200"/>
    </row>
    <row r="339" spans="41:56" ht="18" customHeight="1">
      <c r="AO339" s="200"/>
      <c r="AP339" s="200"/>
      <c r="AQ339" s="200"/>
      <c r="AR339" s="200"/>
      <c r="AS339" s="200"/>
      <c r="AT339" s="200"/>
      <c r="AU339" s="200"/>
      <c r="AV339" s="200"/>
      <c r="AW339" s="200"/>
      <c r="AX339" s="200"/>
      <c r="AY339" s="200"/>
      <c r="AZ339" s="200"/>
      <c r="BA339" s="232"/>
      <c r="BB339" s="232"/>
      <c r="BC339" s="200"/>
      <c r="BD339" s="200"/>
    </row>
    <row r="340" spans="41:56" ht="18" customHeight="1">
      <c r="AO340" s="200"/>
      <c r="AP340" s="200"/>
      <c r="AQ340" s="200"/>
      <c r="AR340" s="200"/>
      <c r="AS340" s="200"/>
      <c r="AT340" s="200"/>
      <c r="AU340" s="200"/>
      <c r="AV340" s="200"/>
      <c r="AW340" s="200"/>
      <c r="AX340" s="200"/>
      <c r="AY340" s="200"/>
      <c r="AZ340" s="200"/>
      <c r="BA340" s="232"/>
      <c r="BB340" s="232"/>
      <c r="BC340" s="200"/>
      <c r="BD340" s="200"/>
    </row>
    <row r="341" spans="41:56" ht="18" customHeight="1">
      <c r="AO341" s="200"/>
      <c r="AP341" s="200"/>
      <c r="AQ341" s="200"/>
      <c r="AR341" s="200"/>
      <c r="AS341" s="200"/>
      <c r="AT341" s="200"/>
      <c r="AU341" s="200"/>
      <c r="AV341" s="200"/>
      <c r="AW341" s="200"/>
      <c r="AX341" s="200"/>
      <c r="AY341" s="200"/>
      <c r="AZ341" s="200"/>
      <c r="BA341" s="232"/>
      <c r="BB341" s="232"/>
      <c r="BC341" s="200"/>
      <c r="BD341" s="200"/>
    </row>
    <row r="342" spans="41:56" ht="18" customHeight="1">
      <c r="AO342" s="200"/>
      <c r="AP342" s="200"/>
      <c r="AQ342" s="200"/>
      <c r="AR342" s="200"/>
      <c r="AS342" s="200"/>
      <c r="AT342" s="200"/>
      <c r="AU342" s="200"/>
      <c r="AV342" s="200"/>
      <c r="AW342" s="200"/>
      <c r="AX342" s="200"/>
      <c r="AY342" s="200"/>
      <c r="AZ342" s="200"/>
      <c r="BA342" s="232"/>
      <c r="BB342" s="232"/>
      <c r="BC342" s="200"/>
      <c r="BD342" s="200"/>
    </row>
    <row r="343" spans="41:56" ht="18" customHeight="1">
      <c r="AO343" s="200"/>
      <c r="AP343" s="200"/>
      <c r="AQ343" s="200"/>
      <c r="AR343" s="200"/>
      <c r="AS343" s="200"/>
      <c r="AT343" s="200"/>
      <c r="AU343" s="200"/>
      <c r="AV343" s="200"/>
      <c r="AW343" s="200"/>
      <c r="AX343" s="200"/>
      <c r="AY343" s="200"/>
      <c r="AZ343" s="200"/>
      <c r="BA343" s="232"/>
      <c r="BB343" s="232"/>
      <c r="BC343" s="200"/>
      <c r="BD343" s="200"/>
    </row>
    <row r="344" spans="41:56" ht="18" customHeight="1">
      <c r="AO344" s="200"/>
      <c r="AP344" s="200"/>
      <c r="AQ344" s="200"/>
      <c r="AR344" s="200"/>
      <c r="AS344" s="200"/>
      <c r="AT344" s="200"/>
      <c r="AU344" s="200"/>
      <c r="AV344" s="200"/>
      <c r="AW344" s="200"/>
      <c r="AX344" s="200"/>
      <c r="AY344" s="200"/>
      <c r="AZ344" s="200"/>
      <c r="BA344" s="232"/>
      <c r="BB344" s="232"/>
      <c r="BC344" s="200"/>
      <c r="BD344" s="200"/>
    </row>
    <row r="345" spans="41:56" ht="18" customHeight="1">
      <c r="AO345" s="200"/>
      <c r="AP345" s="200"/>
      <c r="AQ345" s="200"/>
      <c r="AR345" s="200"/>
      <c r="AS345" s="200"/>
      <c r="AT345" s="200"/>
      <c r="AU345" s="200"/>
      <c r="AV345" s="200"/>
      <c r="AW345" s="200"/>
      <c r="AX345" s="200"/>
      <c r="AY345" s="200"/>
      <c r="AZ345" s="200"/>
      <c r="BA345" s="232"/>
      <c r="BB345" s="232"/>
      <c r="BC345" s="200"/>
      <c r="BD345" s="200"/>
    </row>
    <row r="346" spans="41:56" ht="18" customHeight="1">
      <c r="AO346" s="200"/>
      <c r="AP346" s="200"/>
      <c r="AQ346" s="200"/>
      <c r="AR346" s="200"/>
      <c r="AS346" s="200"/>
      <c r="AT346" s="200"/>
      <c r="AU346" s="200"/>
      <c r="AV346" s="200"/>
      <c r="AW346" s="200"/>
      <c r="AX346" s="200"/>
      <c r="AY346" s="200"/>
      <c r="AZ346" s="200"/>
      <c r="BA346" s="232"/>
      <c r="BB346" s="232"/>
      <c r="BC346" s="200"/>
      <c r="BD346" s="200"/>
    </row>
    <row r="347" spans="41:56" ht="18" customHeight="1">
      <c r="AO347" s="200"/>
      <c r="AP347" s="200"/>
      <c r="AQ347" s="200"/>
      <c r="AR347" s="200"/>
      <c r="AS347" s="200"/>
      <c r="AT347" s="200"/>
      <c r="AU347" s="200"/>
      <c r="AV347" s="200"/>
      <c r="AW347" s="200"/>
      <c r="AX347" s="200"/>
      <c r="AY347" s="200"/>
      <c r="AZ347" s="200"/>
      <c r="BA347" s="232"/>
      <c r="BB347" s="232"/>
      <c r="BC347" s="200"/>
      <c r="BD347" s="200"/>
    </row>
    <row r="348" spans="41:56" ht="18" customHeight="1">
      <c r="AO348" s="200"/>
      <c r="AP348" s="200"/>
      <c r="AQ348" s="200"/>
      <c r="AR348" s="200"/>
      <c r="AS348" s="200"/>
      <c r="AT348" s="200"/>
      <c r="AU348" s="200"/>
      <c r="AV348" s="200"/>
      <c r="AW348" s="200"/>
      <c r="AX348" s="200"/>
      <c r="AY348" s="200"/>
      <c r="AZ348" s="200"/>
      <c r="BA348" s="232"/>
      <c r="BB348" s="232"/>
      <c r="BC348" s="200"/>
      <c r="BD348" s="200"/>
    </row>
    <row r="349" spans="41:56" ht="18" customHeight="1">
      <c r="AO349" s="200"/>
      <c r="AP349" s="200"/>
      <c r="AQ349" s="200"/>
      <c r="AR349" s="200"/>
      <c r="AS349" s="200"/>
      <c r="AT349" s="200"/>
      <c r="AU349" s="200"/>
      <c r="AV349" s="200"/>
      <c r="AW349" s="200"/>
      <c r="AX349" s="200"/>
      <c r="AY349" s="200"/>
      <c r="AZ349" s="200"/>
      <c r="BA349" s="232"/>
      <c r="BB349" s="232"/>
      <c r="BC349" s="200"/>
      <c r="BD349" s="200"/>
    </row>
    <row r="350" spans="41:56" ht="18" customHeight="1">
      <c r="AO350" s="200"/>
      <c r="AP350" s="200"/>
      <c r="AQ350" s="200"/>
      <c r="AR350" s="200"/>
      <c r="AS350" s="200"/>
      <c r="AT350" s="200"/>
      <c r="AU350" s="200"/>
      <c r="AV350" s="200"/>
      <c r="AW350" s="200"/>
      <c r="AX350" s="200"/>
      <c r="AY350" s="200"/>
      <c r="AZ350" s="200"/>
      <c r="BA350" s="232"/>
      <c r="BB350" s="232"/>
      <c r="BC350" s="200"/>
      <c r="BD350" s="200"/>
    </row>
    <row r="351" spans="41:56" ht="18" customHeight="1">
      <c r="AO351" s="200"/>
      <c r="AP351" s="200"/>
      <c r="AQ351" s="200"/>
      <c r="AR351" s="200"/>
      <c r="AS351" s="200"/>
      <c r="AT351" s="200"/>
      <c r="AU351" s="200"/>
      <c r="AV351" s="200"/>
      <c r="AW351" s="200"/>
      <c r="AX351" s="200"/>
      <c r="AY351" s="200"/>
      <c r="AZ351" s="200"/>
      <c r="BA351" s="232"/>
      <c r="BB351" s="232"/>
      <c r="BC351" s="200"/>
      <c r="BD351" s="200"/>
    </row>
    <row r="352" spans="41:56" ht="18" customHeight="1">
      <c r="AO352" s="200"/>
      <c r="AP352" s="200"/>
      <c r="AQ352" s="200"/>
      <c r="AR352" s="200"/>
      <c r="AS352" s="200"/>
      <c r="AT352" s="200"/>
      <c r="AU352" s="200"/>
      <c r="AV352" s="200"/>
      <c r="AW352" s="200"/>
      <c r="AX352" s="200"/>
      <c r="AY352" s="200"/>
      <c r="AZ352" s="200"/>
      <c r="BA352" s="232"/>
      <c r="BB352" s="232"/>
      <c r="BC352" s="200"/>
      <c r="BD352" s="200"/>
    </row>
    <row r="353" spans="41:56" ht="18" customHeight="1">
      <c r="AO353" s="200"/>
      <c r="AP353" s="200"/>
      <c r="AQ353" s="200"/>
      <c r="AR353" s="200"/>
      <c r="AS353" s="200"/>
      <c r="AT353" s="200"/>
      <c r="AU353" s="200"/>
      <c r="AV353" s="200"/>
      <c r="AW353" s="200"/>
      <c r="AX353" s="200"/>
      <c r="AY353" s="200"/>
      <c r="AZ353" s="200"/>
      <c r="BA353" s="232"/>
      <c r="BB353" s="232"/>
      <c r="BC353" s="200"/>
      <c r="BD353" s="200"/>
    </row>
    <row r="354" spans="41:56" ht="18" customHeight="1">
      <c r="AO354" s="200"/>
      <c r="AP354" s="200"/>
      <c r="AQ354" s="200"/>
      <c r="AR354" s="200"/>
      <c r="AS354" s="200"/>
      <c r="AT354" s="200"/>
      <c r="AU354" s="200"/>
      <c r="AV354" s="200"/>
      <c r="AW354" s="200"/>
      <c r="AX354" s="200"/>
      <c r="AY354" s="200"/>
      <c r="AZ354" s="200"/>
      <c r="BA354" s="232"/>
      <c r="BB354" s="232"/>
      <c r="BC354" s="200"/>
      <c r="BD354" s="200"/>
    </row>
    <row r="355" spans="41:56" ht="18" customHeight="1">
      <c r="AO355" s="200"/>
      <c r="AP355" s="200"/>
      <c r="AQ355" s="200"/>
      <c r="AR355" s="200"/>
      <c r="AS355" s="200"/>
      <c r="AT355" s="200"/>
      <c r="AU355" s="200"/>
      <c r="AV355" s="200"/>
      <c r="AW355" s="200"/>
      <c r="AX355" s="200"/>
      <c r="AY355" s="200"/>
      <c r="AZ355" s="200"/>
      <c r="BA355" s="232"/>
      <c r="BB355" s="232"/>
      <c r="BC355" s="200"/>
      <c r="BD355" s="200"/>
    </row>
    <row r="356" spans="41:56" ht="18" customHeight="1">
      <c r="AO356" s="200"/>
      <c r="AP356" s="200"/>
      <c r="AQ356" s="200"/>
      <c r="AR356" s="200"/>
      <c r="AS356" s="200"/>
      <c r="AT356" s="200"/>
      <c r="AU356" s="200"/>
      <c r="AV356" s="200"/>
      <c r="AW356" s="200"/>
      <c r="AX356" s="200"/>
      <c r="AY356" s="200"/>
      <c r="AZ356" s="200"/>
      <c r="BA356" s="232"/>
      <c r="BB356" s="232"/>
      <c r="BC356" s="200"/>
      <c r="BD356" s="200"/>
    </row>
    <row r="357" spans="41:56" ht="18" customHeight="1">
      <c r="AO357" s="200"/>
      <c r="AP357" s="200"/>
      <c r="AQ357" s="200"/>
      <c r="AR357" s="200"/>
      <c r="AS357" s="200"/>
      <c r="AT357" s="200"/>
      <c r="AU357" s="200"/>
      <c r="AV357" s="200"/>
      <c r="AW357" s="200"/>
      <c r="AX357" s="200"/>
      <c r="AY357" s="200"/>
      <c r="AZ357" s="200"/>
      <c r="BA357" s="232"/>
      <c r="BB357" s="232"/>
      <c r="BC357" s="200"/>
      <c r="BD357" s="200"/>
    </row>
    <row r="358" spans="41:56" ht="18" customHeight="1">
      <c r="AO358" s="200"/>
      <c r="AP358" s="200"/>
      <c r="AQ358" s="200"/>
      <c r="AR358" s="200"/>
      <c r="AS358" s="200"/>
      <c r="AT358" s="200"/>
      <c r="AU358" s="200"/>
      <c r="AV358" s="200"/>
      <c r="AW358" s="200"/>
      <c r="AX358" s="200"/>
      <c r="AY358" s="200"/>
      <c r="AZ358" s="200"/>
      <c r="BA358" s="232"/>
      <c r="BB358" s="232"/>
      <c r="BC358" s="200"/>
      <c r="BD358" s="200"/>
    </row>
    <row r="359" spans="41:56" ht="18" customHeight="1">
      <c r="AO359" s="200"/>
      <c r="AP359" s="200"/>
      <c r="AQ359" s="200"/>
      <c r="AR359" s="200"/>
      <c r="AS359" s="200"/>
      <c r="AT359" s="200"/>
      <c r="AU359" s="200"/>
      <c r="AV359" s="200"/>
      <c r="AW359" s="200"/>
      <c r="AX359" s="200"/>
      <c r="AY359" s="200"/>
      <c r="AZ359" s="200"/>
      <c r="BA359" s="232"/>
      <c r="BB359" s="232"/>
      <c r="BC359" s="200"/>
      <c r="BD359" s="200"/>
    </row>
    <row r="360" spans="41:56" ht="18" customHeight="1">
      <c r="AO360" s="200"/>
      <c r="AP360" s="200"/>
      <c r="AQ360" s="200"/>
      <c r="AR360" s="200"/>
      <c r="AS360" s="200"/>
      <c r="AT360" s="200"/>
      <c r="AU360" s="200"/>
      <c r="AV360" s="200"/>
      <c r="AW360" s="200"/>
      <c r="AX360" s="200"/>
      <c r="AY360" s="200"/>
      <c r="AZ360" s="200"/>
      <c r="BA360" s="232"/>
      <c r="BB360" s="232"/>
      <c r="BC360" s="200"/>
      <c r="BD360" s="200"/>
    </row>
    <row r="361" spans="41:56" ht="18" customHeight="1">
      <c r="AO361" s="200"/>
      <c r="AP361" s="200"/>
      <c r="AQ361" s="200"/>
      <c r="AR361" s="200"/>
      <c r="AS361" s="200"/>
      <c r="AT361" s="200"/>
      <c r="AU361" s="200"/>
      <c r="AV361" s="200"/>
      <c r="AW361" s="200"/>
      <c r="AX361" s="200"/>
      <c r="AY361" s="200"/>
      <c r="AZ361" s="200"/>
      <c r="BA361" s="232"/>
      <c r="BB361" s="232"/>
      <c r="BC361" s="200"/>
      <c r="BD361" s="200"/>
    </row>
    <row r="362" spans="41:56" ht="18" customHeight="1">
      <c r="AO362" s="200"/>
      <c r="AP362" s="200"/>
      <c r="AQ362" s="200"/>
      <c r="AR362" s="200"/>
      <c r="AS362" s="200"/>
      <c r="AT362" s="200"/>
      <c r="AU362" s="200"/>
      <c r="AV362" s="200"/>
      <c r="AW362" s="200"/>
      <c r="AX362" s="200"/>
      <c r="AY362" s="200"/>
      <c r="AZ362" s="200"/>
      <c r="BA362" s="232"/>
      <c r="BB362" s="232"/>
      <c r="BC362" s="200"/>
      <c r="BD362" s="200"/>
    </row>
    <row r="363" spans="41:56" ht="18" customHeight="1">
      <c r="AO363" s="200"/>
      <c r="AP363" s="200"/>
      <c r="AQ363" s="200"/>
      <c r="AR363" s="200"/>
      <c r="AS363" s="200"/>
      <c r="AT363" s="200"/>
      <c r="AU363" s="200"/>
      <c r="AV363" s="200"/>
      <c r="AW363" s="200"/>
      <c r="AX363" s="200"/>
      <c r="AY363" s="200"/>
      <c r="AZ363" s="200"/>
      <c r="BA363" s="232"/>
      <c r="BB363" s="232"/>
      <c r="BC363" s="200"/>
      <c r="BD363" s="200"/>
    </row>
    <row r="364" spans="41:56" ht="18" customHeight="1">
      <c r="AO364" s="200"/>
      <c r="AP364" s="200"/>
      <c r="AQ364" s="200"/>
      <c r="AR364" s="200"/>
      <c r="AS364" s="200"/>
      <c r="AT364" s="200"/>
      <c r="AU364" s="200"/>
      <c r="AV364" s="200"/>
      <c r="AW364" s="200"/>
      <c r="AX364" s="200"/>
      <c r="AY364" s="200"/>
      <c r="AZ364" s="200"/>
      <c r="BA364" s="232"/>
      <c r="BB364" s="232"/>
      <c r="BC364" s="200"/>
      <c r="BD364" s="200"/>
    </row>
    <row r="365" spans="41:56" ht="18" customHeight="1">
      <c r="AO365" s="200"/>
      <c r="AP365" s="200"/>
      <c r="AQ365" s="200"/>
      <c r="AR365" s="200"/>
      <c r="AS365" s="200"/>
      <c r="AT365" s="200"/>
      <c r="AU365" s="200"/>
      <c r="AV365" s="200"/>
      <c r="AW365" s="200"/>
      <c r="AX365" s="200"/>
      <c r="AY365" s="200"/>
      <c r="AZ365" s="200"/>
      <c r="BA365" s="232"/>
      <c r="BB365" s="232"/>
      <c r="BC365" s="200"/>
      <c r="BD365" s="200"/>
    </row>
    <row r="366" spans="41:56" ht="18" customHeight="1">
      <c r="AO366" s="200"/>
      <c r="AP366" s="200"/>
      <c r="AQ366" s="200"/>
      <c r="AR366" s="200"/>
      <c r="AS366" s="200"/>
      <c r="AT366" s="200"/>
      <c r="AU366" s="200"/>
      <c r="AV366" s="200"/>
      <c r="AW366" s="200"/>
      <c r="AX366" s="200"/>
      <c r="AY366" s="200"/>
      <c r="AZ366" s="200"/>
      <c r="BA366" s="232"/>
      <c r="BB366" s="232"/>
      <c r="BC366" s="200"/>
      <c r="BD366" s="200"/>
    </row>
    <row r="367" spans="41:56" ht="18" customHeight="1">
      <c r="AO367" s="200"/>
      <c r="AP367" s="200"/>
      <c r="AQ367" s="200"/>
      <c r="AR367" s="200"/>
      <c r="AS367" s="200"/>
      <c r="AT367" s="200"/>
      <c r="AU367" s="200"/>
      <c r="AV367" s="200"/>
      <c r="AW367" s="200"/>
      <c r="AX367" s="200"/>
      <c r="AY367" s="200"/>
      <c r="AZ367" s="200"/>
      <c r="BA367" s="232"/>
      <c r="BB367" s="232"/>
      <c r="BC367" s="200"/>
      <c r="BD367" s="200"/>
    </row>
    <row r="368" spans="41:56" ht="18" customHeight="1">
      <c r="AO368" s="200"/>
      <c r="AP368" s="200"/>
      <c r="AQ368" s="200"/>
      <c r="AR368" s="200"/>
      <c r="AS368" s="200"/>
      <c r="AT368" s="200"/>
      <c r="AU368" s="200"/>
      <c r="AV368" s="200"/>
      <c r="AW368" s="200"/>
      <c r="AX368" s="200"/>
      <c r="AY368" s="200"/>
      <c r="AZ368" s="200"/>
      <c r="BA368" s="232"/>
      <c r="BB368" s="232"/>
      <c r="BC368" s="200"/>
      <c r="BD368" s="200"/>
    </row>
    <row r="369" spans="41:56" ht="18" customHeight="1">
      <c r="AO369" s="200"/>
      <c r="AP369" s="200"/>
      <c r="AQ369" s="200"/>
      <c r="AR369" s="200"/>
      <c r="AS369" s="200"/>
      <c r="AT369" s="200"/>
      <c r="AU369" s="200"/>
      <c r="AV369" s="200"/>
      <c r="AW369" s="200"/>
      <c r="AX369" s="200"/>
      <c r="AY369" s="200"/>
      <c r="AZ369" s="200"/>
      <c r="BA369" s="232"/>
      <c r="BB369" s="232"/>
      <c r="BC369" s="200"/>
      <c r="BD369" s="200"/>
    </row>
    <row r="370" spans="41:56" ht="18" customHeight="1">
      <c r="AO370" s="200"/>
      <c r="AP370" s="200"/>
      <c r="AQ370" s="200"/>
      <c r="AR370" s="200"/>
      <c r="AS370" s="200"/>
      <c r="AT370" s="200"/>
      <c r="AU370" s="200"/>
      <c r="AV370" s="200"/>
      <c r="AW370" s="200"/>
      <c r="AX370" s="200"/>
      <c r="AY370" s="200"/>
      <c r="AZ370" s="200"/>
      <c r="BA370" s="232"/>
      <c r="BB370" s="232"/>
      <c r="BC370" s="200"/>
      <c r="BD370" s="200"/>
    </row>
    <row r="371" spans="41:56" ht="18" customHeight="1">
      <c r="AO371" s="200"/>
      <c r="AP371" s="200"/>
      <c r="AQ371" s="200"/>
      <c r="AR371" s="200"/>
      <c r="AS371" s="200"/>
      <c r="AT371" s="200"/>
      <c r="AU371" s="200"/>
      <c r="AV371" s="200"/>
      <c r="AW371" s="200"/>
      <c r="AX371" s="200"/>
      <c r="AY371" s="200"/>
      <c r="AZ371" s="200"/>
      <c r="BA371" s="232"/>
      <c r="BB371" s="232"/>
      <c r="BC371" s="200"/>
      <c r="BD371" s="200"/>
    </row>
    <row r="372" spans="41:56" ht="18" customHeight="1">
      <c r="AO372" s="200"/>
      <c r="AP372" s="200"/>
      <c r="AQ372" s="200"/>
      <c r="AR372" s="200"/>
      <c r="AS372" s="200"/>
      <c r="AT372" s="200"/>
      <c r="AU372" s="200"/>
      <c r="AV372" s="200"/>
      <c r="AW372" s="200"/>
      <c r="AX372" s="200"/>
      <c r="AY372" s="200"/>
      <c r="AZ372" s="200"/>
      <c r="BA372" s="232"/>
      <c r="BB372" s="232"/>
      <c r="BC372" s="200"/>
      <c r="BD372" s="200"/>
    </row>
    <row r="373" spans="41:56" ht="18" customHeight="1">
      <c r="AO373" s="200"/>
      <c r="AP373" s="200"/>
      <c r="AQ373" s="200"/>
      <c r="AR373" s="200"/>
      <c r="AS373" s="200"/>
      <c r="AT373" s="200"/>
      <c r="AU373" s="200"/>
      <c r="AV373" s="200"/>
      <c r="AW373" s="200"/>
      <c r="AX373" s="200"/>
      <c r="AY373" s="200"/>
      <c r="AZ373" s="200"/>
      <c r="BA373" s="232"/>
      <c r="BB373" s="232"/>
      <c r="BC373" s="200"/>
      <c r="BD373" s="200"/>
    </row>
    <row r="374" spans="41:56" ht="18" customHeight="1">
      <c r="AO374" s="200"/>
      <c r="AP374" s="200"/>
      <c r="AQ374" s="200"/>
      <c r="AR374" s="200"/>
      <c r="AS374" s="200"/>
      <c r="AT374" s="200"/>
      <c r="AU374" s="200"/>
      <c r="AV374" s="200"/>
      <c r="AW374" s="200"/>
      <c r="AX374" s="200"/>
      <c r="AY374" s="200"/>
      <c r="AZ374" s="200"/>
      <c r="BA374" s="232"/>
      <c r="BB374" s="232"/>
      <c r="BC374" s="200"/>
      <c r="BD374" s="200"/>
    </row>
    <row r="375" spans="41:56" ht="18" customHeight="1">
      <c r="AO375" s="200"/>
      <c r="AP375" s="200"/>
      <c r="AQ375" s="200"/>
      <c r="AR375" s="200"/>
      <c r="AS375" s="200"/>
      <c r="AT375" s="200"/>
      <c r="AU375" s="200"/>
      <c r="AV375" s="200"/>
      <c r="AW375" s="200"/>
      <c r="AX375" s="200"/>
      <c r="AY375" s="200"/>
      <c r="AZ375" s="200"/>
      <c r="BA375" s="232"/>
      <c r="BB375" s="232"/>
      <c r="BC375" s="200"/>
      <c r="BD375" s="200"/>
    </row>
    <row r="376" spans="41:56" ht="18" customHeight="1">
      <c r="AO376" s="200"/>
      <c r="AP376" s="200"/>
      <c r="AQ376" s="200"/>
      <c r="AR376" s="200"/>
      <c r="AS376" s="200"/>
      <c r="AT376" s="200"/>
      <c r="AU376" s="200"/>
      <c r="AV376" s="200"/>
      <c r="AW376" s="200"/>
      <c r="AX376" s="200"/>
      <c r="AY376" s="200"/>
      <c r="AZ376" s="200"/>
      <c r="BA376" s="232"/>
      <c r="BB376" s="232"/>
      <c r="BC376" s="200"/>
      <c r="BD376" s="200"/>
    </row>
    <row r="377" spans="41:56" ht="18" customHeight="1">
      <c r="AO377" s="200"/>
      <c r="AP377" s="200"/>
      <c r="AQ377" s="200"/>
      <c r="AR377" s="200"/>
      <c r="AS377" s="200"/>
      <c r="AT377" s="200"/>
      <c r="AU377" s="200"/>
      <c r="AV377" s="200"/>
      <c r="AW377" s="200"/>
      <c r="AX377" s="200"/>
      <c r="AY377" s="200"/>
      <c r="AZ377" s="200"/>
      <c r="BA377" s="232"/>
      <c r="BB377" s="232"/>
      <c r="BC377" s="200"/>
      <c r="BD377" s="200"/>
    </row>
    <row r="378" spans="41:56" ht="18" customHeight="1">
      <c r="AO378" s="200"/>
      <c r="AP378" s="200"/>
      <c r="AQ378" s="200"/>
      <c r="AR378" s="200"/>
      <c r="AS378" s="200"/>
      <c r="AT378" s="200"/>
      <c r="AU378" s="200"/>
      <c r="AV378" s="200"/>
      <c r="AW378" s="200"/>
      <c r="AX378" s="200"/>
      <c r="AY378" s="200"/>
      <c r="AZ378" s="200"/>
      <c r="BA378" s="232"/>
      <c r="BB378" s="232"/>
      <c r="BC378" s="200"/>
      <c r="BD378" s="200"/>
    </row>
    <row r="379" spans="41:56" ht="18" customHeight="1">
      <c r="AO379" s="200"/>
      <c r="AP379" s="200"/>
      <c r="AQ379" s="200"/>
      <c r="AR379" s="200"/>
      <c r="AS379" s="200"/>
      <c r="AT379" s="200"/>
      <c r="AU379" s="200"/>
      <c r="AV379" s="200"/>
      <c r="AW379" s="200"/>
      <c r="AX379" s="200"/>
      <c r="AY379" s="200"/>
      <c r="AZ379" s="200"/>
      <c r="BA379" s="232"/>
      <c r="BB379" s="232"/>
      <c r="BC379" s="200"/>
      <c r="BD379" s="200"/>
    </row>
    <row r="380" spans="41:56" ht="18" customHeight="1">
      <c r="AO380" s="200"/>
      <c r="AP380" s="200"/>
      <c r="AQ380" s="200"/>
      <c r="AR380" s="200"/>
      <c r="AS380" s="200"/>
      <c r="AT380" s="200"/>
      <c r="AU380" s="200"/>
      <c r="AV380" s="200"/>
      <c r="AW380" s="200"/>
      <c r="AX380" s="200"/>
      <c r="AY380" s="200"/>
      <c r="AZ380" s="200"/>
      <c r="BA380" s="232"/>
      <c r="BB380" s="232"/>
      <c r="BC380" s="200"/>
      <c r="BD380" s="200"/>
    </row>
    <row r="381" spans="41:56" ht="18" customHeight="1">
      <c r="AO381" s="200"/>
      <c r="AP381" s="200"/>
      <c r="AQ381" s="200"/>
      <c r="AR381" s="200"/>
      <c r="AS381" s="200"/>
      <c r="AT381" s="200"/>
      <c r="AU381" s="200"/>
      <c r="AV381" s="200"/>
      <c r="AW381" s="200"/>
      <c r="AX381" s="200"/>
      <c r="AY381" s="200"/>
      <c r="AZ381" s="200"/>
      <c r="BA381" s="232"/>
      <c r="BB381" s="232"/>
      <c r="BC381" s="200"/>
      <c r="BD381" s="200"/>
    </row>
    <row r="382" spans="41:56" ht="18" customHeight="1">
      <c r="AO382" s="200"/>
      <c r="AP382" s="200"/>
      <c r="AQ382" s="200"/>
      <c r="AR382" s="200"/>
      <c r="AS382" s="200"/>
      <c r="AT382" s="200"/>
      <c r="AU382" s="200"/>
      <c r="AV382" s="200"/>
      <c r="AW382" s="200"/>
      <c r="AX382" s="200"/>
      <c r="AY382" s="200"/>
      <c r="AZ382" s="200"/>
      <c r="BA382" s="232"/>
      <c r="BB382" s="232"/>
      <c r="BC382" s="200"/>
      <c r="BD382" s="200"/>
    </row>
    <row r="383" spans="41:56" ht="18" customHeight="1">
      <c r="AO383" s="200"/>
      <c r="AP383" s="200"/>
      <c r="AQ383" s="200"/>
      <c r="AR383" s="200"/>
      <c r="AS383" s="200"/>
      <c r="AT383" s="200"/>
      <c r="AU383" s="200"/>
      <c r="AV383" s="200"/>
      <c r="AW383" s="200"/>
      <c r="AX383" s="200"/>
      <c r="AY383" s="200"/>
      <c r="AZ383" s="200"/>
      <c r="BA383" s="232"/>
      <c r="BB383" s="232"/>
      <c r="BC383" s="200"/>
      <c r="BD383" s="200"/>
    </row>
    <row r="384" spans="41:56" ht="18" customHeight="1">
      <c r="AO384" s="200"/>
      <c r="AP384" s="200"/>
      <c r="AQ384" s="200"/>
      <c r="AR384" s="200"/>
      <c r="AS384" s="200"/>
      <c r="AT384" s="200"/>
      <c r="AU384" s="200"/>
      <c r="AV384" s="200"/>
      <c r="AW384" s="200"/>
      <c r="AX384" s="200"/>
      <c r="AY384" s="200"/>
      <c r="AZ384" s="200"/>
      <c r="BA384" s="232"/>
      <c r="BB384" s="232"/>
      <c r="BC384" s="200"/>
      <c r="BD384" s="200"/>
    </row>
    <row r="385" spans="41:56" ht="18" customHeight="1">
      <c r="AO385" s="200"/>
      <c r="AP385" s="200"/>
      <c r="AQ385" s="200"/>
      <c r="AR385" s="200"/>
      <c r="AS385" s="200"/>
      <c r="AT385" s="200"/>
      <c r="AU385" s="200"/>
      <c r="AV385" s="200"/>
      <c r="AW385" s="200"/>
      <c r="AX385" s="200"/>
      <c r="AY385" s="200"/>
      <c r="AZ385" s="200"/>
      <c r="BA385" s="232"/>
      <c r="BB385" s="232"/>
      <c r="BC385" s="200"/>
      <c r="BD385" s="200"/>
    </row>
    <row r="386" spans="41:56" ht="18" customHeight="1">
      <c r="AO386" s="200"/>
      <c r="AP386" s="200"/>
      <c r="AQ386" s="200"/>
      <c r="AR386" s="200"/>
      <c r="AS386" s="200"/>
      <c r="AT386" s="200"/>
      <c r="AU386" s="200"/>
      <c r="AV386" s="200"/>
      <c r="AW386" s="200"/>
      <c r="AX386" s="200"/>
      <c r="AY386" s="200"/>
      <c r="AZ386" s="200"/>
      <c r="BA386" s="232"/>
      <c r="BB386" s="232"/>
      <c r="BC386" s="200"/>
      <c r="BD386" s="200"/>
    </row>
    <row r="387" spans="41:56" ht="18" customHeight="1">
      <c r="AO387" s="200"/>
      <c r="AP387" s="200"/>
      <c r="AQ387" s="200"/>
      <c r="AR387" s="200"/>
      <c r="AS387" s="200"/>
      <c r="AT387" s="200"/>
      <c r="AU387" s="200"/>
      <c r="AV387" s="200"/>
      <c r="AW387" s="200"/>
      <c r="AX387" s="200"/>
      <c r="AY387" s="200"/>
      <c r="AZ387" s="200"/>
      <c r="BA387" s="232"/>
      <c r="BB387" s="232"/>
      <c r="BC387" s="200"/>
      <c r="BD387" s="200"/>
    </row>
    <row r="388" spans="41:56" ht="18" customHeight="1">
      <c r="AO388" s="200"/>
      <c r="AP388" s="200"/>
      <c r="AQ388" s="200"/>
      <c r="AR388" s="200"/>
      <c r="AS388" s="200"/>
      <c r="AT388" s="200"/>
      <c r="AU388" s="200"/>
      <c r="AV388" s="200"/>
      <c r="AW388" s="200"/>
      <c r="AX388" s="200"/>
      <c r="AY388" s="200"/>
      <c r="AZ388" s="200"/>
      <c r="BA388" s="232"/>
      <c r="BB388" s="232"/>
      <c r="BC388" s="200"/>
      <c r="BD388" s="200"/>
    </row>
    <row r="389" spans="41:56" ht="18" customHeight="1">
      <c r="AO389" s="200"/>
      <c r="AP389" s="200"/>
      <c r="AQ389" s="200"/>
      <c r="AR389" s="200"/>
      <c r="AS389" s="200"/>
      <c r="AT389" s="200"/>
      <c r="AU389" s="200"/>
      <c r="AV389" s="200"/>
      <c r="AW389" s="200"/>
      <c r="AX389" s="200"/>
      <c r="AY389" s="200"/>
      <c r="AZ389" s="200"/>
      <c r="BA389" s="232"/>
      <c r="BB389" s="232"/>
      <c r="BC389" s="200"/>
      <c r="BD389" s="200"/>
    </row>
    <row r="390" spans="41:56" ht="18" customHeight="1">
      <c r="AO390" s="200"/>
      <c r="AP390" s="200"/>
      <c r="AQ390" s="200"/>
      <c r="AR390" s="200"/>
      <c r="AS390" s="200"/>
      <c r="AT390" s="200"/>
      <c r="AU390" s="200"/>
      <c r="AV390" s="200"/>
      <c r="AW390" s="200"/>
      <c r="AX390" s="200"/>
      <c r="AY390" s="200"/>
      <c r="AZ390" s="200"/>
      <c r="BA390" s="232"/>
      <c r="BB390" s="232"/>
      <c r="BC390" s="200"/>
      <c r="BD390" s="200"/>
    </row>
    <row r="391" spans="41:56" ht="18" customHeight="1">
      <c r="AO391" s="200"/>
      <c r="AP391" s="200"/>
      <c r="AQ391" s="200"/>
      <c r="AR391" s="200"/>
      <c r="AS391" s="200"/>
      <c r="AT391" s="200"/>
      <c r="AU391" s="200"/>
      <c r="AV391" s="200"/>
      <c r="AW391" s="200"/>
      <c r="AX391" s="200"/>
      <c r="AY391" s="200"/>
      <c r="AZ391" s="200"/>
      <c r="BA391" s="232"/>
      <c r="BB391" s="232"/>
      <c r="BC391" s="200"/>
      <c r="BD391" s="200"/>
    </row>
    <row r="392" spans="41:56" ht="18" customHeight="1">
      <c r="AO392" s="200"/>
      <c r="AP392" s="200"/>
      <c r="AQ392" s="200"/>
      <c r="AR392" s="200"/>
      <c r="AS392" s="200"/>
      <c r="AT392" s="200"/>
      <c r="AU392" s="200"/>
      <c r="AV392" s="200"/>
      <c r="AW392" s="200"/>
      <c r="AX392" s="200"/>
      <c r="AY392" s="200"/>
      <c r="AZ392" s="200"/>
      <c r="BA392" s="232"/>
      <c r="BB392" s="232"/>
      <c r="BC392" s="200"/>
      <c r="BD392" s="200"/>
    </row>
    <row r="393" spans="41:56" ht="18" customHeight="1">
      <c r="AO393" s="200"/>
      <c r="AP393" s="200"/>
      <c r="AQ393" s="200"/>
      <c r="AR393" s="200"/>
      <c r="AS393" s="200"/>
      <c r="AT393" s="200"/>
      <c r="AU393" s="200"/>
      <c r="AV393" s="200"/>
      <c r="AW393" s="200"/>
      <c r="AX393" s="200"/>
      <c r="AY393" s="200"/>
      <c r="AZ393" s="200"/>
      <c r="BA393" s="232"/>
      <c r="BB393" s="232"/>
      <c r="BC393" s="200"/>
      <c r="BD393" s="200"/>
    </row>
    <row r="394" spans="41:56" ht="18" customHeight="1">
      <c r="AO394" s="200"/>
      <c r="AP394" s="200"/>
      <c r="AQ394" s="200"/>
      <c r="AR394" s="200"/>
      <c r="AS394" s="200"/>
      <c r="AT394" s="200"/>
      <c r="AU394" s="200"/>
      <c r="AV394" s="200"/>
      <c r="AW394" s="200"/>
      <c r="AX394" s="200"/>
      <c r="AY394" s="200"/>
      <c r="AZ394" s="200"/>
      <c r="BA394" s="232"/>
      <c r="BB394" s="232"/>
      <c r="BC394" s="200"/>
      <c r="BD394" s="200"/>
    </row>
    <row r="395" spans="41:56" ht="18" customHeight="1">
      <c r="AO395" s="200"/>
      <c r="AP395" s="200"/>
      <c r="AQ395" s="200"/>
      <c r="AR395" s="200"/>
      <c r="AS395" s="200"/>
      <c r="AT395" s="200"/>
      <c r="AU395" s="200"/>
      <c r="AV395" s="200"/>
      <c r="AW395" s="200"/>
      <c r="AX395" s="200"/>
      <c r="AY395" s="200"/>
      <c r="AZ395" s="200"/>
      <c r="BA395" s="232"/>
      <c r="BB395" s="232"/>
      <c r="BC395" s="200"/>
      <c r="BD395" s="200"/>
    </row>
    <row r="396" spans="41:56" ht="18" customHeight="1">
      <c r="AO396" s="200"/>
      <c r="AP396" s="200"/>
      <c r="AQ396" s="200"/>
      <c r="AR396" s="200"/>
      <c r="AS396" s="200"/>
      <c r="AT396" s="200"/>
      <c r="AU396" s="200"/>
      <c r="AV396" s="200"/>
      <c r="AW396" s="200"/>
      <c r="AX396" s="200"/>
      <c r="AY396" s="200"/>
      <c r="AZ396" s="200"/>
      <c r="BA396" s="232"/>
      <c r="BB396" s="232"/>
      <c r="BC396" s="200"/>
      <c r="BD396" s="200"/>
    </row>
    <row r="397" spans="41:56" ht="18" customHeight="1">
      <c r="AO397" s="200"/>
      <c r="AP397" s="200"/>
      <c r="AQ397" s="200"/>
      <c r="AR397" s="200"/>
      <c r="AS397" s="200"/>
      <c r="AT397" s="200"/>
      <c r="AU397" s="200"/>
      <c r="AV397" s="200"/>
      <c r="AW397" s="200"/>
      <c r="AX397" s="200"/>
      <c r="AY397" s="200"/>
      <c r="AZ397" s="200"/>
      <c r="BA397" s="232"/>
      <c r="BB397" s="232"/>
      <c r="BC397" s="200"/>
      <c r="BD397" s="200"/>
    </row>
    <row r="398" spans="41:56" ht="18" customHeight="1">
      <c r="AO398" s="200"/>
      <c r="AP398" s="200"/>
      <c r="AQ398" s="200"/>
      <c r="AR398" s="200"/>
      <c r="AS398" s="200"/>
      <c r="AT398" s="200"/>
      <c r="AU398" s="200"/>
      <c r="AV398" s="200"/>
      <c r="AW398" s="200"/>
      <c r="AX398" s="200"/>
      <c r="AY398" s="200"/>
      <c r="AZ398" s="200"/>
      <c r="BA398" s="232"/>
      <c r="BB398" s="232"/>
      <c r="BC398" s="200"/>
      <c r="BD398" s="200"/>
    </row>
    <row r="399" spans="41:56" ht="18" customHeight="1">
      <c r="AO399" s="200"/>
      <c r="AP399" s="200"/>
      <c r="AQ399" s="200"/>
      <c r="AR399" s="200"/>
      <c r="AS399" s="200"/>
      <c r="AT399" s="200"/>
      <c r="AU399" s="200"/>
      <c r="AV399" s="200"/>
      <c r="AW399" s="200"/>
      <c r="AX399" s="200"/>
      <c r="AY399" s="200"/>
      <c r="AZ399" s="200"/>
      <c r="BA399" s="232"/>
      <c r="BB399" s="232"/>
      <c r="BC399" s="200"/>
      <c r="BD399" s="200"/>
    </row>
    <row r="400" spans="41:56" ht="18" customHeight="1">
      <c r="AO400" s="200"/>
      <c r="AP400" s="200"/>
      <c r="AQ400" s="200"/>
      <c r="AR400" s="200"/>
      <c r="AS400" s="200"/>
      <c r="AT400" s="200"/>
      <c r="AU400" s="200"/>
      <c r="AV400" s="200"/>
      <c r="AW400" s="200"/>
      <c r="AX400" s="200"/>
      <c r="AY400" s="200"/>
      <c r="AZ400" s="200"/>
      <c r="BA400" s="232"/>
      <c r="BB400" s="232"/>
      <c r="BC400" s="200"/>
      <c r="BD400" s="200"/>
    </row>
    <row r="401" spans="41:56" ht="18" customHeight="1">
      <c r="AO401" s="200"/>
      <c r="AP401" s="200"/>
      <c r="AQ401" s="200"/>
      <c r="AR401" s="200"/>
      <c r="AS401" s="200"/>
      <c r="AT401" s="200"/>
      <c r="AU401" s="200"/>
      <c r="AV401" s="200"/>
      <c r="AW401" s="200"/>
      <c r="AX401" s="200"/>
      <c r="AY401" s="200"/>
      <c r="AZ401" s="200"/>
      <c r="BA401" s="232"/>
      <c r="BB401" s="232"/>
      <c r="BC401" s="200"/>
      <c r="BD401" s="200"/>
    </row>
    <row r="402" spans="41:56" ht="18" customHeight="1">
      <c r="AO402" s="200"/>
      <c r="AP402" s="200"/>
      <c r="AQ402" s="200"/>
      <c r="AR402" s="200"/>
      <c r="AS402" s="200"/>
      <c r="AT402" s="200"/>
      <c r="AU402" s="200"/>
      <c r="AV402" s="200"/>
      <c r="AW402" s="200"/>
      <c r="AX402" s="200"/>
      <c r="AY402" s="200"/>
      <c r="AZ402" s="200"/>
      <c r="BA402" s="232"/>
      <c r="BB402" s="232"/>
      <c r="BC402" s="200"/>
      <c r="BD402" s="200"/>
    </row>
    <row r="403" spans="41:56" ht="18" customHeight="1">
      <c r="AO403" s="200"/>
      <c r="AP403" s="200"/>
      <c r="AQ403" s="200"/>
      <c r="AR403" s="200"/>
      <c r="AS403" s="200"/>
      <c r="AT403" s="200"/>
      <c r="AU403" s="200"/>
      <c r="AV403" s="200"/>
      <c r="AW403" s="200"/>
      <c r="AX403" s="200"/>
      <c r="AY403" s="200"/>
      <c r="AZ403" s="200"/>
      <c r="BA403" s="232"/>
      <c r="BB403" s="232"/>
      <c r="BC403" s="200"/>
      <c r="BD403" s="200"/>
    </row>
    <row r="404" spans="41:56" ht="18" customHeight="1">
      <c r="AO404" s="200"/>
      <c r="AP404" s="200"/>
      <c r="AQ404" s="200"/>
      <c r="AR404" s="200"/>
      <c r="AS404" s="200"/>
      <c r="AT404" s="200"/>
      <c r="AU404" s="200"/>
      <c r="AV404" s="200"/>
      <c r="AW404" s="200"/>
      <c r="AX404" s="200"/>
      <c r="AY404" s="200"/>
      <c r="AZ404" s="200"/>
      <c r="BA404" s="232"/>
      <c r="BB404" s="232"/>
      <c r="BC404" s="200"/>
      <c r="BD404" s="200"/>
    </row>
    <row r="405" spans="41:56" ht="18" customHeight="1">
      <c r="AO405" s="200"/>
      <c r="AP405" s="200"/>
      <c r="AQ405" s="200"/>
      <c r="AR405" s="200"/>
      <c r="AS405" s="200"/>
      <c r="AT405" s="200"/>
      <c r="AU405" s="200"/>
      <c r="AV405" s="200"/>
      <c r="AW405" s="200"/>
      <c r="AX405" s="200"/>
      <c r="AY405" s="200"/>
      <c r="AZ405" s="200"/>
      <c r="BA405" s="232"/>
      <c r="BB405" s="232"/>
      <c r="BC405" s="200"/>
      <c r="BD405" s="200"/>
    </row>
    <row r="406" spans="41:56" ht="18" customHeight="1">
      <c r="AO406" s="200"/>
      <c r="AP406" s="200"/>
      <c r="AQ406" s="200"/>
      <c r="AR406" s="200"/>
      <c r="AS406" s="200"/>
      <c r="AT406" s="200"/>
      <c r="AU406" s="200"/>
      <c r="AV406" s="200"/>
      <c r="AW406" s="200"/>
      <c r="AX406" s="200"/>
      <c r="AY406" s="200"/>
      <c r="AZ406" s="200"/>
      <c r="BA406" s="232"/>
      <c r="BB406" s="232"/>
      <c r="BC406" s="200"/>
      <c r="BD406" s="200"/>
    </row>
    <row r="407" spans="41:56" ht="18" customHeight="1">
      <c r="AO407" s="200"/>
      <c r="AP407" s="200"/>
      <c r="AQ407" s="200"/>
      <c r="AR407" s="200"/>
      <c r="AS407" s="200"/>
      <c r="AT407" s="200"/>
      <c r="AU407" s="200"/>
      <c r="AV407" s="200"/>
      <c r="AW407" s="200"/>
      <c r="AX407" s="200"/>
      <c r="AY407" s="200"/>
      <c r="AZ407" s="200"/>
      <c r="BA407" s="232"/>
      <c r="BB407" s="232"/>
      <c r="BC407" s="200"/>
      <c r="BD407" s="200"/>
    </row>
    <row r="408" spans="41:56" ht="18" customHeight="1">
      <c r="AO408" s="200"/>
      <c r="AP408" s="200"/>
      <c r="AQ408" s="200"/>
      <c r="AR408" s="200"/>
      <c r="AS408" s="200"/>
      <c r="AT408" s="200"/>
      <c r="AU408" s="200"/>
      <c r="AV408" s="200"/>
      <c r="AW408" s="200"/>
      <c r="AX408" s="200"/>
      <c r="AY408" s="200"/>
      <c r="AZ408" s="200"/>
      <c r="BA408" s="232"/>
      <c r="BB408" s="232"/>
      <c r="BC408" s="200"/>
      <c r="BD408" s="200"/>
    </row>
    <row r="409" spans="41:56" ht="18" customHeight="1">
      <c r="AO409" s="200"/>
      <c r="AP409" s="200"/>
      <c r="AQ409" s="200"/>
      <c r="AR409" s="200"/>
      <c r="AS409" s="200"/>
      <c r="AT409" s="200"/>
      <c r="AU409" s="200"/>
      <c r="AV409" s="200"/>
      <c r="AW409" s="200"/>
      <c r="AX409" s="200"/>
      <c r="AY409" s="200"/>
      <c r="AZ409" s="200"/>
      <c r="BA409" s="232"/>
      <c r="BB409" s="232"/>
      <c r="BC409" s="200"/>
      <c r="BD409" s="200"/>
    </row>
    <row r="410" spans="41:56" ht="18" customHeight="1">
      <c r="AO410" s="200"/>
      <c r="AP410" s="200"/>
      <c r="AQ410" s="200"/>
      <c r="AR410" s="200"/>
      <c r="AS410" s="200"/>
      <c r="AT410" s="200"/>
      <c r="AU410" s="200"/>
      <c r="AV410" s="200"/>
      <c r="AW410" s="200"/>
      <c r="AX410" s="200"/>
      <c r="AY410" s="200"/>
      <c r="AZ410" s="200"/>
      <c r="BA410" s="232"/>
      <c r="BB410" s="232"/>
      <c r="BC410" s="200"/>
      <c r="BD410" s="200"/>
    </row>
    <row r="411" spans="41:56" ht="18" customHeight="1">
      <c r="AO411" s="200"/>
      <c r="AP411" s="200"/>
      <c r="AQ411" s="200"/>
      <c r="AR411" s="200"/>
      <c r="AS411" s="200"/>
      <c r="AT411" s="200"/>
      <c r="AU411" s="200"/>
      <c r="AV411" s="200"/>
      <c r="AW411" s="200"/>
      <c r="AX411" s="200"/>
      <c r="AY411" s="200"/>
      <c r="AZ411" s="200"/>
      <c r="BA411" s="232"/>
      <c r="BB411" s="232"/>
      <c r="BC411" s="200"/>
      <c r="BD411" s="200"/>
    </row>
    <row r="412" spans="41:56" ht="18" customHeight="1">
      <c r="AO412" s="200"/>
      <c r="AP412" s="200"/>
      <c r="AQ412" s="200"/>
      <c r="AR412" s="200"/>
      <c r="AS412" s="200"/>
      <c r="AT412" s="200"/>
      <c r="AU412" s="200"/>
      <c r="AV412" s="200"/>
      <c r="AW412" s="200"/>
      <c r="AX412" s="200"/>
      <c r="AY412" s="200"/>
      <c r="AZ412" s="200"/>
      <c r="BA412" s="232"/>
      <c r="BB412" s="232"/>
      <c r="BC412" s="200"/>
      <c r="BD412" s="200"/>
    </row>
    <row r="413" spans="41:56" ht="18" customHeight="1">
      <c r="AO413" s="200"/>
      <c r="AP413" s="200"/>
      <c r="AQ413" s="200"/>
      <c r="AR413" s="200"/>
      <c r="AS413" s="200"/>
      <c r="AT413" s="200"/>
      <c r="AU413" s="200"/>
      <c r="AV413" s="200"/>
      <c r="AW413" s="200"/>
      <c r="AX413" s="200"/>
      <c r="AY413" s="200"/>
      <c r="AZ413" s="200"/>
      <c r="BA413" s="232"/>
      <c r="BB413" s="232"/>
      <c r="BC413" s="200"/>
      <c r="BD413" s="200"/>
    </row>
    <row r="414" spans="41:56" ht="18" customHeight="1">
      <c r="AO414" s="200"/>
      <c r="AP414" s="200"/>
      <c r="AQ414" s="200"/>
      <c r="AR414" s="200"/>
      <c r="AS414" s="200"/>
      <c r="AT414" s="200"/>
      <c r="AU414" s="200"/>
      <c r="AV414" s="200"/>
      <c r="AW414" s="200"/>
      <c r="AX414" s="200"/>
      <c r="AY414" s="200"/>
      <c r="AZ414" s="200"/>
      <c r="BA414" s="232"/>
      <c r="BB414" s="232"/>
      <c r="BC414" s="200"/>
      <c r="BD414" s="200"/>
    </row>
    <row r="415" spans="41:56" ht="18" customHeight="1">
      <c r="AO415" s="200"/>
      <c r="AP415" s="200"/>
      <c r="AQ415" s="200"/>
      <c r="AR415" s="200"/>
      <c r="AS415" s="200"/>
      <c r="AT415" s="200"/>
      <c r="AU415" s="200"/>
      <c r="AV415" s="200"/>
      <c r="AW415" s="200"/>
      <c r="AX415" s="200"/>
      <c r="AY415" s="200"/>
      <c r="AZ415" s="200"/>
      <c r="BA415" s="232"/>
      <c r="BB415" s="232"/>
      <c r="BC415" s="200"/>
      <c r="BD415" s="200"/>
    </row>
    <row r="416" spans="41:56" ht="18" customHeight="1">
      <c r="AO416" s="200"/>
      <c r="AP416" s="200"/>
      <c r="AQ416" s="200"/>
      <c r="AR416" s="200"/>
      <c r="AS416" s="200"/>
      <c r="AT416" s="200"/>
      <c r="AU416" s="200"/>
      <c r="AV416" s="200"/>
      <c r="AW416" s="200"/>
      <c r="AX416" s="200"/>
      <c r="AY416" s="200"/>
      <c r="AZ416" s="200"/>
      <c r="BA416" s="232"/>
      <c r="BB416" s="232"/>
      <c r="BC416" s="200"/>
      <c r="BD416" s="200"/>
    </row>
    <row r="417" spans="41:56" ht="18" customHeight="1">
      <c r="AO417" s="200"/>
      <c r="AP417" s="200"/>
      <c r="AQ417" s="200"/>
      <c r="AR417" s="200"/>
      <c r="AS417" s="200"/>
      <c r="AT417" s="200"/>
      <c r="AU417" s="200"/>
      <c r="AV417" s="200"/>
      <c r="AW417" s="200"/>
      <c r="AX417" s="200"/>
      <c r="AY417" s="200"/>
      <c r="AZ417" s="200"/>
      <c r="BA417" s="232"/>
      <c r="BB417" s="232"/>
      <c r="BC417" s="200"/>
      <c r="BD417" s="200"/>
    </row>
    <row r="418" spans="41:56" ht="18" customHeight="1">
      <c r="AO418" s="200"/>
      <c r="AP418" s="200"/>
      <c r="AQ418" s="200"/>
      <c r="AR418" s="200"/>
      <c r="AS418" s="200"/>
      <c r="AT418" s="200"/>
      <c r="AU418" s="200"/>
      <c r="AV418" s="200"/>
      <c r="AW418" s="200"/>
      <c r="AX418" s="200"/>
      <c r="AY418" s="200"/>
      <c r="AZ418" s="200"/>
      <c r="BA418" s="232"/>
      <c r="BB418" s="232"/>
      <c r="BC418" s="200"/>
      <c r="BD418" s="200"/>
    </row>
    <row r="419" spans="41:56" ht="18" customHeight="1">
      <c r="AO419" s="200"/>
      <c r="AP419" s="200"/>
      <c r="AQ419" s="200"/>
      <c r="AR419" s="200"/>
      <c r="AS419" s="200"/>
      <c r="AT419" s="200"/>
      <c r="AU419" s="200"/>
      <c r="AV419" s="200"/>
      <c r="AW419" s="200"/>
      <c r="AX419" s="200"/>
      <c r="AY419" s="200"/>
      <c r="AZ419" s="200"/>
      <c r="BA419" s="232"/>
      <c r="BB419" s="232"/>
      <c r="BC419" s="200"/>
      <c r="BD419" s="200"/>
    </row>
    <row r="420" spans="41:56" ht="18" customHeight="1">
      <c r="AO420" s="200"/>
      <c r="AP420" s="200"/>
      <c r="AQ420" s="200"/>
      <c r="AR420" s="200"/>
      <c r="AS420" s="200"/>
      <c r="AT420" s="200"/>
      <c r="AU420" s="200"/>
      <c r="AV420" s="200"/>
      <c r="AW420" s="200"/>
      <c r="AX420" s="200"/>
      <c r="AY420" s="200"/>
      <c r="AZ420" s="200"/>
      <c r="BA420" s="232"/>
      <c r="BB420" s="232"/>
      <c r="BC420" s="200"/>
      <c r="BD420" s="200"/>
    </row>
    <row r="421" spans="41:56" ht="18" customHeight="1">
      <c r="AO421" s="200"/>
      <c r="AP421" s="200"/>
      <c r="AQ421" s="200"/>
      <c r="AR421" s="200"/>
      <c r="AS421" s="200"/>
      <c r="AT421" s="200"/>
      <c r="AU421" s="200"/>
      <c r="AV421" s="200"/>
      <c r="AW421" s="200"/>
      <c r="AX421" s="200"/>
      <c r="AY421" s="200"/>
      <c r="AZ421" s="200"/>
      <c r="BA421" s="232"/>
      <c r="BB421" s="232"/>
      <c r="BC421" s="200"/>
      <c r="BD421" s="200"/>
    </row>
    <row r="422" spans="41:56" ht="18" customHeight="1">
      <c r="AO422" s="200"/>
      <c r="AP422" s="200"/>
      <c r="AQ422" s="200"/>
      <c r="AR422" s="200"/>
      <c r="AS422" s="200"/>
      <c r="AT422" s="200"/>
      <c r="AU422" s="200"/>
      <c r="AV422" s="200"/>
      <c r="AW422" s="200"/>
      <c r="AX422" s="200"/>
      <c r="AY422" s="200"/>
      <c r="AZ422" s="200"/>
      <c r="BA422" s="232"/>
      <c r="BB422" s="232"/>
      <c r="BC422" s="200"/>
      <c r="BD422" s="200"/>
    </row>
    <row r="423" spans="41:56" ht="18" customHeight="1">
      <c r="AO423" s="200"/>
      <c r="AP423" s="200"/>
      <c r="AQ423" s="200"/>
      <c r="AR423" s="200"/>
      <c r="AS423" s="200"/>
      <c r="AT423" s="200"/>
      <c r="AU423" s="200"/>
      <c r="AV423" s="200"/>
      <c r="AW423" s="200"/>
      <c r="AX423" s="200"/>
      <c r="AY423" s="200"/>
      <c r="AZ423" s="200"/>
      <c r="BA423" s="232"/>
      <c r="BB423" s="232"/>
      <c r="BC423" s="200"/>
      <c r="BD423" s="200"/>
    </row>
    <row r="424" spans="41:56" ht="18" customHeight="1">
      <c r="AO424" s="200"/>
      <c r="AP424" s="200"/>
      <c r="AQ424" s="200"/>
      <c r="AR424" s="200"/>
      <c r="AS424" s="200"/>
      <c r="AT424" s="200"/>
      <c r="AU424" s="200"/>
      <c r="AV424" s="200"/>
      <c r="AW424" s="200"/>
      <c r="AX424" s="200"/>
      <c r="AY424" s="200"/>
      <c r="AZ424" s="200"/>
      <c r="BA424" s="232"/>
      <c r="BB424" s="232"/>
      <c r="BC424" s="200"/>
      <c r="BD424" s="200"/>
    </row>
    <row r="425" spans="41:56" ht="18" customHeight="1">
      <c r="AO425" s="200"/>
      <c r="AP425" s="200"/>
      <c r="AQ425" s="200"/>
      <c r="AR425" s="200"/>
      <c r="AS425" s="200"/>
      <c r="AT425" s="200"/>
      <c r="AU425" s="200"/>
      <c r="AV425" s="200"/>
      <c r="AW425" s="200"/>
      <c r="AX425" s="200"/>
      <c r="AY425" s="200"/>
      <c r="AZ425" s="200"/>
      <c r="BA425" s="232"/>
      <c r="BB425" s="232"/>
      <c r="BC425" s="200"/>
      <c r="BD425" s="200"/>
    </row>
    <row r="426" spans="41:56" ht="18" customHeight="1">
      <c r="AO426" s="200"/>
      <c r="AP426" s="200"/>
      <c r="AQ426" s="200"/>
      <c r="AR426" s="200"/>
      <c r="AS426" s="200"/>
      <c r="AT426" s="200"/>
      <c r="AU426" s="200"/>
      <c r="AV426" s="200"/>
      <c r="AW426" s="200"/>
      <c r="AX426" s="200"/>
      <c r="AY426" s="200"/>
      <c r="AZ426" s="200"/>
      <c r="BA426" s="232"/>
      <c r="BB426" s="232"/>
      <c r="BC426" s="200"/>
      <c r="BD426" s="200"/>
    </row>
    <row r="427" spans="41:56" ht="18" customHeight="1">
      <c r="AO427" s="200"/>
      <c r="AP427" s="200"/>
      <c r="AQ427" s="200"/>
      <c r="AR427" s="200"/>
      <c r="AS427" s="200"/>
      <c r="AT427" s="200"/>
      <c r="AU427" s="200"/>
      <c r="AV427" s="200"/>
      <c r="AW427" s="200"/>
      <c r="AX427" s="200"/>
      <c r="AY427" s="200"/>
      <c r="AZ427" s="200"/>
      <c r="BA427" s="232"/>
      <c r="BB427" s="232"/>
      <c r="BC427" s="200"/>
      <c r="BD427" s="200"/>
    </row>
    <row r="428" spans="41:56" ht="18" customHeight="1">
      <c r="AO428" s="200"/>
      <c r="AP428" s="200"/>
      <c r="AQ428" s="200"/>
      <c r="AR428" s="200"/>
      <c r="AS428" s="200"/>
      <c r="AT428" s="200"/>
      <c r="AU428" s="200"/>
      <c r="AV428" s="200"/>
      <c r="AW428" s="200"/>
      <c r="AX428" s="200"/>
      <c r="AY428" s="200"/>
      <c r="AZ428" s="200"/>
      <c r="BA428" s="232"/>
      <c r="BB428" s="232"/>
      <c r="BC428" s="200"/>
      <c r="BD428" s="200"/>
    </row>
    <row r="429" spans="41:56" ht="18" customHeight="1">
      <c r="AO429" s="200"/>
      <c r="AP429" s="200"/>
      <c r="AQ429" s="200"/>
      <c r="AR429" s="200"/>
      <c r="AS429" s="200"/>
      <c r="AT429" s="200"/>
      <c r="AU429" s="200"/>
      <c r="AV429" s="200"/>
      <c r="AW429" s="200"/>
      <c r="AX429" s="200"/>
      <c r="AY429" s="200"/>
      <c r="AZ429" s="200"/>
      <c r="BA429" s="232"/>
      <c r="BB429" s="232"/>
      <c r="BC429" s="200"/>
      <c r="BD429" s="200"/>
    </row>
    <row r="430" spans="41:56" ht="18" customHeight="1">
      <c r="AO430" s="200"/>
      <c r="AP430" s="200"/>
      <c r="AQ430" s="200"/>
      <c r="AR430" s="200"/>
      <c r="AS430" s="200"/>
      <c r="AT430" s="200"/>
      <c r="AU430" s="200"/>
      <c r="AV430" s="200"/>
      <c r="AW430" s="200"/>
      <c r="AX430" s="200"/>
      <c r="AY430" s="200"/>
      <c r="AZ430" s="200"/>
      <c r="BA430" s="232"/>
      <c r="BB430" s="232"/>
      <c r="BC430" s="200"/>
      <c r="BD430" s="200"/>
    </row>
    <row r="431" spans="41:56" ht="18" customHeight="1">
      <c r="AO431" s="200"/>
      <c r="AP431" s="200"/>
      <c r="AQ431" s="200"/>
      <c r="AR431" s="200"/>
      <c r="AS431" s="200"/>
      <c r="AT431" s="200"/>
      <c r="AU431" s="200"/>
      <c r="AV431" s="200"/>
      <c r="AW431" s="200"/>
      <c r="AX431" s="200"/>
      <c r="AY431" s="200"/>
      <c r="AZ431" s="200"/>
      <c r="BA431" s="232"/>
      <c r="BB431" s="232"/>
      <c r="BC431" s="200"/>
      <c r="BD431" s="200"/>
    </row>
    <row r="432" spans="41:56" ht="18" customHeight="1">
      <c r="AO432" s="200"/>
      <c r="AP432" s="200"/>
      <c r="AQ432" s="200"/>
      <c r="AR432" s="200"/>
      <c r="AS432" s="200"/>
      <c r="AT432" s="200"/>
      <c r="AU432" s="200"/>
      <c r="AV432" s="200"/>
      <c r="AW432" s="200"/>
      <c r="AX432" s="200"/>
      <c r="AY432" s="200"/>
      <c r="AZ432" s="200"/>
      <c r="BA432" s="232"/>
      <c r="BB432" s="232"/>
      <c r="BC432" s="200"/>
      <c r="BD432" s="200"/>
    </row>
    <row r="433" spans="41:56" ht="18" customHeight="1">
      <c r="AO433" s="200"/>
      <c r="AP433" s="200"/>
      <c r="AQ433" s="200"/>
      <c r="AR433" s="200"/>
      <c r="AS433" s="200"/>
      <c r="AT433" s="200"/>
      <c r="AU433" s="200"/>
      <c r="AV433" s="200"/>
      <c r="AW433" s="200"/>
      <c r="AX433" s="200"/>
      <c r="AY433" s="200"/>
      <c r="AZ433" s="200"/>
      <c r="BA433" s="232"/>
      <c r="BB433" s="232"/>
      <c r="BC433" s="200"/>
      <c r="BD433" s="200"/>
    </row>
    <row r="434" spans="41:56" ht="18" customHeight="1">
      <c r="AO434" s="200"/>
      <c r="AP434" s="200"/>
      <c r="AQ434" s="200"/>
      <c r="AR434" s="200"/>
      <c r="AS434" s="200"/>
      <c r="AT434" s="200"/>
      <c r="AU434" s="200"/>
      <c r="AV434" s="200"/>
      <c r="AW434" s="200"/>
      <c r="AX434" s="200"/>
      <c r="AY434" s="200"/>
      <c r="AZ434" s="200"/>
      <c r="BA434" s="232"/>
      <c r="BB434" s="232"/>
      <c r="BC434" s="200"/>
      <c r="BD434" s="200"/>
    </row>
    <row r="435" spans="41:56" ht="18" customHeight="1">
      <c r="AO435" s="200"/>
      <c r="AP435" s="200"/>
      <c r="AQ435" s="200"/>
      <c r="AR435" s="200"/>
      <c r="AS435" s="200"/>
      <c r="AT435" s="200"/>
      <c r="AU435" s="200"/>
      <c r="AV435" s="200"/>
      <c r="AW435" s="200"/>
      <c r="AX435" s="200"/>
      <c r="AY435" s="200"/>
      <c r="AZ435" s="200"/>
      <c r="BA435" s="232"/>
      <c r="BB435" s="232"/>
      <c r="BC435" s="200"/>
      <c r="BD435" s="200"/>
    </row>
    <row r="436" spans="41:56" ht="18" customHeight="1">
      <c r="AO436" s="200"/>
      <c r="AP436" s="200"/>
      <c r="AQ436" s="200"/>
      <c r="AR436" s="200"/>
      <c r="AS436" s="200"/>
      <c r="AT436" s="200"/>
      <c r="AU436" s="200"/>
      <c r="AV436" s="200"/>
      <c r="AW436" s="200"/>
      <c r="AX436" s="200"/>
      <c r="AY436" s="200"/>
      <c r="AZ436" s="200"/>
      <c r="BA436" s="232"/>
      <c r="BB436" s="232"/>
      <c r="BC436" s="200"/>
      <c r="BD436" s="200"/>
    </row>
    <row r="437" spans="41:56" ht="18" customHeight="1">
      <c r="AO437" s="200"/>
      <c r="AP437" s="200"/>
      <c r="AQ437" s="200"/>
      <c r="AR437" s="200"/>
      <c r="AS437" s="200"/>
      <c r="AT437" s="200"/>
      <c r="AU437" s="200"/>
      <c r="AV437" s="200"/>
      <c r="AW437" s="200"/>
      <c r="AX437" s="200"/>
      <c r="AY437" s="200"/>
      <c r="AZ437" s="200"/>
      <c r="BA437" s="232"/>
      <c r="BB437" s="232"/>
      <c r="BC437" s="200"/>
      <c r="BD437" s="200"/>
    </row>
    <row r="438" spans="41:56" ht="18" customHeight="1">
      <c r="AO438" s="200"/>
      <c r="AP438" s="200"/>
      <c r="AQ438" s="200"/>
      <c r="AR438" s="200"/>
      <c r="AS438" s="200"/>
      <c r="AT438" s="200"/>
      <c r="AU438" s="200"/>
      <c r="AV438" s="200"/>
      <c r="AW438" s="200"/>
      <c r="AX438" s="200"/>
      <c r="AY438" s="200"/>
      <c r="AZ438" s="200"/>
      <c r="BA438" s="232"/>
      <c r="BB438" s="232"/>
      <c r="BC438" s="200"/>
      <c r="BD438" s="200"/>
    </row>
    <row r="439" spans="41:56" ht="18" customHeight="1">
      <c r="AO439" s="200"/>
      <c r="AP439" s="200"/>
      <c r="AQ439" s="200"/>
      <c r="AR439" s="200"/>
      <c r="AS439" s="200"/>
      <c r="AT439" s="200"/>
      <c r="AU439" s="200"/>
      <c r="AV439" s="200"/>
      <c r="AW439" s="200"/>
      <c r="AX439" s="200"/>
      <c r="AY439" s="200"/>
      <c r="AZ439" s="200"/>
      <c r="BA439" s="232"/>
      <c r="BB439" s="232"/>
      <c r="BC439" s="200"/>
      <c r="BD439" s="200"/>
    </row>
    <row r="440" spans="41:56" ht="18" customHeight="1">
      <c r="AO440" s="200"/>
      <c r="AP440" s="200"/>
      <c r="AQ440" s="200"/>
      <c r="AR440" s="200"/>
      <c r="AS440" s="200"/>
      <c r="AT440" s="200"/>
      <c r="AU440" s="200"/>
      <c r="AV440" s="200"/>
      <c r="AW440" s="200"/>
      <c r="AX440" s="200"/>
      <c r="AY440" s="200"/>
      <c r="AZ440" s="200"/>
      <c r="BA440" s="232"/>
      <c r="BB440" s="232"/>
      <c r="BC440" s="200"/>
      <c r="BD440" s="200"/>
    </row>
    <row r="441" spans="41:56" ht="18" customHeight="1">
      <c r="AO441" s="200"/>
      <c r="AP441" s="200"/>
      <c r="AQ441" s="200"/>
      <c r="AR441" s="200"/>
      <c r="AS441" s="200"/>
      <c r="AT441" s="200"/>
      <c r="AU441" s="200"/>
      <c r="AV441" s="200"/>
      <c r="AW441" s="200"/>
      <c r="AX441" s="200"/>
      <c r="AY441" s="200"/>
      <c r="AZ441" s="200"/>
      <c r="BA441" s="232"/>
      <c r="BB441" s="232"/>
      <c r="BC441" s="200"/>
      <c r="BD441" s="200"/>
    </row>
    <row r="442" spans="41:56" ht="18" customHeight="1">
      <c r="AO442" s="200"/>
      <c r="AP442" s="200"/>
      <c r="AQ442" s="200"/>
      <c r="AR442" s="200"/>
      <c r="AS442" s="200"/>
      <c r="AT442" s="200"/>
      <c r="AU442" s="200"/>
      <c r="AV442" s="200"/>
      <c r="AW442" s="200"/>
      <c r="AX442" s="200"/>
      <c r="AY442" s="200"/>
      <c r="AZ442" s="200"/>
      <c r="BA442" s="232"/>
      <c r="BB442" s="232"/>
      <c r="BC442" s="200"/>
      <c r="BD442" s="200"/>
    </row>
    <row r="443" spans="41:56" ht="18" customHeight="1">
      <c r="AO443" s="200"/>
      <c r="AP443" s="200"/>
      <c r="AQ443" s="200"/>
      <c r="AR443" s="200"/>
      <c r="AS443" s="200"/>
      <c r="AT443" s="200"/>
      <c r="AU443" s="200"/>
      <c r="AV443" s="200"/>
      <c r="AW443" s="200"/>
      <c r="AX443" s="200"/>
      <c r="AY443" s="200"/>
      <c r="AZ443" s="200"/>
      <c r="BA443" s="232"/>
      <c r="BB443" s="232"/>
      <c r="BC443" s="200"/>
      <c r="BD443" s="200"/>
    </row>
    <row r="444" spans="41:56" ht="18" customHeight="1">
      <c r="AO444" s="200"/>
      <c r="AP444" s="200"/>
      <c r="AQ444" s="200"/>
      <c r="AR444" s="200"/>
      <c r="AS444" s="200"/>
      <c r="AT444" s="200"/>
      <c r="AU444" s="200"/>
      <c r="AV444" s="200"/>
      <c r="AW444" s="200"/>
      <c r="AX444" s="200"/>
      <c r="AY444" s="200"/>
      <c r="AZ444" s="200"/>
      <c r="BA444" s="232"/>
      <c r="BB444" s="232"/>
      <c r="BC444" s="200"/>
      <c r="BD444" s="200"/>
    </row>
    <row r="445" spans="41:56" ht="18" customHeight="1">
      <c r="AO445" s="200"/>
      <c r="AP445" s="200"/>
      <c r="AQ445" s="200"/>
      <c r="AR445" s="200"/>
      <c r="AS445" s="200"/>
      <c r="AT445" s="200"/>
      <c r="AU445" s="200"/>
      <c r="AV445" s="200"/>
      <c r="AW445" s="200"/>
      <c r="AX445" s="200"/>
      <c r="AY445" s="200"/>
      <c r="AZ445" s="200"/>
      <c r="BA445" s="232"/>
      <c r="BB445" s="232"/>
      <c r="BC445" s="200"/>
      <c r="BD445" s="200"/>
    </row>
    <row r="446" spans="41:56" ht="18" customHeight="1">
      <c r="AO446" s="200"/>
      <c r="AP446" s="200"/>
      <c r="AQ446" s="200"/>
      <c r="AR446" s="200"/>
      <c r="AS446" s="200"/>
      <c r="AT446" s="200"/>
      <c r="AU446" s="200"/>
      <c r="AV446" s="200"/>
      <c r="AW446" s="200"/>
      <c r="AX446" s="200"/>
      <c r="AY446" s="200"/>
      <c r="AZ446" s="200"/>
      <c r="BA446" s="232"/>
      <c r="BB446" s="232"/>
      <c r="BC446" s="200"/>
      <c r="BD446" s="200"/>
    </row>
    <row r="447" spans="41:56" ht="18" customHeight="1">
      <c r="AO447" s="200"/>
      <c r="AP447" s="200"/>
      <c r="AQ447" s="200"/>
      <c r="AR447" s="200"/>
      <c r="AS447" s="200"/>
      <c r="AT447" s="200"/>
      <c r="AU447" s="200"/>
      <c r="AV447" s="200"/>
      <c r="AW447" s="200"/>
      <c r="AX447" s="200"/>
      <c r="AY447" s="200"/>
      <c r="AZ447" s="200"/>
      <c r="BA447" s="232"/>
      <c r="BB447" s="232"/>
      <c r="BC447" s="200"/>
      <c r="BD447" s="200"/>
    </row>
    <row r="448" spans="41:56" ht="18" customHeight="1">
      <c r="AO448" s="200"/>
      <c r="AP448" s="200"/>
      <c r="AQ448" s="200"/>
      <c r="AR448" s="200"/>
      <c r="AS448" s="200"/>
      <c r="AT448" s="200"/>
      <c r="AU448" s="200"/>
      <c r="AV448" s="200"/>
      <c r="AW448" s="200"/>
      <c r="AX448" s="200"/>
      <c r="AY448" s="200"/>
      <c r="AZ448" s="200"/>
      <c r="BA448" s="232"/>
      <c r="BB448" s="232"/>
      <c r="BC448" s="200"/>
      <c r="BD448" s="200"/>
    </row>
    <row r="449" spans="41:56" ht="18" customHeight="1">
      <c r="AO449" s="200"/>
      <c r="AP449" s="200"/>
      <c r="AQ449" s="200"/>
      <c r="AR449" s="200"/>
      <c r="AS449" s="200"/>
      <c r="AT449" s="200"/>
      <c r="AU449" s="200"/>
      <c r="AV449" s="200"/>
      <c r="AW449" s="200"/>
      <c r="AX449" s="200"/>
      <c r="AY449" s="200"/>
      <c r="AZ449" s="200"/>
      <c r="BA449" s="232"/>
      <c r="BB449" s="232"/>
      <c r="BC449" s="200"/>
      <c r="BD449" s="200"/>
    </row>
    <row r="450" spans="41:56" ht="18" customHeight="1">
      <c r="AO450" s="200"/>
      <c r="AP450" s="200"/>
      <c r="AQ450" s="200"/>
      <c r="AR450" s="200"/>
      <c r="AS450" s="200"/>
      <c r="AT450" s="200"/>
      <c r="AU450" s="200"/>
      <c r="AV450" s="200"/>
      <c r="AW450" s="200"/>
      <c r="AX450" s="200"/>
      <c r="AY450" s="200"/>
      <c r="AZ450" s="200"/>
      <c r="BA450" s="232"/>
      <c r="BB450" s="232"/>
      <c r="BC450" s="200"/>
      <c r="BD450" s="200"/>
    </row>
    <row r="451" spans="41:56" ht="18" customHeight="1">
      <c r="AO451" s="200"/>
      <c r="AP451" s="200"/>
      <c r="AQ451" s="200"/>
      <c r="AR451" s="200"/>
      <c r="AS451" s="200"/>
      <c r="AT451" s="200"/>
      <c r="AU451" s="200"/>
      <c r="AV451" s="200"/>
      <c r="AW451" s="200"/>
      <c r="AX451" s="200"/>
      <c r="AY451" s="200"/>
      <c r="AZ451" s="200"/>
      <c r="BA451" s="232"/>
      <c r="BB451" s="232"/>
      <c r="BC451" s="200"/>
      <c r="BD451" s="200"/>
    </row>
    <row r="452" spans="41:56" ht="18" customHeight="1">
      <c r="AO452" s="200"/>
      <c r="AP452" s="200"/>
      <c r="AQ452" s="200"/>
      <c r="AR452" s="200"/>
      <c r="AS452" s="200"/>
      <c r="AT452" s="200"/>
      <c r="AU452" s="200"/>
      <c r="AV452" s="200"/>
      <c r="AW452" s="200"/>
      <c r="AX452" s="200"/>
      <c r="AY452" s="200"/>
      <c r="AZ452" s="200"/>
      <c r="BA452" s="232"/>
      <c r="BB452" s="232"/>
      <c r="BC452" s="200"/>
      <c r="BD452" s="200"/>
    </row>
    <row r="453" spans="41:56" ht="18" customHeight="1">
      <c r="AO453" s="200"/>
      <c r="AP453" s="200"/>
      <c r="AQ453" s="200"/>
      <c r="AR453" s="200"/>
      <c r="AS453" s="200"/>
      <c r="AT453" s="200"/>
      <c r="AU453" s="200"/>
      <c r="AV453" s="200"/>
      <c r="AW453" s="200"/>
      <c r="AX453" s="200"/>
      <c r="AY453" s="200"/>
      <c r="AZ453" s="200"/>
      <c r="BA453" s="232"/>
      <c r="BB453" s="232"/>
      <c r="BC453" s="200"/>
      <c r="BD453" s="200"/>
    </row>
    <row r="454" spans="41:56" ht="18" customHeight="1">
      <c r="AO454" s="200"/>
      <c r="AP454" s="200"/>
      <c r="AQ454" s="200"/>
      <c r="AR454" s="200"/>
      <c r="AS454" s="200"/>
      <c r="AT454" s="200"/>
      <c r="AU454" s="200"/>
      <c r="AV454" s="200"/>
      <c r="AW454" s="200"/>
      <c r="AX454" s="200"/>
      <c r="AY454" s="200"/>
      <c r="AZ454" s="200"/>
      <c r="BA454" s="232"/>
      <c r="BB454" s="232"/>
      <c r="BC454" s="200"/>
      <c r="BD454" s="200"/>
    </row>
    <row r="455" spans="41:56" ht="18" customHeight="1">
      <c r="AO455" s="200"/>
      <c r="AP455" s="200"/>
      <c r="AQ455" s="200"/>
      <c r="AR455" s="200"/>
      <c r="AS455" s="200"/>
      <c r="AT455" s="200"/>
      <c r="AU455" s="200"/>
      <c r="AV455" s="200"/>
      <c r="AW455" s="200"/>
      <c r="AX455" s="200"/>
      <c r="AY455" s="200"/>
      <c r="AZ455" s="200"/>
      <c r="BA455" s="232"/>
      <c r="BB455" s="232"/>
      <c r="BC455" s="200"/>
      <c r="BD455" s="200"/>
    </row>
    <row r="456" spans="41:56" ht="18" customHeight="1">
      <c r="AO456" s="200"/>
      <c r="AP456" s="200"/>
      <c r="AQ456" s="200"/>
      <c r="AR456" s="200"/>
      <c r="AS456" s="200"/>
      <c r="AT456" s="200"/>
      <c r="AU456" s="200"/>
      <c r="AV456" s="200"/>
      <c r="AW456" s="200"/>
      <c r="AX456" s="200"/>
      <c r="AY456" s="200"/>
      <c r="AZ456" s="200"/>
      <c r="BA456" s="232"/>
      <c r="BB456" s="232"/>
      <c r="BC456" s="200"/>
      <c r="BD456" s="200"/>
    </row>
    <row r="457" spans="41:56" ht="18" customHeight="1">
      <c r="AO457" s="200"/>
      <c r="AP457" s="200"/>
      <c r="AQ457" s="200"/>
      <c r="AR457" s="200"/>
      <c r="AS457" s="200"/>
      <c r="AT457" s="200"/>
      <c r="AU457" s="200"/>
      <c r="AV457" s="200"/>
      <c r="AW457" s="200"/>
      <c r="AX457" s="200"/>
      <c r="AY457" s="200"/>
      <c r="AZ457" s="200"/>
      <c r="BA457" s="232"/>
      <c r="BB457" s="232"/>
      <c r="BC457" s="200"/>
      <c r="BD457" s="200"/>
    </row>
    <row r="458" spans="41:56" ht="18" customHeight="1">
      <c r="AO458" s="200"/>
      <c r="AP458" s="200"/>
      <c r="AQ458" s="200"/>
      <c r="AR458" s="200"/>
      <c r="AS458" s="200"/>
      <c r="AT458" s="200"/>
      <c r="AU458" s="200"/>
      <c r="AV458" s="200"/>
      <c r="AW458" s="200"/>
      <c r="AX458" s="200"/>
      <c r="AY458" s="200"/>
      <c r="AZ458" s="200"/>
      <c r="BA458" s="232"/>
      <c r="BB458" s="232"/>
      <c r="BC458" s="200"/>
      <c r="BD458" s="200"/>
    </row>
    <row r="459" spans="41:56" ht="18" customHeight="1">
      <c r="AO459" s="200"/>
      <c r="AP459" s="200"/>
      <c r="AQ459" s="200"/>
      <c r="AR459" s="200"/>
      <c r="AS459" s="200"/>
      <c r="AT459" s="200"/>
      <c r="AU459" s="200"/>
      <c r="AV459" s="200"/>
      <c r="AW459" s="200"/>
      <c r="AX459" s="200"/>
      <c r="AY459" s="200"/>
      <c r="AZ459" s="200"/>
      <c r="BA459" s="232"/>
      <c r="BB459" s="232"/>
      <c r="BC459" s="200"/>
      <c r="BD459" s="200"/>
    </row>
    <row r="460" spans="41:56" ht="18" customHeight="1">
      <c r="AO460" s="200"/>
      <c r="AP460" s="200"/>
      <c r="AQ460" s="200"/>
      <c r="AR460" s="200"/>
      <c r="AS460" s="200"/>
      <c r="AT460" s="200"/>
      <c r="AU460" s="200"/>
      <c r="AV460" s="200"/>
      <c r="AW460" s="200"/>
      <c r="AX460" s="200"/>
      <c r="AY460" s="200"/>
      <c r="AZ460" s="200"/>
      <c r="BA460" s="232"/>
      <c r="BB460" s="232"/>
      <c r="BC460" s="200"/>
      <c r="BD460" s="200"/>
    </row>
    <row r="461" spans="41:56" ht="18" customHeight="1">
      <c r="AO461" s="200"/>
      <c r="AP461" s="200"/>
      <c r="AQ461" s="200"/>
      <c r="AR461" s="200"/>
      <c r="AS461" s="200"/>
      <c r="AT461" s="200"/>
      <c r="AU461" s="200"/>
      <c r="AV461" s="200"/>
      <c r="AW461" s="200"/>
      <c r="AX461" s="200"/>
      <c r="AY461" s="200"/>
      <c r="AZ461" s="200"/>
      <c r="BA461" s="232"/>
      <c r="BB461" s="232"/>
      <c r="BC461" s="200"/>
      <c r="BD461" s="200"/>
    </row>
    <row r="462" spans="41:56" ht="18" customHeight="1">
      <c r="AO462" s="200"/>
      <c r="AP462" s="200"/>
      <c r="AQ462" s="200"/>
      <c r="AR462" s="200"/>
      <c r="AS462" s="200"/>
      <c r="AT462" s="200"/>
      <c r="AU462" s="200"/>
      <c r="AV462" s="200"/>
      <c r="AW462" s="200"/>
      <c r="AX462" s="200"/>
      <c r="AY462" s="200"/>
      <c r="AZ462" s="200"/>
      <c r="BA462" s="232"/>
      <c r="BB462" s="232"/>
      <c r="BC462" s="200"/>
      <c r="BD462" s="200"/>
    </row>
    <row r="463" spans="41:56" ht="18" customHeight="1">
      <c r="AO463" s="200"/>
      <c r="AP463" s="200"/>
      <c r="AQ463" s="200"/>
      <c r="AR463" s="200"/>
      <c r="AS463" s="200"/>
      <c r="AT463" s="200"/>
      <c r="AU463" s="200"/>
      <c r="AV463" s="200"/>
      <c r="AW463" s="200"/>
      <c r="AX463" s="200"/>
      <c r="AY463" s="200"/>
      <c r="AZ463" s="200"/>
      <c r="BA463" s="232"/>
      <c r="BB463" s="232"/>
      <c r="BC463" s="200"/>
      <c r="BD463" s="200"/>
    </row>
    <row r="464" spans="41:56" ht="18" customHeight="1">
      <c r="AO464" s="200"/>
      <c r="AP464" s="200"/>
      <c r="AQ464" s="200"/>
      <c r="AR464" s="200"/>
      <c r="AS464" s="200"/>
      <c r="AT464" s="200"/>
      <c r="AU464" s="200"/>
      <c r="AV464" s="200"/>
      <c r="AW464" s="200"/>
      <c r="AX464" s="200"/>
      <c r="AY464" s="200"/>
      <c r="AZ464" s="200"/>
      <c r="BA464" s="232"/>
      <c r="BB464" s="232"/>
      <c r="BC464" s="200"/>
      <c r="BD464" s="200"/>
    </row>
    <row r="465" spans="41:56" ht="18" customHeight="1">
      <c r="AO465" s="200"/>
      <c r="AP465" s="200"/>
      <c r="AQ465" s="200"/>
      <c r="AR465" s="200"/>
      <c r="AS465" s="200"/>
      <c r="AT465" s="200"/>
      <c r="AU465" s="200"/>
      <c r="AV465" s="200"/>
      <c r="AW465" s="200"/>
      <c r="AX465" s="200"/>
      <c r="AY465" s="200"/>
      <c r="AZ465" s="200"/>
      <c r="BA465" s="232"/>
      <c r="BB465" s="232"/>
      <c r="BC465" s="200"/>
      <c r="BD465" s="200"/>
    </row>
    <row r="466" spans="41:56" ht="18" customHeight="1">
      <c r="AO466" s="200"/>
      <c r="AP466" s="200"/>
      <c r="AQ466" s="200"/>
      <c r="AR466" s="200"/>
      <c r="AS466" s="200"/>
      <c r="AT466" s="200"/>
      <c r="AU466" s="200"/>
      <c r="AV466" s="200"/>
      <c r="AW466" s="200"/>
      <c r="AX466" s="200"/>
      <c r="AY466" s="200"/>
      <c r="AZ466" s="200"/>
      <c r="BA466" s="232"/>
      <c r="BB466" s="232"/>
      <c r="BC466" s="200"/>
      <c r="BD466" s="200"/>
    </row>
    <row r="467" spans="41:56" ht="18" customHeight="1">
      <c r="AO467" s="200"/>
      <c r="AP467" s="200"/>
      <c r="AQ467" s="200"/>
      <c r="AR467" s="200"/>
      <c r="AS467" s="200"/>
      <c r="AT467" s="200"/>
      <c r="AU467" s="200"/>
      <c r="AV467" s="200"/>
      <c r="AW467" s="200"/>
      <c r="AX467" s="200"/>
      <c r="AY467" s="200"/>
      <c r="AZ467" s="200"/>
      <c r="BA467" s="232"/>
      <c r="BB467" s="232"/>
      <c r="BC467" s="200"/>
      <c r="BD467" s="200"/>
    </row>
    <row r="468" spans="41:56" ht="18" customHeight="1">
      <c r="AO468" s="200"/>
      <c r="AP468" s="200"/>
      <c r="AQ468" s="200"/>
      <c r="AR468" s="200"/>
      <c r="AS468" s="200"/>
      <c r="AT468" s="200"/>
      <c r="AU468" s="200"/>
      <c r="AV468" s="200"/>
      <c r="AW468" s="200"/>
      <c r="AX468" s="200"/>
      <c r="AY468" s="200"/>
      <c r="AZ468" s="200"/>
      <c r="BA468" s="232"/>
      <c r="BB468" s="232"/>
      <c r="BC468" s="200"/>
      <c r="BD468" s="200"/>
    </row>
    <row r="469" spans="41:56" ht="18" customHeight="1">
      <c r="AO469" s="200"/>
      <c r="AP469" s="200"/>
      <c r="AQ469" s="200"/>
      <c r="AR469" s="200"/>
      <c r="AS469" s="200"/>
      <c r="AT469" s="200"/>
      <c r="AU469" s="200"/>
      <c r="AV469" s="200"/>
      <c r="AW469" s="200"/>
      <c r="AX469" s="200"/>
      <c r="AY469" s="200"/>
      <c r="AZ469" s="200"/>
      <c r="BA469" s="232"/>
      <c r="BB469" s="232"/>
      <c r="BC469" s="200"/>
      <c r="BD469" s="200"/>
    </row>
    <row r="470" spans="41:56" ht="18" customHeight="1">
      <c r="AO470" s="200"/>
      <c r="AP470" s="200"/>
      <c r="AQ470" s="200"/>
      <c r="AR470" s="200"/>
      <c r="AS470" s="200"/>
      <c r="AT470" s="200"/>
      <c r="AU470" s="200"/>
      <c r="AV470" s="200"/>
      <c r="AW470" s="200"/>
      <c r="AX470" s="200"/>
      <c r="AY470" s="200"/>
      <c r="AZ470" s="200"/>
      <c r="BA470" s="232"/>
      <c r="BB470" s="232"/>
      <c r="BC470" s="200"/>
      <c r="BD470" s="200"/>
    </row>
    <row r="471" spans="41:56" ht="18" customHeight="1">
      <c r="AO471" s="200"/>
      <c r="AP471" s="200"/>
      <c r="AQ471" s="200"/>
      <c r="AR471" s="200"/>
      <c r="AS471" s="200"/>
      <c r="AT471" s="200"/>
      <c r="AU471" s="200"/>
      <c r="AV471" s="200"/>
      <c r="AW471" s="200"/>
      <c r="AX471" s="200"/>
      <c r="AY471" s="200"/>
      <c r="AZ471" s="200"/>
      <c r="BA471" s="232"/>
      <c r="BB471" s="232"/>
      <c r="BC471" s="200"/>
      <c r="BD471" s="200"/>
    </row>
    <row r="472" spans="41:56" ht="18" customHeight="1">
      <c r="AO472" s="200"/>
      <c r="AP472" s="200"/>
      <c r="AQ472" s="200"/>
      <c r="AR472" s="200"/>
      <c r="AS472" s="200"/>
      <c r="AT472" s="200"/>
      <c r="AU472" s="200"/>
      <c r="AV472" s="200"/>
      <c r="AW472" s="200"/>
      <c r="AX472" s="200"/>
      <c r="AY472" s="200"/>
      <c r="AZ472" s="200"/>
      <c r="BA472" s="232"/>
      <c r="BB472" s="232"/>
      <c r="BC472" s="200"/>
      <c r="BD472" s="200"/>
    </row>
    <row r="473" spans="41:56" ht="18" customHeight="1">
      <c r="AO473" s="200"/>
      <c r="AP473" s="200"/>
      <c r="AQ473" s="200"/>
      <c r="AR473" s="200"/>
      <c r="AS473" s="200"/>
      <c r="AT473" s="200"/>
      <c r="AU473" s="200"/>
      <c r="AV473" s="200"/>
      <c r="AW473" s="200"/>
      <c r="AX473" s="200"/>
      <c r="AY473" s="200"/>
      <c r="AZ473" s="200"/>
      <c r="BA473" s="232"/>
      <c r="BB473" s="232"/>
      <c r="BC473" s="200"/>
      <c r="BD473" s="200"/>
    </row>
    <row r="474" spans="41:56" ht="18" customHeight="1">
      <c r="AO474" s="200"/>
      <c r="AP474" s="200"/>
      <c r="AQ474" s="200"/>
      <c r="AR474" s="200"/>
      <c r="AS474" s="200"/>
      <c r="AT474" s="200"/>
      <c r="AU474" s="200"/>
      <c r="AV474" s="200"/>
      <c r="AW474" s="200"/>
      <c r="AX474" s="200"/>
      <c r="AY474" s="200"/>
      <c r="AZ474" s="200"/>
      <c r="BA474" s="232"/>
      <c r="BB474" s="232"/>
      <c r="BC474" s="200"/>
      <c r="BD474" s="200"/>
    </row>
    <row r="475" spans="41:56" ht="18" customHeight="1">
      <c r="AO475" s="200"/>
      <c r="AP475" s="200"/>
      <c r="AQ475" s="200"/>
      <c r="AR475" s="200"/>
      <c r="AS475" s="200"/>
      <c r="AT475" s="200"/>
      <c r="AU475" s="200"/>
      <c r="AV475" s="200"/>
      <c r="AW475" s="200"/>
      <c r="AX475" s="200"/>
      <c r="AY475" s="200"/>
      <c r="AZ475" s="200"/>
      <c r="BA475" s="232"/>
      <c r="BB475" s="232"/>
      <c r="BC475" s="200"/>
      <c r="BD475" s="200"/>
    </row>
    <row r="476" spans="41:56" ht="18" customHeight="1">
      <c r="AO476" s="200"/>
      <c r="AP476" s="200"/>
      <c r="AQ476" s="200"/>
      <c r="AR476" s="200"/>
      <c r="AS476" s="200"/>
      <c r="AT476" s="200"/>
      <c r="AU476" s="200"/>
      <c r="AV476" s="200"/>
      <c r="AW476" s="200"/>
      <c r="AX476" s="200"/>
      <c r="AY476" s="200"/>
      <c r="AZ476" s="200"/>
      <c r="BA476" s="232"/>
      <c r="BB476" s="232"/>
      <c r="BC476" s="200"/>
      <c r="BD476" s="200"/>
    </row>
    <row r="477" spans="41:56" ht="18" customHeight="1">
      <c r="AO477" s="200"/>
      <c r="AP477" s="200"/>
      <c r="AQ477" s="200"/>
      <c r="AR477" s="200"/>
      <c r="AS477" s="200"/>
      <c r="AT477" s="200"/>
      <c r="AU477" s="200"/>
      <c r="AV477" s="200"/>
      <c r="AW477" s="200"/>
      <c r="AX477" s="200"/>
      <c r="AY477" s="200"/>
      <c r="AZ477" s="200"/>
      <c r="BA477" s="232"/>
      <c r="BB477" s="232"/>
      <c r="BC477" s="200"/>
      <c r="BD477" s="200"/>
    </row>
    <row r="478" spans="41:56" ht="18" customHeight="1">
      <c r="AO478" s="200"/>
      <c r="AP478" s="200"/>
      <c r="AQ478" s="200"/>
      <c r="AR478" s="200"/>
      <c r="AS478" s="200"/>
      <c r="AT478" s="200"/>
      <c r="AU478" s="200"/>
      <c r="AV478" s="200"/>
      <c r="AW478" s="200"/>
      <c r="AX478" s="200"/>
      <c r="AY478" s="200"/>
      <c r="AZ478" s="200"/>
      <c r="BA478" s="232"/>
      <c r="BB478" s="232"/>
      <c r="BC478" s="200"/>
      <c r="BD478" s="200"/>
    </row>
    <row r="479" spans="41:56" ht="18" customHeight="1">
      <c r="AO479" s="200"/>
      <c r="AP479" s="200"/>
      <c r="AQ479" s="200"/>
      <c r="AR479" s="200"/>
      <c r="AS479" s="200"/>
      <c r="AT479" s="200"/>
      <c r="AU479" s="200"/>
      <c r="AV479" s="200"/>
      <c r="AW479" s="200"/>
      <c r="AX479" s="200"/>
      <c r="AY479" s="200"/>
      <c r="AZ479" s="200"/>
      <c r="BA479" s="232"/>
      <c r="BB479" s="232"/>
      <c r="BC479" s="200"/>
      <c r="BD479" s="200"/>
    </row>
    <row r="480" spans="41:56" ht="18" customHeight="1">
      <c r="AO480" s="200"/>
      <c r="AP480" s="200"/>
      <c r="AQ480" s="200"/>
      <c r="AR480" s="200"/>
      <c r="AS480" s="200"/>
      <c r="AT480" s="200"/>
      <c r="AU480" s="200"/>
      <c r="AV480" s="200"/>
      <c r="AW480" s="200"/>
      <c r="AX480" s="200"/>
      <c r="AY480" s="200"/>
      <c r="AZ480" s="200"/>
      <c r="BA480" s="232"/>
      <c r="BB480" s="232"/>
      <c r="BC480" s="200"/>
      <c r="BD480" s="200"/>
    </row>
    <row r="481" spans="41:56" ht="18" customHeight="1">
      <c r="AO481" s="200"/>
      <c r="AP481" s="200"/>
      <c r="AQ481" s="200"/>
      <c r="AR481" s="200"/>
      <c r="AS481" s="200"/>
      <c r="AT481" s="200"/>
      <c r="AU481" s="200"/>
      <c r="AV481" s="200"/>
      <c r="AW481" s="200"/>
      <c r="AX481" s="200"/>
      <c r="AY481" s="200"/>
      <c r="AZ481" s="200"/>
      <c r="BA481" s="232"/>
      <c r="BB481" s="232"/>
      <c r="BC481" s="200"/>
      <c r="BD481" s="200"/>
    </row>
    <row r="482" spans="41:56" ht="18" customHeight="1">
      <c r="AO482" s="200"/>
      <c r="AP482" s="200"/>
      <c r="AQ482" s="200"/>
      <c r="AR482" s="200"/>
      <c r="AS482" s="200"/>
      <c r="AT482" s="200"/>
      <c r="AU482" s="200"/>
      <c r="AV482" s="200"/>
      <c r="AW482" s="200"/>
      <c r="AX482" s="200"/>
      <c r="AY482" s="200"/>
      <c r="AZ482" s="200"/>
      <c r="BA482" s="232"/>
      <c r="BB482" s="232"/>
      <c r="BC482" s="200"/>
      <c r="BD482" s="200"/>
    </row>
    <row r="483" spans="41:56" ht="18" customHeight="1">
      <c r="AO483" s="200"/>
      <c r="AP483" s="200"/>
      <c r="AQ483" s="200"/>
      <c r="AR483" s="200"/>
      <c r="AS483" s="200"/>
      <c r="AT483" s="200"/>
      <c r="AU483" s="200"/>
      <c r="AV483" s="200"/>
      <c r="AW483" s="200"/>
      <c r="AX483" s="200"/>
      <c r="AY483" s="200"/>
      <c r="AZ483" s="200"/>
      <c r="BA483" s="232"/>
      <c r="BB483" s="232"/>
      <c r="BC483" s="200"/>
      <c r="BD483" s="200"/>
    </row>
    <row r="484" spans="41:56" ht="18" customHeight="1">
      <c r="AO484" s="200"/>
      <c r="AP484" s="200"/>
      <c r="AQ484" s="200"/>
      <c r="AR484" s="200"/>
      <c r="AS484" s="200"/>
      <c r="AT484" s="200"/>
      <c r="AU484" s="200"/>
      <c r="AV484" s="200"/>
      <c r="AW484" s="200"/>
      <c r="AX484" s="200"/>
      <c r="AY484" s="200"/>
      <c r="AZ484" s="200"/>
      <c r="BA484" s="232"/>
      <c r="BB484" s="232"/>
      <c r="BC484" s="200"/>
      <c r="BD484" s="200"/>
    </row>
    <row r="485" spans="41:56" ht="18" customHeight="1">
      <c r="AO485" s="200"/>
      <c r="AP485" s="200"/>
      <c r="AQ485" s="200"/>
      <c r="AR485" s="200"/>
      <c r="AS485" s="200"/>
      <c r="AT485" s="200"/>
      <c r="AU485" s="200"/>
      <c r="AV485" s="200"/>
      <c r="AW485" s="200"/>
      <c r="AX485" s="200"/>
      <c r="AY485" s="200"/>
      <c r="AZ485" s="200"/>
      <c r="BA485" s="232"/>
      <c r="BB485" s="232"/>
      <c r="BC485" s="200"/>
      <c r="BD485" s="200"/>
    </row>
    <row r="486" spans="41:56" ht="18" customHeight="1">
      <c r="AO486" s="200"/>
      <c r="AP486" s="200"/>
      <c r="AQ486" s="200"/>
      <c r="AR486" s="200"/>
      <c r="AS486" s="200"/>
      <c r="AT486" s="200"/>
      <c r="AU486" s="200"/>
      <c r="AV486" s="200"/>
      <c r="AW486" s="200"/>
      <c r="AX486" s="200"/>
      <c r="AY486" s="200"/>
      <c r="AZ486" s="200"/>
      <c r="BA486" s="232"/>
      <c r="BB486" s="232"/>
      <c r="BC486" s="200"/>
      <c r="BD486" s="200"/>
    </row>
    <row r="487" spans="41:56" ht="18" customHeight="1">
      <c r="AO487" s="200"/>
      <c r="AP487" s="200"/>
      <c r="AQ487" s="200"/>
      <c r="AR487" s="200"/>
      <c r="AS487" s="200"/>
      <c r="AT487" s="200"/>
      <c r="AU487" s="200"/>
      <c r="AV487" s="200"/>
      <c r="AW487" s="200"/>
      <c r="AX487" s="200"/>
      <c r="AY487" s="200"/>
      <c r="AZ487" s="200"/>
      <c r="BA487" s="232"/>
      <c r="BB487" s="232"/>
      <c r="BC487" s="200"/>
      <c r="BD487" s="200"/>
    </row>
    <row r="488" spans="41:56" ht="18" customHeight="1">
      <c r="AO488" s="200"/>
      <c r="AP488" s="200"/>
      <c r="AQ488" s="200"/>
      <c r="AR488" s="200"/>
      <c r="AS488" s="200"/>
      <c r="AT488" s="200"/>
      <c r="AU488" s="200"/>
      <c r="AV488" s="200"/>
      <c r="AW488" s="200"/>
      <c r="AX488" s="200"/>
      <c r="AY488" s="200"/>
      <c r="AZ488" s="200"/>
      <c r="BA488" s="232"/>
      <c r="BB488" s="232"/>
      <c r="BC488" s="200"/>
      <c r="BD488" s="200"/>
    </row>
    <row r="489" spans="41:56" ht="18" customHeight="1">
      <c r="AO489" s="200"/>
      <c r="AP489" s="200"/>
      <c r="AQ489" s="200"/>
      <c r="AR489" s="200"/>
      <c r="AS489" s="200"/>
      <c r="AT489" s="200"/>
      <c r="AU489" s="200"/>
      <c r="AV489" s="200"/>
      <c r="AW489" s="200"/>
      <c r="AX489" s="200"/>
      <c r="AY489" s="200"/>
      <c r="AZ489" s="200"/>
      <c r="BA489" s="232"/>
      <c r="BB489" s="232"/>
      <c r="BC489" s="200"/>
      <c r="BD489" s="200"/>
    </row>
    <row r="490" spans="41:56" ht="18" customHeight="1">
      <c r="AO490" s="200"/>
      <c r="AP490" s="200"/>
      <c r="AQ490" s="200"/>
      <c r="AR490" s="200"/>
      <c r="AS490" s="200"/>
      <c r="AT490" s="200"/>
      <c r="AU490" s="200"/>
      <c r="AV490" s="200"/>
      <c r="AW490" s="200"/>
      <c r="AX490" s="200"/>
      <c r="AY490" s="200"/>
      <c r="AZ490" s="200"/>
      <c r="BA490" s="232"/>
      <c r="BB490" s="232"/>
      <c r="BC490" s="200"/>
      <c r="BD490" s="200"/>
    </row>
    <row r="491" spans="41:56" ht="18" customHeight="1">
      <c r="AO491" s="200"/>
      <c r="AP491" s="200"/>
      <c r="AQ491" s="200"/>
      <c r="AR491" s="200"/>
      <c r="AS491" s="200"/>
      <c r="AT491" s="200"/>
      <c r="AU491" s="200"/>
      <c r="AV491" s="200"/>
      <c r="AW491" s="200"/>
      <c r="AX491" s="200"/>
      <c r="AY491" s="200"/>
      <c r="AZ491" s="200"/>
      <c r="BA491" s="232"/>
      <c r="BB491" s="232"/>
      <c r="BC491" s="200"/>
      <c r="BD491" s="200"/>
    </row>
    <row r="492" spans="41:56" ht="18" customHeight="1">
      <c r="AO492" s="200"/>
      <c r="AP492" s="200"/>
      <c r="AQ492" s="200"/>
      <c r="AR492" s="200"/>
      <c r="AS492" s="200"/>
      <c r="AT492" s="200"/>
      <c r="AU492" s="200"/>
      <c r="AV492" s="200"/>
      <c r="AW492" s="200"/>
      <c r="AX492" s="200"/>
      <c r="AY492" s="200"/>
      <c r="AZ492" s="200"/>
      <c r="BA492" s="232"/>
      <c r="BB492" s="232"/>
      <c r="BC492" s="200"/>
      <c r="BD492" s="200"/>
    </row>
    <row r="493" spans="41:56" ht="18" customHeight="1">
      <c r="AO493" s="200"/>
      <c r="AP493" s="200"/>
      <c r="AQ493" s="200"/>
      <c r="AR493" s="200"/>
      <c r="AS493" s="200"/>
      <c r="AT493" s="200"/>
      <c r="AU493" s="200"/>
      <c r="AV493" s="200"/>
      <c r="AW493" s="200"/>
      <c r="AX493" s="200"/>
      <c r="AY493" s="200"/>
      <c r="AZ493" s="200"/>
      <c r="BA493" s="232"/>
      <c r="BB493" s="232"/>
      <c r="BC493" s="200"/>
      <c r="BD493" s="200"/>
    </row>
    <row r="494" spans="41:56" ht="18" customHeight="1">
      <c r="AO494" s="200"/>
      <c r="AP494" s="200"/>
      <c r="AQ494" s="200"/>
      <c r="AR494" s="200"/>
      <c r="AS494" s="200"/>
      <c r="AT494" s="200"/>
      <c r="AU494" s="200"/>
      <c r="AV494" s="200"/>
      <c r="AW494" s="200"/>
      <c r="AX494" s="200"/>
      <c r="AY494" s="200"/>
      <c r="AZ494" s="200"/>
      <c r="BA494" s="232"/>
      <c r="BB494" s="232"/>
      <c r="BC494" s="200"/>
      <c r="BD494" s="200"/>
    </row>
    <row r="495" spans="41:56" ht="18" customHeight="1">
      <c r="AO495" s="200"/>
      <c r="AP495" s="200"/>
      <c r="AQ495" s="200"/>
      <c r="AR495" s="200"/>
      <c r="AS495" s="200"/>
      <c r="AT495" s="200"/>
      <c r="AU495" s="200"/>
      <c r="AV495" s="200"/>
      <c r="AW495" s="200"/>
      <c r="AX495" s="200"/>
      <c r="AY495" s="200"/>
      <c r="AZ495" s="200"/>
      <c r="BA495" s="232"/>
      <c r="BB495" s="232"/>
      <c r="BC495" s="200"/>
      <c r="BD495" s="200"/>
    </row>
    <row r="496" spans="41:56" ht="18" customHeight="1">
      <c r="AO496" s="200"/>
      <c r="AP496" s="200"/>
      <c r="AQ496" s="200"/>
      <c r="AR496" s="200"/>
      <c r="AS496" s="200"/>
      <c r="AT496" s="200"/>
      <c r="AU496" s="200"/>
      <c r="AV496" s="200"/>
      <c r="AW496" s="200"/>
      <c r="AX496" s="200"/>
      <c r="AY496" s="200"/>
      <c r="AZ496" s="200"/>
      <c r="BA496" s="232"/>
      <c r="BB496" s="232"/>
      <c r="BC496" s="200"/>
      <c r="BD496" s="200"/>
    </row>
    <row r="497" spans="41:56" ht="18" customHeight="1">
      <c r="AO497" s="200"/>
      <c r="AP497" s="200"/>
      <c r="AQ497" s="200"/>
      <c r="AR497" s="200"/>
      <c r="AS497" s="200"/>
      <c r="AT497" s="200"/>
      <c r="AU497" s="200"/>
      <c r="AV497" s="200"/>
      <c r="AW497" s="200"/>
      <c r="AX497" s="200"/>
      <c r="AY497" s="200"/>
      <c r="AZ497" s="200"/>
      <c r="BA497" s="232"/>
      <c r="BB497" s="232"/>
      <c r="BC497" s="200"/>
      <c r="BD497" s="200"/>
    </row>
    <row r="498" spans="41:56" ht="18" customHeight="1">
      <c r="AO498" s="200"/>
      <c r="AP498" s="200"/>
      <c r="AQ498" s="200"/>
      <c r="AR498" s="200"/>
      <c r="AS498" s="200"/>
      <c r="AT498" s="200"/>
      <c r="AU498" s="200"/>
      <c r="AV498" s="200"/>
      <c r="AW498" s="200"/>
      <c r="AX498" s="200"/>
      <c r="AY498" s="200"/>
      <c r="AZ498" s="200"/>
      <c r="BA498" s="232"/>
      <c r="BB498" s="232"/>
      <c r="BC498" s="200"/>
      <c r="BD498" s="200"/>
    </row>
    <row r="499" spans="41:56" ht="18" customHeight="1">
      <c r="AO499" s="200"/>
      <c r="AP499" s="200"/>
      <c r="AQ499" s="200"/>
      <c r="AR499" s="200"/>
      <c r="AS499" s="200"/>
      <c r="AT499" s="200"/>
      <c r="AU499" s="200"/>
      <c r="AV499" s="200"/>
      <c r="AW499" s="200"/>
      <c r="AX499" s="200"/>
      <c r="AY499" s="200"/>
      <c r="AZ499" s="200"/>
      <c r="BA499" s="232"/>
      <c r="BB499" s="232"/>
      <c r="BC499" s="200"/>
      <c r="BD499" s="200"/>
    </row>
    <row r="500" spans="41:56" ht="18" customHeight="1">
      <c r="AO500" s="200"/>
      <c r="AP500" s="200"/>
      <c r="AQ500" s="200"/>
      <c r="AR500" s="200"/>
      <c r="AS500" s="200"/>
      <c r="AT500" s="200"/>
      <c r="AU500" s="200"/>
      <c r="AV500" s="200"/>
      <c r="AW500" s="200"/>
      <c r="AX500" s="200"/>
      <c r="AY500" s="200"/>
      <c r="AZ500" s="200"/>
      <c r="BA500" s="232"/>
      <c r="BB500" s="232"/>
      <c r="BC500" s="200"/>
      <c r="BD500" s="200"/>
    </row>
    <row r="501" spans="41:56" ht="18" customHeight="1">
      <c r="AO501" s="200"/>
      <c r="AP501" s="200"/>
      <c r="AQ501" s="200"/>
      <c r="AR501" s="200"/>
      <c r="AS501" s="200"/>
      <c r="AT501" s="200"/>
      <c r="AU501" s="200"/>
      <c r="AV501" s="200"/>
      <c r="AW501" s="200"/>
      <c r="AX501" s="200"/>
      <c r="AY501" s="200"/>
      <c r="AZ501" s="200"/>
      <c r="BA501" s="232"/>
      <c r="BB501" s="232"/>
      <c r="BC501" s="200"/>
      <c r="BD501" s="200"/>
    </row>
    <row r="502" spans="41:56" ht="18" customHeight="1">
      <c r="AO502" s="200"/>
      <c r="AP502" s="200"/>
      <c r="AQ502" s="200"/>
      <c r="AR502" s="200"/>
      <c r="AS502" s="200"/>
      <c r="AT502" s="200"/>
      <c r="AU502" s="200"/>
      <c r="AV502" s="200"/>
      <c r="AW502" s="200"/>
      <c r="AX502" s="200"/>
      <c r="AY502" s="200"/>
      <c r="AZ502" s="200"/>
      <c r="BA502" s="232"/>
      <c r="BB502" s="232"/>
      <c r="BC502" s="200"/>
      <c r="BD502" s="200"/>
    </row>
    <row r="503" spans="41:56" ht="18" customHeight="1">
      <c r="AO503" s="200"/>
      <c r="AP503" s="200"/>
      <c r="AQ503" s="200"/>
      <c r="AR503" s="200"/>
      <c r="AS503" s="200"/>
      <c r="AT503" s="200"/>
      <c r="AU503" s="200"/>
      <c r="AV503" s="200"/>
      <c r="AW503" s="200"/>
      <c r="AX503" s="200"/>
      <c r="AY503" s="200"/>
      <c r="AZ503" s="200"/>
      <c r="BA503" s="232"/>
      <c r="BB503" s="232"/>
      <c r="BC503" s="200"/>
      <c r="BD503" s="200"/>
    </row>
    <row r="504" spans="41:56" ht="18" customHeight="1">
      <c r="AO504" s="200"/>
      <c r="AP504" s="200"/>
      <c r="AQ504" s="200"/>
      <c r="AR504" s="200"/>
      <c r="AS504" s="200"/>
      <c r="AT504" s="200"/>
      <c r="AU504" s="200"/>
      <c r="AV504" s="200"/>
      <c r="AW504" s="200"/>
      <c r="AX504" s="200"/>
      <c r="AY504" s="200"/>
      <c r="AZ504" s="200"/>
      <c r="BA504" s="232"/>
      <c r="BB504" s="232"/>
      <c r="BC504" s="200"/>
      <c r="BD504" s="200"/>
    </row>
    <row r="505" spans="41:56" ht="18" customHeight="1">
      <c r="AO505" s="200"/>
      <c r="AP505" s="200"/>
      <c r="AQ505" s="200"/>
      <c r="AR505" s="200"/>
      <c r="AS505" s="200"/>
      <c r="AT505" s="200"/>
      <c r="AU505" s="200"/>
      <c r="AV505" s="200"/>
      <c r="AW505" s="200"/>
      <c r="AX505" s="200"/>
      <c r="AY505" s="200"/>
      <c r="AZ505" s="200"/>
      <c r="BA505" s="232"/>
      <c r="BB505" s="232"/>
      <c r="BC505" s="200"/>
      <c r="BD505" s="200"/>
    </row>
    <row r="506" spans="41:56" ht="18" customHeight="1">
      <c r="AO506" s="200"/>
      <c r="AP506" s="200"/>
      <c r="AQ506" s="200"/>
      <c r="AR506" s="200"/>
      <c r="AS506" s="200"/>
      <c r="AT506" s="200"/>
      <c r="AU506" s="200"/>
      <c r="AV506" s="200"/>
      <c r="AW506" s="200"/>
      <c r="AX506" s="200"/>
      <c r="AY506" s="200"/>
      <c r="AZ506" s="200"/>
      <c r="BA506" s="232"/>
      <c r="BB506" s="232"/>
      <c r="BC506" s="200"/>
      <c r="BD506" s="200"/>
    </row>
    <row r="507" spans="41:56" ht="18" customHeight="1">
      <c r="AO507" s="200"/>
      <c r="AP507" s="200"/>
      <c r="AQ507" s="200"/>
      <c r="AR507" s="200"/>
      <c r="AS507" s="200"/>
      <c r="AT507" s="200"/>
      <c r="AU507" s="200"/>
      <c r="AV507" s="200"/>
      <c r="AW507" s="200"/>
      <c r="AX507" s="200"/>
      <c r="AY507" s="200"/>
      <c r="AZ507" s="200"/>
      <c r="BA507" s="232"/>
      <c r="BB507" s="232"/>
      <c r="BC507" s="200"/>
      <c r="BD507" s="200"/>
    </row>
    <row r="508" spans="41:56" ht="18" customHeight="1">
      <c r="AO508" s="200"/>
      <c r="AP508" s="200"/>
      <c r="AQ508" s="200"/>
      <c r="AR508" s="200"/>
      <c r="AS508" s="200"/>
      <c r="AT508" s="200"/>
      <c r="AU508" s="200"/>
      <c r="AV508" s="200"/>
      <c r="AW508" s="200"/>
      <c r="AX508" s="200"/>
      <c r="AY508" s="200"/>
      <c r="AZ508" s="200"/>
      <c r="BA508" s="232"/>
      <c r="BB508" s="232"/>
      <c r="BC508" s="200"/>
      <c r="BD508" s="200"/>
    </row>
    <row r="509" spans="41:56" ht="18" customHeight="1">
      <c r="AO509" s="200"/>
      <c r="AP509" s="200"/>
      <c r="AQ509" s="200"/>
      <c r="AR509" s="200"/>
      <c r="AS509" s="200"/>
      <c r="AT509" s="200"/>
      <c r="AU509" s="200"/>
      <c r="AV509" s="200"/>
      <c r="AW509" s="200"/>
      <c r="AX509" s="200"/>
      <c r="AY509" s="200"/>
      <c r="AZ509" s="200"/>
      <c r="BA509" s="232"/>
      <c r="BB509" s="232"/>
      <c r="BC509" s="200"/>
      <c r="BD509" s="200"/>
    </row>
    <row r="510" spans="41:56" ht="18" customHeight="1">
      <c r="AO510" s="200"/>
      <c r="AP510" s="200"/>
      <c r="AQ510" s="200"/>
      <c r="AR510" s="200"/>
      <c r="AS510" s="200"/>
      <c r="AT510" s="200"/>
      <c r="AU510" s="200"/>
      <c r="AV510" s="200"/>
      <c r="AW510" s="200"/>
      <c r="AX510" s="200"/>
      <c r="AY510" s="200"/>
      <c r="AZ510" s="200"/>
      <c r="BA510" s="232"/>
      <c r="BB510" s="232"/>
      <c r="BC510" s="200"/>
      <c r="BD510" s="200"/>
    </row>
    <row r="511" spans="41:56" ht="18" customHeight="1">
      <c r="AO511" s="200"/>
      <c r="AP511" s="200"/>
      <c r="AQ511" s="200"/>
      <c r="AR511" s="200"/>
      <c r="AS511" s="200"/>
      <c r="AT511" s="200"/>
      <c r="AU511" s="200"/>
      <c r="AV511" s="200"/>
      <c r="AW511" s="200"/>
      <c r="AX511" s="200"/>
      <c r="AY511" s="200"/>
      <c r="AZ511" s="200"/>
      <c r="BA511" s="232"/>
      <c r="BB511" s="232"/>
      <c r="BC511" s="200"/>
      <c r="BD511" s="200"/>
    </row>
    <row r="512" spans="41:56" ht="18" customHeight="1">
      <c r="AO512" s="200"/>
      <c r="AP512" s="200"/>
      <c r="AQ512" s="200"/>
      <c r="AR512" s="200"/>
      <c r="AS512" s="200"/>
      <c r="AT512" s="200"/>
      <c r="AU512" s="200"/>
      <c r="AV512" s="200"/>
      <c r="AW512" s="200"/>
      <c r="AX512" s="200"/>
      <c r="AY512" s="200"/>
      <c r="AZ512" s="200"/>
      <c r="BA512" s="232"/>
      <c r="BB512" s="232"/>
      <c r="BC512" s="200"/>
      <c r="BD512" s="200"/>
    </row>
    <row r="513" spans="41:56" ht="18" customHeight="1">
      <c r="AO513" s="200"/>
      <c r="AP513" s="200"/>
      <c r="AQ513" s="200"/>
      <c r="AR513" s="200"/>
      <c r="AS513" s="200"/>
      <c r="AT513" s="200"/>
      <c r="AU513" s="200"/>
      <c r="AV513" s="200"/>
      <c r="AW513" s="200"/>
      <c r="AX513" s="200"/>
      <c r="AY513" s="200"/>
      <c r="AZ513" s="200"/>
      <c r="BA513" s="232"/>
      <c r="BB513" s="232"/>
      <c r="BC513" s="200"/>
      <c r="BD513" s="200"/>
    </row>
    <row r="514" spans="41:56" ht="18" customHeight="1">
      <c r="AO514" s="200"/>
      <c r="AP514" s="200"/>
      <c r="AQ514" s="200"/>
      <c r="AR514" s="200"/>
      <c r="AS514" s="200"/>
      <c r="AT514" s="200"/>
      <c r="AU514" s="200"/>
      <c r="AV514" s="200"/>
      <c r="AW514" s="200"/>
      <c r="AX514" s="200"/>
      <c r="AY514" s="200"/>
      <c r="AZ514" s="200"/>
      <c r="BA514" s="232"/>
      <c r="BB514" s="232"/>
      <c r="BC514" s="200"/>
      <c r="BD514" s="200"/>
    </row>
    <row r="515" spans="41:56" ht="18" customHeight="1">
      <c r="AO515" s="200"/>
      <c r="AP515" s="200"/>
      <c r="AQ515" s="200"/>
      <c r="AR515" s="200"/>
      <c r="AS515" s="200"/>
      <c r="AT515" s="200"/>
      <c r="AU515" s="200"/>
      <c r="AV515" s="200"/>
      <c r="AW515" s="200"/>
      <c r="AX515" s="200"/>
      <c r="AY515" s="200"/>
      <c r="AZ515" s="200"/>
      <c r="BA515" s="232"/>
      <c r="BB515" s="232"/>
      <c r="BC515" s="200"/>
      <c r="BD515" s="200"/>
    </row>
    <row r="516" spans="41:56" ht="18" customHeight="1">
      <c r="AO516" s="200"/>
      <c r="AP516" s="200"/>
      <c r="AQ516" s="200"/>
      <c r="AR516" s="200"/>
      <c r="AS516" s="200"/>
      <c r="AT516" s="200"/>
      <c r="AU516" s="200"/>
      <c r="AV516" s="200"/>
      <c r="AW516" s="200"/>
      <c r="AX516" s="200"/>
      <c r="AY516" s="200"/>
      <c r="AZ516" s="200"/>
      <c r="BA516" s="232"/>
      <c r="BB516" s="232"/>
      <c r="BC516" s="200"/>
      <c r="BD516" s="200"/>
    </row>
    <row r="517" spans="41:56" ht="18" customHeight="1">
      <c r="AO517" s="200"/>
      <c r="AP517" s="200"/>
      <c r="AQ517" s="200"/>
      <c r="AR517" s="200"/>
      <c r="AS517" s="200"/>
      <c r="AT517" s="200"/>
      <c r="AU517" s="200"/>
      <c r="AV517" s="200"/>
      <c r="AW517" s="200"/>
      <c r="AX517" s="200"/>
      <c r="AY517" s="200"/>
      <c r="AZ517" s="200"/>
      <c r="BA517" s="232"/>
      <c r="BB517" s="232"/>
      <c r="BC517" s="200"/>
      <c r="BD517" s="200"/>
    </row>
    <row r="518" spans="41:56" ht="18" customHeight="1">
      <c r="AO518" s="200"/>
      <c r="AP518" s="200"/>
      <c r="AQ518" s="200"/>
      <c r="AR518" s="200"/>
      <c r="AS518" s="200"/>
      <c r="AT518" s="200"/>
      <c r="AU518" s="200"/>
      <c r="AV518" s="200"/>
      <c r="AW518" s="200"/>
      <c r="AX518" s="200"/>
      <c r="AY518" s="200"/>
      <c r="AZ518" s="200"/>
      <c r="BA518" s="232"/>
      <c r="BB518" s="232"/>
      <c r="BC518" s="200"/>
      <c r="BD518" s="200"/>
    </row>
    <row r="519" spans="41:56" ht="18" customHeight="1">
      <c r="AO519" s="200"/>
      <c r="AP519" s="200"/>
      <c r="AQ519" s="200"/>
      <c r="AR519" s="200"/>
      <c r="AS519" s="200"/>
      <c r="AT519" s="200"/>
      <c r="AU519" s="200"/>
      <c r="AV519" s="200"/>
      <c r="AW519" s="200"/>
      <c r="AX519" s="200"/>
      <c r="AY519" s="200"/>
      <c r="AZ519" s="200"/>
      <c r="BA519" s="232"/>
      <c r="BB519" s="232"/>
      <c r="BC519" s="200"/>
      <c r="BD519" s="200"/>
    </row>
    <row r="520" spans="41:56" ht="18" customHeight="1">
      <c r="AO520" s="200"/>
      <c r="AP520" s="200"/>
      <c r="AQ520" s="200"/>
      <c r="AR520" s="200"/>
      <c r="AS520" s="200"/>
      <c r="AT520" s="200"/>
      <c r="AU520" s="200"/>
      <c r="AV520" s="200"/>
      <c r="AW520" s="200"/>
      <c r="AX520" s="200"/>
      <c r="AY520" s="200"/>
      <c r="AZ520" s="200"/>
      <c r="BA520" s="232"/>
      <c r="BB520" s="232"/>
      <c r="BC520" s="200"/>
      <c r="BD520" s="200"/>
    </row>
    <row r="521" spans="41:56" ht="18" customHeight="1">
      <c r="AO521" s="200"/>
      <c r="AP521" s="200"/>
      <c r="AQ521" s="200"/>
      <c r="AR521" s="200"/>
      <c r="AS521" s="200"/>
      <c r="AT521" s="200"/>
      <c r="AU521" s="200"/>
      <c r="AV521" s="200"/>
      <c r="AW521" s="200"/>
      <c r="AX521" s="200"/>
      <c r="AY521" s="200"/>
      <c r="AZ521" s="200"/>
      <c r="BA521" s="232"/>
      <c r="BB521" s="232"/>
      <c r="BC521" s="200"/>
      <c r="BD521" s="200"/>
    </row>
    <row r="522" spans="41:56" ht="18" customHeight="1">
      <c r="AO522" s="200"/>
      <c r="AP522" s="200"/>
      <c r="AQ522" s="200"/>
      <c r="AR522" s="200"/>
      <c r="AS522" s="200"/>
      <c r="AT522" s="200"/>
      <c r="AU522" s="200"/>
      <c r="AV522" s="200"/>
      <c r="AW522" s="200"/>
      <c r="AX522" s="200"/>
      <c r="AY522" s="200"/>
      <c r="AZ522" s="200"/>
      <c r="BA522" s="232"/>
      <c r="BB522" s="232"/>
      <c r="BC522" s="200"/>
      <c r="BD522" s="200"/>
    </row>
    <row r="523" spans="41:56" ht="18" customHeight="1">
      <c r="AO523" s="200"/>
      <c r="AP523" s="200"/>
      <c r="AQ523" s="200"/>
      <c r="AR523" s="200"/>
      <c r="AS523" s="200"/>
      <c r="AT523" s="200"/>
      <c r="AU523" s="200"/>
      <c r="AV523" s="200"/>
      <c r="AW523" s="200"/>
      <c r="AX523" s="200"/>
      <c r="AY523" s="200"/>
      <c r="AZ523" s="200"/>
      <c r="BA523" s="232"/>
      <c r="BB523" s="232"/>
      <c r="BC523" s="200"/>
      <c r="BD523" s="200"/>
    </row>
    <row r="524" spans="41:56" ht="18" customHeight="1">
      <c r="AO524" s="200"/>
      <c r="AP524" s="200"/>
      <c r="AQ524" s="200"/>
      <c r="AR524" s="200"/>
      <c r="AS524" s="200"/>
      <c r="AT524" s="200"/>
      <c r="AU524" s="200"/>
      <c r="AV524" s="200"/>
      <c r="AW524" s="200"/>
      <c r="AX524" s="200"/>
      <c r="AY524" s="200"/>
      <c r="AZ524" s="200"/>
      <c r="BA524" s="232"/>
      <c r="BB524" s="232"/>
      <c r="BC524" s="200"/>
      <c r="BD524" s="200"/>
    </row>
    <row r="525" spans="41:56" ht="18" customHeight="1">
      <c r="AO525" s="200"/>
      <c r="AP525" s="200"/>
      <c r="AQ525" s="200"/>
      <c r="AR525" s="200"/>
      <c r="AS525" s="200"/>
      <c r="AT525" s="200"/>
      <c r="AU525" s="200"/>
      <c r="AV525" s="200"/>
      <c r="AW525" s="200"/>
      <c r="AX525" s="200"/>
      <c r="AY525" s="200"/>
      <c r="AZ525" s="200"/>
      <c r="BA525" s="232"/>
      <c r="BB525" s="232"/>
      <c r="BC525" s="200"/>
      <c r="BD525" s="200"/>
    </row>
    <row r="526" spans="41:56" ht="18" customHeight="1">
      <c r="AO526" s="200"/>
      <c r="AP526" s="200"/>
      <c r="AQ526" s="200"/>
      <c r="AR526" s="200"/>
      <c r="AS526" s="200"/>
      <c r="AT526" s="200"/>
      <c r="AU526" s="200"/>
      <c r="AV526" s="200"/>
      <c r="AW526" s="200"/>
      <c r="AX526" s="200"/>
      <c r="AY526" s="200"/>
      <c r="AZ526" s="200"/>
      <c r="BA526" s="232"/>
      <c r="BB526" s="232"/>
      <c r="BC526" s="200"/>
      <c r="BD526" s="200"/>
    </row>
    <row r="527" spans="41:56" ht="18" customHeight="1">
      <c r="AO527" s="200"/>
      <c r="AP527" s="200"/>
      <c r="AQ527" s="200"/>
      <c r="AR527" s="200"/>
      <c r="AS527" s="200"/>
      <c r="AT527" s="200"/>
      <c r="AU527" s="200"/>
      <c r="AV527" s="200"/>
      <c r="AW527" s="200"/>
      <c r="AX527" s="200"/>
      <c r="AY527" s="200"/>
      <c r="AZ527" s="200"/>
      <c r="BA527" s="232"/>
      <c r="BB527" s="232"/>
      <c r="BC527" s="200"/>
      <c r="BD527" s="200"/>
    </row>
    <row r="528" spans="41:56" ht="18" customHeight="1">
      <c r="AO528" s="200"/>
      <c r="AP528" s="200"/>
      <c r="AQ528" s="200"/>
      <c r="AR528" s="200"/>
      <c r="AS528" s="200"/>
      <c r="AT528" s="200"/>
      <c r="AU528" s="200"/>
      <c r="AV528" s="200"/>
      <c r="AW528" s="200"/>
      <c r="AX528" s="200"/>
      <c r="AY528" s="200"/>
      <c r="AZ528" s="200"/>
      <c r="BA528" s="232"/>
      <c r="BB528" s="232"/>
      <c r="BC528" s="200"/>
      <c r="BD528" s="200"/>
    </row>
    <row r="529" spans="41:56" ht="18" customHeight="1">
      <c r="AO529" s="200"/>
      <c r="AP529" s="200"/>
      <c r="AQ529" s="200"/>
      <c r="AR529" s="200"/>
      <c r="AS529" s="200"/>
      <c r="AT529" s="200"/>
      <c r="AU529" s="200"/>
      <c r="AV529" s="200"/>
      <c r="AW529" s="200"/>
      <c r="AX529" s="200"/>
      <c r="AY529" s="200"/>
      <c r="AZ529" s="200"/>
      <c r="BA529" s="232"/>
      <c r="BB529" s="232"/>
      <c r="BC529" s="200"/>
      <c r="BD529" s="200"/>
    </row>
    <row r="530" spans="41:56" ht="18" customHeight="1">
      <c r="AO530" s="200"/>
      <c r="AP530" s="200"/>
      <c r="AQ530" s="200"/>
      <c r="AR530" s="200"/>
      <c r="AS530" s="200"/>
      <c r="AT530" s="200"/>
      <c r="AU530" s="200"/>
      <c r="AV530" s="200"/>
      <c r="AW530" s="200"/>
      <c r="AX530" s="200"/>
      <c r="AY530" s="200"/>
      <c r="AZ530" s="200"/>
      <c r="BA530" s="232"/>
      <c r="BB530" s="232"/>
      <c r="BC530" s="200"/>
      <c r="BD530" s="200"/>
    </row>
    <row r="531" spans="41:56" ht="18" customHeight="1">
      <c r="AO531" s="200"/>
      <c r="AP531" s="200"/>
      <c r="AQ531" s="200"/>
      <c r="AR531" s="200"/>
      <c r="AS531" s="200"/>
      <c r="AT531" s="200"/>
      <c r="AU531" s="200"/>
      <c r="AV531" s="200"/>
      <c r="AW531" s="200"/>
      <c r="AX531" s="200"/>
      <c r="AY531" s="200"/>
      <c r="AZ531" s="200"/>
      <c r="BA531" s="232"/>
      <c r="BB531" s="232"/>
      <c r="BC531" s="200"/>
      <c r="BD531" s="200"/>
    </row>
    <row r="532" spans="41:56" ht="18" customHeight="1">
      <c r="AO532" s="200"/>
      <c r="AP532" s="200"/>
      <c r="AQ532" s="200"/>
      <c r="AR532" s="200"/>
      <c r="AS532" s="200"/>
      <c r="AT532" s="200"/>
      <c r="AU532" s="200"/>
      <c r="AV532" s="200"/>
      <c r="AW532" s="200"/>
      <c r="AX532" s="200"/>
      <c r="AY532" s="200"/>
      <c r="AZ532" s="200"/>
      <c r="BA532" s="232"/>
      <c r="BB532" s="232"/>
      <c r="BC532" s="200"/>
      <c r="BD532" s="200"/>
    </row>
    <row r="533" spans="41:56" ht="18" customHeight="1">
      <c r="AO533" s="200"/>
      <c r="AP533" s="200"/>
      <c r="AQ533" s="200"/>
      <c r="AR533" s="200"/>
      <c r="AS533" s="200"/>
      <c r="AT533" s="200"/>
      <c r="AU533" s="200"/>
      <c r="AV533" s="200"/>
      <c r="AW533" s="200"/>
      <c r="AX533" s="200"/>
      <c r="AY533" s="200"/>
      <c r="AZ533" s="200"/>
      <c r="BA533" s="232"/>
      <c r="BB533" s="232"/>
      <c r="BC533" s="200"/>
      <c r="BD533" s="200"/>
    </row>
    <row r="534" spans="41:56" ht="18" customHeight="1">
      <c r="AO534" s="200"/>
      <c r="AP534" s="200"/>
      <c r="AQ534" s="200"/>
      <c r="AR534" s="200"/>
      <c r="AS534" s="200"/>
      <c r="AT534" s="200"/>
      <c r="AU534" s="200"/>
      <c r="AV534" s="200"/>
      <c r="AW534" s="200"/>
      <c r="AX534" s="200"/>
      <c r="AY534" s="200"/>
      <c r="AZ534" s="200"/>
      <c r="BA534" s="232"/>
      <c r="BB534" s="232"/>
      <c r="BC534" s="200"/>
      <c r="BD534" s="200"/>
    </row>
    <row r="535" spans="41:56" ht="18" customHeight="1">
      <c r="AO535" s="200"/>
      <c r="AP535" s="200"/>
      <c r="AQ535" s="200"/>
      <c r="AR535" s="200"/>
      <c r="AS535" s="200"/>
      <c r="AT535" s="200"/>
      <c r="AU535" s="200"/>
      <c r="AV535" s="200"/>
      <c r="AW535" s="200"/>
      <c r="AX535" s="200"/>
      <c r="AY535" s="200"/>
      <c r="AZ535" s="200"/>
      <c r="BA535" s="232"/>
      <c r="BB535" s="232"/>
      <c r="BC535" s="200"/>
      <c r="BD535" s="200"/>
    </row>
    <row r="536" spans="41:56" ht="18" customHeight="1">
      <c r="AO536" s="200"/>
      <c r="AP536" s="200"/>
      <c r="AQ536" s="200"/>
      <c r="AR536" s="200"/>
      <c r="AS536" s="200"/>
      <c r="AT536" s="200"/>
      <c r="AU536" s="200"/>
      <c r="AV536" s="200"/>
      <c r="AW536" s="200"/>
      <c r="AX536" s="200"/>
      <c r="AY536" s="200"/>
      <c r="AZ536" s="200"/>
      <c r="BA536" s="232"/>
      <c r="BB536" s="232"/>
      <c r="BC536" s="200"/>
      <c r="BD536" s="200"/>
    </row>
    <row r="537" spans="41:56" ht="18" customHeight="1">
      <c r="AO537" s="200"/>
      <c r="AP537" s="200"/>
      <c r="AQ537" s="200"/>
      <c r="AR537" s="200"/>
      <c r="AS537" s="200"/>
      <c r="AT537" s="200"/>
      <c r="AU537" s="200"/>
      <c r="AV537" s="200"/>
      <c r="AW537" s="200"/>
      <c r="AX537" s="200"/>
      <c r="AY537" s="200"/>
      <c r="AZ537" s="200"/>
      <c r="BA537" s="232"/>
      <c r="BB537" s="232"/>
      <c r="BC537" s="200"/>
      <c r="BD537" s="200"/>
    </row>
    <row r="538" spans="41:56" ht="18" customHeight="1">
      <c r="AO538" s="200"/>
      <c r="AP538" s="200"/>
      <c r="AQ538" s="200"/>
      <c r="AR538" s="200"/>
      <c r="AS538" s="200"/>
      <c r="AT538" s="200"/>
      <c r="AU538" s="200"/>
      <c r="AV538" s="200"/>
      <c r="AW538" s="200"/>
      <c r="AX538" s="200"/>
      <c r="AY538" s="200"/>
      <c r="AZ538" s="200"/>
      <c r="BA538" s="232"/>
      <c r="BB538" s="232"/>
      <c r="BC538" s="200"/>
      <c r="BD538" s="200"/>
    </row>
    <row r="539" spans="41:56" ht="18" customHeight="1">
      <c r="AO539" s="200"/>
      <c r="AP539" s="200"/>
      <c r="AQ539" s="200"/>
      <c r="AR539" s="200"/>
      <c r="AS539" s="200"/>
      <c r="AT539" s="200"/>
      <c r="AU539" s="200"/>
      <c r="AV539" s="200"/>
      <c r="AW539" s="200"/>
      <c r="AX539" s="200"/>
      <c r="AY539" s="200"/>
      <c r="AZ539" s="200"/>
      <c r="BA539" s="232"/>
      <c r="BB539" s="232"/>
      <c r="BC539" s="200"/>
      <c r="BD539" s="200"/>
    </row>
    <row r="540" spans="41:56" ht="18" customHeight="1">
      <c r="AO540" s="200"/>
      <c r="AP540" s="200"/>
      <c r="AQ540" s="200"/>
      <c r="AR540" s="200"/>
      <c r="AS540" s="200"/>
      <c r="AT540" s="200"/>
      <c r="AU540" s="200"/>
      <c r="AV540" s="200"/>
      <c r="AW540" s="200"/>
      <c r="AX540" s="200"/>
      <c r="AY540" s="200"/>
      <c r="AZ540" s="200"/>
      <c r="BA540" s="232"/>
      <c r="BB540" s="232"/>
      <c r="BC540" s="200"/>
      <c r="BD540" s="200"/>
    </row>
    <row r="541" spans="41:56" ht="18" customHeight="1">
      <c r="AO541" s="200"/>
      <c r="AP541" s="200"/>
      <c r="AQ541" s="200"/>
      <c r="AR541" s="200"/>
      <c r="AS541" s="200"/>
      <c r="AT541" s="200"/>
      <c r="AU541" s="200"/>
      <c r="AV541" s="200"/>
      <c r="AW541" s="200"/>
      <c r="AX541" s="200"/>
      <c r="AY541" s="200"/>
      <c r="AZ541" s="200"/>
      <c r="BA541" s="232"/>
      <c r="BB541" s="232"/>
      <c r="BC541" s="200"/>
      <c r="BD541" s="200"/>
    </row>
    <row r="542" spans="41:56" ht="18" customHeight="1">
      <c r="AO542" s="200"/>
      <c r="AP542" s="200"/>
      <c r="AQ542" s="200"/>
      <c r="AR542" s="200"/>
      <c r="AS542" s="200"/>
      <c r="AT542" s="200"/>
      <c r="AU542" s="200"/>
      <c r="AV542" s="200"/>
      <c r="AW542" s="200"/>
      <c r="AX542" s="200"/>
      <c r="AY542" s="200"/>
      <c r="AZ542" s="200"/>
      <c r="BA542" s="232"/>
      <c r="BB542" s="232"/>
      <c r="BC542" s="200"/>
      <c r="BD542" s="200"/>
    </row>
    <row r="543" spans="41:56" ht="18" customHeight="1">
      <c r="AO543" s="200"/>
      <c r="AP543" s="200"/>
      <c r="AQ543" s="200"/>
      <c r="AR543" s="200"/>
      <c r="AS543" s="200"/>
      <c r="AT543" s="200"/>
      <c r="AU543" s="200"/>
      <c r="AV543" s="200"/>
      <c r="AW543" s="200"/>
      <c r="AX543" s="200"/>
      <c r="AY543" s="200"/>
      <c r="AZ543" s="200"/>
      <c r="BA543" s="232"/>
      <c r="BB543" s="232"/>
      <c r="BC543" s="200"/>
      <c r="BD543" s="200"/>
    </row>
    <row r="544" spans="41:56" ht="18" customHeight="1">
      <c r="AO544" s="200"/>
      <c r="AP544" s="200"/>
      <c r="AQ544" s="200"/>
      <c r="AR544" s="200"/>
      <c r="AS544" s="200"/>
      <c r="AT544" s="200"/>
      <c r="AU544" s="200"/>
      <c r="AV544" s="200"/>
      <c r="AW544" s="200"/>
      <c r="AX544" s="200"/>
      <c r="AY544" s="200"/>
      <c r="AZ544" s="200"/>
      <c r="BA544" s="232"/>
      <c r="BB544" s="232"/>
      <c r="BC544" s="200"/>
      <c r="BD544" s="200"/>
    </row>
    <row r="545" spans="41:56" ht="18" customHeight="1">
      <c r="AO545" s="200"/>
      <c r="AP545" s="200"/>
      <c r="AQ545" s="200"/>
      <c r="AR545" s="200"/>
      <c r="AS545" s="200"/>
      <c r="AT545" s="200"/>
      <c r="AU545" s="200"/>
      <c r="AV545" s="200"/>
      <c r="AW545" s="200"/>
      <c r="AX545" s="200"/>
      <c r="AY545" s="200"/>
      <c r="AZ545" s="200"/>
      <c r="BA545" s="232"/>
      <c r="BB545" s="232"/>
      <c r="BC545" s="200"/>
      <c r="BD545" s="200"/>
    </row>
    <row r="546" spans="41:56" ht="18" customHeight="1">
      <c r="AO546" s="200"/>
      <c r="AP546" s="200"/>
      <c r="AQ546" s="200"/>
      <c r="AR546" s="200"/>
      <c r="AS546" s="200"/>
      <c r="AT546" s="200"/>
      <c r="AU546" s="200"/>
      <c r="AV546" s="200"/>
      <c r="AW546" s="200"/>
      <c r="AX546" s="200"/>
      <c r="AY546" s="200"/>
      <c r="AZ546" s="200"/>
      <c r="BA546" s="232"/>
      <c r="BB546" s="232"/>
      <c r="BC546" s="200"/>
      <c r="BD546" s="200"/>
    </row>
    <row r="547" spans="41:56" ht="18" customHeight="1">
      <c r="AO547" s="200"/>
      <c r="AP547" s="200"/>
      <c r="AQ547" s="200"/>
      <c r="AR547" s="200"/>
      <c r="AS547" s="200"/>
      <c r="AT547" s="200"/>
      <c r="AU547" s="200"/>
      <c r="AV547" s="200"/>
      <c r="AW547" s="200"/>
      <c r="AX547" s="200"/>
      <c r="AY547" s="200"/>
      <c r="AZ547" s="200"/>
      <c r="BA547" s="232"/>
      <c r="BB547" s="232"/>
      <c r="BC547" s="200"/>
      <c r="BD547" s="200"/>
    </row>
    <row r="548" spans="41:56" ht="18" customHeight="1">
      <c r="AO548" s="200"/>
      <c r="AP548" s="200"/>
      <c r="AQ548" s="200"/>
      <c r="AR548" s="200"/>
      <c r="AS548" s="200"/>
      <c r="AT548" s="200"/>
      <c r="AU548" s="200"/>
      <c r="AV548" s="200"/>
      <c r="AW548" s="200"/>
      <c r="AX548" s="200"/>
      <c r="AY548" s="200"/>
      <c r="AZ548" s="200"/>
      <c r="BA548" s="232"/>
      <c r="BB548" s="232"/>
      <c r="BC548" s="200"/>
      <c r="BD548" s="200"/>
    </row>
    <row r="549" spans="41:56" ht="18" customHeight="1">
      <c r="AO549" s="200"/>
      <c r="AP549" s="200"/>
      <c r="AQ549" s="200"/>
      <c r="AR549" s="200"/>
      <c r="AS549" s="200"/>
      <c r="AT549" s="200"/>
      <c r="AU549" s="200"/>
      <c r="AV549" s="200"/>
      <c r="AW549" s="200"/>
      <c r="AX549" s="200"/>
      <c r="AY549" s="200"/>
      <c r="AZ549" s="200"/>
      <c r="BA549" s="232"/>
      <c r="BB549" s="232"/>
      <c r="BC549" s="200"/>
      <c r="BD549" s="200"/>
    </row>
    <row r="550" spans="41:56" ht="18" customHeight="1">
      <c r="AO550" s="200"/>
      <c r="AP550" s="200"/>
      <c r="AQ550" s="200"/>
      <c r="AR550" s="200"/>
      <c r="AS550" s="200"/>
      <c r="AT550" s="200"/>
      <c r="AU550" s="200"/>
      <c r="AV550" s="200"/>
      <c r="AW550" s="200"/>
      <c r="AX550" s="200"/>
      <c r="AY550" s="200"/>
      <c r="AZ550" s="200"/>
      <c r="BA550" s="232"/>
      <c r="BB550" s="232"/>
      <c r="BC550" s="200"/>
      <c r="BD550" s="200"/>
    </row>
    <row r="551" spans="41:56" ht="18" customHeight="1">
      <c r="AO551" s="200"/>
      <c r="AP551" s="200"/>
      <c r="AQ551" s="200"/>
      <c r="AR551" s="200"/>
      <c r="AS551" s="200"/>
      <c r="AT551" s="200"/>
      <c r="AU551" s="200"/>
      <c r="AV551" s="200"/>
      <c r="AW551" s="200"/>
      <c r="AX551" s="200"/>
      <c r="AY551" s="200"/>
      <c r="AZ551" s="200"/>
      <c r="BA551" s="232"/>
      <c r="BB551" s="232"/>
      <c r="BC551" s="200"/>
      <c r="BD551" s="200"/>
    </row>
    <row r="552" spans="41:56" ht="18" customHeight="1">
      <c r="AO552" s="200"/>
      <c r="AP552" s="200"/>
      <c r="AQ552" s="200"/>
      <c r="AR552" s="200"/>
      <c r="AS552" s="200"/>
      <c r="AT552" s="200"/>
      <c r="AU552" s="200"/>
      <c r="AV552" s="200"/>
      <c r="AW552" s="200"/>
      <c r="AX552" s="200"/>
      <c r="AY552" s="200"/>
      <c r="AZ552" s="200"/>
      <c r="BA552" s="232"/>
      <c r="BB552" s="232"/>
      <c r="BC552" s="200"/>
      <c r="BD552" s="200"/>
    </row>
    <row r="553" spans="41:56" ht="18" customHeight="1">
      <c r="AO553" s="200"/>
      <c r="AP553" s="200"/>
      <c r="AQ553" s="200"/>
      <c r="AR553" s="200"/>
      <c r="AS553" s="200"/>
      <c r="AT553" s="200"/>
      <c r="AU553" s="200"/>
      <c r="AV553" s="200"/>
      <c r="AW553" s="200"/>
      <c r="AX553" s="200"/>
      <c r="AY553" s="200"/>
      <c r="AZ553" s="200"/>
      <c r="BA553" s="232"/>
      <c r="BB553" s="232"/>
      <c r="BC553" s="200"/>
      <c r="BD553" s="200"/>
    </row>
    <row r="554" spans="41:56" ht="18" customHeight="1">
      <c r="AO554" s="200"/>
      <c r="AP554" s="200"/>
      <c r="AQ554" s="200"/>
      <c r="AR554" s="200"/>
      <c r="AS554" s="200"/>
      <c r="AT554" s="200"/>
      <c r="AU554" s="200"/>
      <c r="AV554" s="200"/>
      <c r="AW554" s="200"/>
      <c r="AX554" s="200"/>
      <c r="AY554" s="200"/>
      <c r="AZ554" s="200"/>
      <c r="BA554" s="232"/>
      <c r="BB554" s="232"/>
      <c r="BC554" s="200"/>
      <c r="BD554" s="200"/>
    </row>
    <row r="555" spans="41:56" ht="18" customHeight="1">
      <c r="AO555" s="200"/>
      <c r="AP555" s="200"/>
      <c r="AQ555" s="200"/>
      <c r="AR555" s="200"/>
      <c r="AS555" s="200"/>
      <c r="AT555" s="200"/>
      <c r="AU555" s="200"/>
      <c r="AV555" s="200"/>
      <c r="AW555" s="200"/>
      <c r="AX555" s="200"/>
      <c r="AY555" s="200"/>
      <c r="AZ555" s="200"/>
      <c r="BA555" s="232"/>
      <c r="BB555" s="232"/>
      <c r="BC555" s="200"/>
      <c r="BD555" s="200"/>
    </row>
    <row r="556" spans="41:56" ht="18" customHeight="1">
      <c r="AO556" s="200"/>
      <c r="AP556" s="200"/>
      <c r="AQ556" s="200"/>
      <c r="AR556" s="200"/>
      <c r="AS556" s="200"/>
      <c r="AT556" s="200"/>
      <c r="AU556" s="200"/>
      <c r="AV556" s="200"/>
      <c r="AW556" s="200"/>
      <c r="AX556" s="200"/>
      <c r="AY556" s="200"/>
      <c r="AZ556" s="200"/>
      <c r="BA556" s="232"/>
      <c r="BB556" s="232"/>
      <c r="BC556" s="200"/>
      <c r="BD556" s="200"/>
    </row>
    <row r="557" spans="41:56" ht="18" customHeight="1">
      <c r="AO557" s="200"/>
      <c r="AP557" s="200"/>
      <c r="AQ557" s="200"/>
      <c r="AR557" s="200"/>
      <c r="AS557" s="200"/>
      <c r="AT557" s="200"/>
      <c r="AU557" s="200"/>
      <c r="AV557" s="200"/>
      <c r="AW557" s="200"/>
      <c r="AX557" s="200"/>
      <c r="AY557" s="200"/>
      <c r="AZ557" s="200"/>
      <c r="BA557" s="232"/>
      <c r="BB557" s="232"/>
      <c r="BC557" s="200"/>
      <c r="BD557" s="200"/>
    </row>
    <row r="558" spans="41:56" ht="18" customHeight="1">
      <c r="AO558" s="200"/>
      <c r="AP558" s="200"/>
      <c r="AQ558" s="200"/>
      <c r="AR558" s="200"/>
      <c r="AS558" s="200"/>
      <c r="AT558" s="200"/>
      <c r="AU558" s="200"/>
      <c r="AV558" s="200"/>
      <c r="AW558" s="200"/>
      <c r="AX558" s="200"/>
      <c r="AY558" s="200"/>
      <c r="AZ558" s="200"/>
      <c r="BA558" s="232"/>
      <c r="BB558" s="232"/>
      <c r="BC558" s="200"/>
      <c r="BD558" s="200"/>
    </row>
    <row r="559" spans="41:56" ht="18" customHeight="1">
      <c r="AO559" s="200"/>
      <c r="AP559" s="200"/>
      <c r="AQ559" s="200"/>
      <c r="AR559" s="200"/>
      <c r="AS559" s="200"/>
      <c r="AT559" s="200"/>
      <c r="AU559" s="200"/>
      <c r="AV559" s="200"/>
      <c r="AW559" s="200"/>
      <c r="AX559" s="200"/>
      <c r="AY559" s="200"/>
      <c r="AZ559" s="200"/>
      <c r="BA559" s="232"/>
      <c r="BB559" s="232"/>
      <c r="BC559" s="200"/>
      <c r="BD559" s="200"/>
    </row>
    <row r="560" spans="41:56" ht="18" customHeight="1">
      <c r="AO560" s="200"/>
      <c r="AP560" s="200"/>
      <c r="AQ560" s="200"/>
      <c r="AR560" s="200"/>
      <c r="AS560" s="200"/>
      <c r="AT560" s="200"/>
      <c r="AU560" s="200"/>
      <c r="AV560" s="200"/>
      <c r="AW560" s="200"/>
      <c r="AX560" s="200"/>
      <c r="AY560" s="200"/>
      <c r="AZ560" s="200"/>
      <c r="BA560" s="232"/>
      <c r="BB560" s="232"/>
      <c r="BC560" s="200"/>
      <c r="BD560" s="200"/>
    </row>
    <row r="561" spans="41:56" ht="18" customHeight="1">
      <c r="AO561" s="200"/>
      <c r="AP561" s="200"/>
      <c r="AQ561" s="200"/>
      <c r="AR561" s="200"/>
      <c r="AS561" s="200"/>
      <c r="AT561" s="200"/>
      <c r="AU561" s="200"/>
      <c r="AV561" s="200"/>
      <c r="AW561" s="200"/>
      <c r="AX561" s="200"/>
      <c r="AY561" s="200"/>
      <c r="AZ561" s="200"/>
      <c r="BA561" s="232"/>
      <c r="BB561" s="232"/>
      <c r="BC561" s="200"/>
      <c r="BD561" s="200"/>
    </row>
    <row r="562" spans="41:56" ht="18" customHeight="1">
      <c r="AO562" s="200"/>
      <c r="AP562" s="200"/>
      <c r="AQ562" s="200"/>
      <c r="AR562" s="200"/>
      <c r="AS562" s="200"/>
      <c r="AT562" s="200"/>
      <c r="AU562" s="200"/>
      <c r="AV562" s="200"/>
      <c r="AW562" s="200"/>
      <c r="AX562" s="200"/>
      <c r="AY562" s="200"/>
      <c r="AZ562" s="200"/>
      <c r="BA562" s="232"/>
      <c r="BB562" s="232"/>
      <c r="BC562" s="200"/>
      <c r="BD562" s="200"/>
    </row>
    <row r="563" spans="41:56" ht="18" customHeight="1">
      <c r="AO563" s="200"/>
      <c r="AP563" s="200"/>
      <c r="AQ563" s="200"/>
      <c r="AR563" s="200"/>
      <c r="AS563" s="200"/>
      <c r="AT563" s="200"/>
      <c r="AU563" s="200"/>
      <c r="AV563" s="200"/>
      <c r="AW563" s="200"/>
      <c r="AX563" s="200"/>
      <c r="AY563" s="200"/>
      <c r="AZ563" s="200"/>
      <c r="BA563" s="232"/>
      <c r="BB563" s="232"/>
      <c r="BC563" s="200"/>
      <c r="BD563" s="200"/>
    </row>
    <row r="564" spans="41:56" ht="18" customHeight="1">
      <c r="AO564" s="200"/>
      <c r="AP564" s="200"/>
      <c r="AQ564" s="200"/>
      <c r="AR564" s="200"/>
      <c r="AS564" s="200"/>
      <c r="AT564" s="200"/>
      <c r="AU564" s="200"/>
      <c r="AV564" s="200"/>
      <c r="AW564" s="200"/>
      <c r="AX564" s="200"/>
      <c r="AY564" s="200"/>
      <c r="AZ564" s="200"/>
      <c r="BA564" s="232"/>
      <c r="BB564" s="232"/>
      <c r="BC564" s="200"/>
      <c r="BD564" s="200"/>
    </row>
    <row r="565" spans="41:56" ht="18" customHeight="1">
      <c r="AO565" s="200"/>
      <c r="AP565" s="200"/>
      <c r="AQ565" s="200"/>
      <c r="AR565" s="200"/>
      <c r="AS565" s="200"/>
      <c r="AT565" s="200"/>
      <c r="AU565" s="200"/>
      <c r="AV565" s="200"/>
      <c r="AW565" s="200"/>
      <c r="AX565" s="200"/>
      <c r="AY565" s="200"/>
      <c r="AZ565" s="200"/>
      <c r="BA565" s="232"/>
      <c r="BB565" s="232"/>
      <c r="BC565" s="200"/>
      <c r="BD565" s="200"/>
    </row>
    <row r="566" spans="41:56" ht="18" customHeight="1">
      <c r="AO566" s="200"/>
      <c r="AP566" s="200"/>
      <c r="AQ566" s="200"/>
      <c r="AR566" s="200"/>
      <c r="AS566" s="200"/>
      <c r="AT566" s="200"/>
      <c r="AU566" s="200"/>
      <c r="AV566" s="200"/>
      <c r="AW566" s="200"/>
      <c r="AX566" s="200"/>
      <c r="AY566" s="200"/>
      <c r="AZ566" s="200"/>
      <c r="BA566" s="232"/>
      <c r="BB566" s="232"/>
      <c r="BC566" s="200"/>
      <c r="BD566" s="200"/>
    </row>
    <row r="567" spans="41:56" ht="18" customHeight="1">
      <c r="AO567" s="200"/>
      <c r="AP567" s="200"/>
      <c r="AQ567" s="200"/>
      <c r="AR567" s="200"/>
      <c r="AS567" s="200"/>
      <c r="AT567" s="200"/>
      <c r="AU567" s="200"/>
      <c r="AV567" s="200"/>
      <c r="AW567" s="200"/>
      <c r="AX567" s="200"/>
      <c r="AY567" s="200"/>
      <c r="AZ567" s="200"/>
      <c r="BA567" s="232"/>
      <c r="BB567" s="232"/>
      <c r="BC567" s="200"/>
      <c r="BD567" s="200"/>
    </row>
    <row r="568" spans="41:56" ht="18" customHeight="1">
      <c r="AO568" s="200"/>
      <c r="AP568" s="200"/>
      <c r="AQ568" s="200"/>
      <c r="AR568" s="200"/>
      <c r="AS568" s="200"/>
      <c r="AT568" s="200"/>
      <c r="AU568" s="200"/>
      <c r="AV568" s="200"/>
      <c r="AW568" s="200"/>
      <c r="AX568" s="200"/>
      <c r="AY568" s="200"/>
      <c r="AZ568" s="200"/>
      <c r="BA568" s="232"/>
      <c r="BB568" s="232"/>
      <c r="BC568" s="200"/>
      <c r="BD568" s="200"/>
    </row>
    <row r="569" spans="41:56" ht="18" customHeight="1">
      <c r="AO569" s="200"/>
      <c r="AP569" s="200"/>
      <c r="AQ569" s="200"/>
      <c r="AR569" s="200"/>
      <c r="AS569" s="200"/>
      <c r="AT569" s="200"/>
      <c r="AU569" s="200"/>
      <c r="AV569" s="200"/>
      <c r="AW569" s="200"/>
      <c r="AX569" s="200"/>
      <c r="AY569" s="200"/>
      <c r="AZ569" s="200"/>
      <c r="BA569" s="232"/>
      <c r="BB569" s="232"/>
      <c r="BC569" s="200"/>
      <c r="BD569" s="200"/>
    </row>
    <row r="570" spans="41:56" ht="18" customHeight="1">
      <c r="AO570" s="200"/>
      <c r="AP570" s="200"/>
      <c r="AQ570" s="200"/>
      <c r="AR570" s="200"/>
      <c r="AS570" s="200"/>
      <c r="AT570" s="200"/>
      <c r="AU570" s="200"/>
      <c r="AV570" s="200"/>
      <c r="AW570" s="200"/>
      <c r="AX570" s="200"/>
      <c r="AY570" s="200"/>
      <c r="AZ570" s="200"/>
      <c r="BA570" s="232"/>
      <c r="BB570" s="232"/>
      <c r="BC570" s="200"/>
      <c r="BD570" s="200"/>
    </row>
    <row r="571" spans="41:56" ht="18" customHeight="1">
      <c r="AO571" s="200"/>
      <c r="AP571" s="200"/>
      <c r="AQ571" s="200"/>
      <c r="AR571" s="200"/>
      <c r="AS571" s="200"/>
      <c r="AT571" s="200"/>
      <c r="AU571" s="200"/>
      <c r="AV571" s="200"/>
      <c r="AW571" s="200"/>
      <c r="AX571" s="200"/>
      <c r="AY571" s="200"/>
      <c r="AZ571" s="200"/>
      <c r="BA571" s="232"/>
      <c r="BB571" s="232"/>
      <c r="BC571" s="200"/>
      <c r="BD571" s="200"/>
    </row>
    <row r="572" spans="41:56" ht="18" customHeight="1">
      <c r="AO572" s="200"/>
      <c r="AP572" s="200"/>
      <c r="AQ572" s="200"/>
      <c r="AR572" s="200"/>
      <c r="AS572" s="200"/>
      <c r="AT572" s="200"/>
      <c r="AU572" s="200"/>
      <c r="AV572" s="200"/>
      <c r="AW572" s="200"/>
      <c r="AX572" s="200"/>
      <c r="AY572" s="200"/>
      <c r="AZ572" s="200"/>
      <c r="BA572" s="232"/>
      <c r="BB572" s="232"/>
      <c r="BC572" s="200"/>
      <c r="BD572" s="200"/>
    </row>
    <row r="573" spans="41:56" ht="18" customHeight="1">
      <c r="AO573" s="200"/>
      <c r="AP573" s="200"/>
      <c r="AQ573" s="200"/>
      <c r="AR573" s="200"/>
      <c r="AS573" s="200"/>
      <c r="AT573" s="200"/>
      <c r="AU573" s="200"/>
      <c r="AV573" s="200"/>
      <c r="AW573" s="200"/>
      <c r="AX573" s="200"/>
      <c r="AY573" s="200"/>
      <c r="AZ573" s="200"/>
      <c r="BA573" s="232"/>
      <c r="BB573" s="232"/>
      <c r="BC573" s="200"/>
      <c r="BD573" s="200"/>
    </row>
    <row r="574" spans="41:56" ht="18" customHeight="1">
      <c r="AO574" s="200"/>
      <c r="AP574" s="200"/>
      <c r="AQ574" s="200"/>
      <c r="AR574" s="200"/>
      <c r="AS574" s="200"/>
      <c r="AT574" s="200"/>
      <c r="AU574" s="200"/>
      <c r="AV574" s="200"/>
      <c r="AW574" s="200"/>
      <c r="AX574" s="200"/>
      <c r="AY574" s="200"/>
      <c r="AZ574" s="200"/>
      <c r="BA574" s="232"/>
      <c r="BB574" s="232"/>
      <c r="BC574" s="200"/>
      <c r="BD574" s="200"/>
    </row>
    <row r="575" spans="41:56" ht="18" customHeight="1">
      <c r="AO575" s="200"/>
      <c r="AP575" s="200"/>
      <c r="AQ575" s="200"/>
      <c r="AR575" s="200"/>
      <c r="AS575" s="200"/>
      <c r="AT575" s="200"/>
      <c r="AU575" s="200"/>
      <c r="AV575" s="200"/>
      <c r="AW575" s="200"/>
      <c r="AX575" s="200"/>
      <c r="AY575" s="200"/>
      <c r="AZ575" s="200"/>
      <c r="BA575" s="232"/>
      <c r="BB575" s="232"/>
      <c r="BC575" s="200"/>
      <c r="BD575" s="200"/>
    </row>
    <row r="576" spans="41:56" ht="18" customHeight="1">
      <c r="AO576" s="200"/>
      <c r="AP576" s="200"/>
      <c r="AQ576" s="200"/>
      <c r="AR576" s="200"/>
      <c r="AS576" s="200"/>
      <c r="AT576" s="200"/>
      <c r="AU576" s="200"/>
      <c r="AV576" s="200"/>
      <c r="AW576" s="264"/>
    </row>
  </sheetData>
  <mergeCells count="3">
    <mergeCell ref="A2:AM2"/>
    <mergeCell ref="AO1:BL3"/>
    <mergeCell ref="A1:E1"/>
  </mergeCells>
  <phoneticPr fontId="0" type="noConversion"/>
  <conditionalFormatting sqref="C2:C8 C268:C1048576">
    <cfRule type="duplicateValues" dxfId="5" priority="2"/>
  </conditionalFormatting>
  <conditionalFormatting sqref="C9:C267">
    <cfRule type="duplicateValues" dxfId="4" priority="1"/>
  </conditionalFormatting>
  <pageMargins left="0" right="0" top="0" bottom="0" header="0" footer="0"/>
  <pageSetup paperSize="9" scale="72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44"/>
  <sheetViews>
    <sheetView showZeros="0" topLeftCell="AA108" zoomScaleNormal="100" workbookViewId="0">
      <selection activeCell="F8" sqref="F8:AL131"/>
    </sheetView>
  </sheetViews>
  <sheetFormatPr defaultColWidth="9" defaultRowHeight="17.100000000000001" customHeight="1" outlineLevelCol="1"/>
  <cols>
    <col min="1" max="1" width="3.875" style="30" customWidth="1"/>
    <col min="2" max="2" width="17.375" style="30" customWidth="1"/>
    <col min="3" max="3" width="5.25" style="30" customWidth="1"/>
    <col min="4" max="5" width="4" style="30" customWidth="1"/>
    <col min="6" max="6" width="6.375" style="30" customWidth="1"/>
    <col min="7" max="7" width="8" style="30" hidden="1" customWidth="1" outlineLevel="1"/>
    <col min="8" max="8" width="9.625" style="30" hidden="1" customWidth="1" outlineLevel="1"/>
    <col min="9" max="9" width="7.125" style="30" customWidth="1" collapsed="1"/>
    <col min="10" max="10" width="6.875" style="30" customWidth="1"/>
    <col min="11" max="11" width="5.25" style="30" bestFit="1" customWidth="1"/>
    <col min="12" max="13" width="4.625" style="30" customWidth="1"/>
    <col min="14" max="14" width="5.125" style="30" customWidth="1"/>
    <col min="15" max="15" width="4.875" style="30" customWidth="1"/>
    <col min="16" max="16" width="5.625" style="35" customWidth="1"/>
    <col min="17" max="17" width="7.125" style="30" customWidth="1"/>
    <col min="18" max="18" width="5.625" style="30" customWidth="1"/>
    <col min="19" max="19" width="5.875" style="30" customWidth="1"/>
    <col min="20" max="20" width="4.5" style="30" customWidth="1"/>
    <col min="21" max="21" width="6.875" style="30" customWidth="1"/>
    <col min="22" max="22" width="7.5" style="30" customWidth="1"/>
    <col min="23" max="23" width="5" style="30" customWidth="1"/>
    <col min="24" max="25" width="7.25" style="30" hidden="1" customWidth="1"/>
    <col min="26" max="26" width="6" style="30" customWidth="1"/>
    <col min="27" max="27" width="4.875" style="30" customWidth="1"/>
    <col min="28" max="28" width="8.375" style="35" customWidth="1"/>
    <col min="29" max="29" width="6.375" style="30" customWidth="1"/>
    <col min="30" max="30" width="5" style="30" customWidth="1"/>
    <col min="31" max="31" width="7.5" style="35" customWidth="1"/>
    <col min="32" max="32" width="6.625" style="308" customWidth="1"/>
    <col min="33" max="33" width="11.125" style="308" customWidth="1"/>
    <col min="34" max="34" width="12.375" style="30" customWidth="1"/>
    <col min="35" max="35" width="11.5" style="31" bestFit="1" customWidth="1"/>
    <col min="36" max="36" width="9" style="30"/>
    <col min="37" max="37" width="9" style="31"/>
    <col min="38" max="16384" width="9" style="30"/>
  </cols>
  <sheetData>
    <row r="1" spans="1:38" ht="17.100000000000001" customHeight="1">
      <c r="A1" s="315" t="s">
        <v>172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6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6"/>
      <c r="AC1" s="315"/>
      <c r="AD1" s="315"/>
      <c r="AE1" s="316"/>
      <c r="AF1" s="317"/>
      <c r="AG1" s="317"/>
      <c r="AH1" s="318"/>
      <c r="AI1" s="319"/>
      <c r="AJ1" s="318"/>
      <c r="AK1" s="319"/>
      <c r="AL1" s="318"/>
    </row>
    <row r="2" spans="1:38" ht="17.100000000000001" customHeight="1">
      <c r="A2" s="320" t="s">
        <v>189</v>
      </c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1"/>
      <c r="N2" s="320"/>
      <c r="O2" s="322" t="s">
        <v>29</v>
      </c>
      <c r="P2" s="320"/>
      <c r="Q2" s="320"/>
      <c r="R2" s="320"/>
      <c r="S2" s="320"/>
      <c r="T2" s="320"/>
      <c r="U2" s="321"/>
      <c r="V2" s="321"/>
      <c r="W2" s="320"/>
      <c r="X2" s="321"/>
      <c r="Y2" s="321"/>
      <c r="Z2" s="321"/>
      <c r="AA2" s="321"/>
      <c r="AB2" s="321"/>
      <c r="AC2" s="320"/>
      <c r="AD2" s="320"/>
      <c r="AE2" s="323"/>
      <c r="AF2" s="317"/>
      <c r="AG2" s="317"/>
      <c r="AH2" s="318"/>
      <c r="AI2" s="319"/>
      <c r="AJ2" s="318"/>
      <c r="AK2" s="319"/>
      <c r="AL2" s="318"/>
    </row>
    <row r="3" spans="1:38" ht="17.100000000000001" customHeight="1">
      <c r="A3" s="320"/>
      <c r="B3" s="320"/>
      <c r="C3" s="320"/>
      <c r="D3" s="320"/>
      <c r="E3" s="320"/>
      <c r="F3" s="320"/>
      <c r="G3" s="320"/>
      <c r="H3" s="324"/>
      <c r="I3" s="320"/>
      <c r="J3" s="320"/>
      <c r="K3" s="320"/>
      <c r="L3" s="320"/>
      <c r="M3" s="321"/>
      <c r="N3" s="320"/>
      <c r="O3" s="322" t="s">
        <v>239</v>
      </c>
      <c r="P3" s="320"/>
      <c r="Q3" s="320"/>
      <c r="R3" s="320"/>
      <c r="S3" s="320"/>
      <c r="T3" s="320"/>
      <c r="U3" s="321"/>
      <c r="V3" s="321"/>
      <c r="W3" s="325"/>
      <c r="X3" s="321"/>
      <c r="Y3" s="321"/>
      <c r="Z3" s="321"/>
      <c r="AA3" s="321"/>
      <c r="AB3" s="324"/>
      <c r="AC3" s="324"/>
      <c r="AD3" s="324"/>
      <c r="AE3" s="326"/>
      <c r="AF3" s="317"/>
      <c r="AG3" s="317"/>
      <c r="AH3" s="318"/>
      <c r="AI3" s="319"/>
      <c r="AJ3" s="318"/>
      <c r="AK3" s="319"/>
      <c r="AL3" s="318"/>
    </row>
    <row r="4" spans="1:38" ht="17.100000000000001" customHeight="1">
      <c r="A4" s="320"/>
      <c r="B4" s="320"/>
      <c r="C4" s="320"/>
      <c r="D4" s="320"/>
      <c r="E4" s="320"/>
      <c r="F4" s="320" t="s">
        <v>199</v>
      </c>
      <c r="G4" s="320"/>
      <c r="H4" s="320"/>
      <c r="I4" s="320">
        <v>1</v>
      </c>
      <c r="J4" s="320"/>
      <c r="K4" s="320"/>
      <c r="L4" s="320"/>
      <c r="M4" s="320"/>
      <c r="N4" s="320"/>
      <c r="O4" s="320"/>
      <c r="P4" s="321"/>
      <c r="Q4" s="320"/>
      <c r="R4" s="320"/>
      <c r="S4" s="320"/>
      <c r="T4" s="320"/>
      <c r="U4" s="320"/>
      <c r="V4" s="320"/>
      <c r="W4" s="320"/>
      <c r="X4" s="320"/>
      <c r="Y4" s="320"/>
      <c r="Z4" s="320"/>
      <c r="AA4" s="320"/>
      <c r="AB4" s="327"/>
      <c r="AC4" s="320"/>
      <c r="AD4" s="320"/>
      <c r="AE4" s="321"/>
      <c r="AF4" s="317"/>
      <c r="AG4" s="317"/>
      <c r="AH4" s="318"/>
      <c r="AI4" s="319"/>
      <c r="AJ4" s="318"/>
      <c r="AK4" s="319"/>
      <c r="AL4" s="318"/>
    </row>
    <row r="5" spans="1:38" ht="17.100000000000001" customHeight="1">
      <c r="A5" s="418" t="s">
        <v>17</v>
      </c>
      <c r="B5" s="418" t="s">
        <v>8</v>
      </c>
      <c r="C5" s="418" t="s">
        <v>30</v>
      </c>
      <c r="D5" s="414" t="s">
        <v>31</v>
      </c>
      <c r="E5" s="415"/>
      <c r="F5" s="428" t="s">
        <v>5</v>
      </c>
      <c r="G5" s="328"/>
      <c r="H5" s="328"/>
      <c r="I5" s="418" t="s">
        <v>210</v>
      </c>
      <c r="J5" s="418"/>
      <c r="K5" s="418"/>
      <c r="L5" s="418"/>
      <c r="M5" s="418"/>
      <c r="N5" s="418"/>
      <c r="O5" s="418"/>
      <c r="P5" s="418"/>
      <c r="Q5" s="430" t="s">
        <v>211</v>
      </c>
      <c r="R5" s="431"/>
      <c r="S5" s="431"/>
      <c r="T5" s="431"/>
      <c r="U5" s="431"/>
      <c r="V5" s="431"/>
      <c r="W5" s="432"/>
      <c r="X5" s="328"/>
      <c r="Y5" s="328"/>
      <c r="Z5" s="428" t="s">
        <v>23</v>
      </c>
      <c r="AA5" s="400" t="s">
        <v>215</v>
      </c>
      <c r="AB5" s="427" t="s">
        <v>32</v>
      </c>
      <c r="AC5" s="418" t="s">
        <v>205</v>
      </c>
      <c r="AD5" s="418"/>
      <c r="AE5" s="427" t="s">
        <v>33</v>
      </c>
      <c r="AF5" s="423" t="s">
        <v>7</v>
      </c>
      <c r="AG5" s="406" t="s">
        <v>240</v>
      </c>
      <c r="AH5" s="408" t="s">
        <v>241</v>
      </c>
      <c r="AI5" s="410" t="s">
        <v>235</v>
      </c>
      <c r="AJ5" s="412" t="s">
        <v>242</v>
      </c>
      <c r="AK5" s="410" t="s">
        <v>186</v>
      </c>
      <c r="AL5" s="404" t="s">
        <v>188</v>
      </c>
    </row>
    <row r="6" spans="1:38" s="34" customFormat="1" ht="64.5" customHeight="1">
      <c r="A6" s="418"/>
      <c r="B6" s="418"/>
      <c r="C6" s="418"/>
      <c r="D6" s="416"/>
      <c r="E6" s="417"/>
      <c r="F6" s="433"/>
      <c r="G6" s="328"/>
      <c r="H6" s="328"/>
      <c r="I6" s="328" t="s">
        <v>218</v>
      </c>
      <c r="J6" s="328" t="s">
        <v>155</v>
      </c>
      <c r="K6" s="328" t="s">
        <v>34</v>
      </c>
      <c r="L6" s="328" t="s">
        <v>35</v>
      </c>
      <c r="M6" s="328" t="s">
        <v>36</v>
      </c>
      <c r="N6" s="328" t="s">
        <v>227</v>
      </c>
      <c r="O6" s="328" t="s">
        <v>195</v>
      </c>
      <c r="P6" s="330" t="s">
        <v>232</v>
      </c>
      <c r="Q6" s="329" t="s">
        <v>212</v>
      </c>
      <c r="R6" s="329" t="s">
        <v>174</v>
      </c>
      <c r="S6" s="329" t="s">
        <v>213</v>
      </c>
      <c r="T6" s="329" t="s">
        <v>214</v>
      </c>
      <c r="U6" s="329" t="s">
        <v>216</v>
      </c>
      <c r="V6" s="329" t="s">
        <v>217</v>
      </c>
      <c r="W6" s="331" t="s">
        <v>201</v>
      </c>
      <c r="X6" s="329" t="s">
        <v>27</v>
      </c>
      <c r="Y6" s="329" t="s">
        <v>28</v>
      </c>
      <c r="Z6" s="429"/>
      <c r="AA6" s="401"/>
      <c r="AB6" s="427"/>
      <c r="AC6" s="329" t="s">
        <v>18</v>
      </c>
      <c r="AD6" s="329" t="s">
        <v>207</v>
      </c>
      <c r="AE6" s="427"/>
      <c r="AF6" s="423"/>
      <c r="AG6" s="407"/>
      <c r="AH6" s="409"/>
      <c r="AI6" s="411"/>
      <c r="AJ6" s="413"/>
      <c r="AK6" s="411"/>
      <c r="AL6" s="405"/>
    </row>
    <row r="7" spans="1:38" ht="17.100000000000001" customHeight="1">
      <c r="A7" s="332">
        <v>1</v>
      </c>
      <c r="B7" s="332">
        <v>2</v>
      </c>
      <c r="C7" s="332">
        <v>3</v>
      </c>
      <c r="D7" s="419">
        <v>4</v>
      </c>
      <c r="E7" s="420"/>
      <c r="F7" s="332">
        <v>5</v>
      </c>
      <c r="G7" s="332"/>
      <c r="H7" s="332"/>
      <c r="I7" s="332">
        <v>6</v>
      </c>
      <c r="J7" s="332">
        <v>7</v>
      </c>
      <c r="K7" s="332">
        <v>8</v>
      </c>
      <c r="L7" s="332">
        <v>9</v>
      </c>
      <c r="M7" s="332">
        <v>10</v>
      </c>
      <c r="N7" s="332">
        <v>11</v>
      </c>
      <c r="O7" s="332">
        <v>12</v>
      </c>
      <c r="P7" s="333">
        <v>13</v>
      </c>
      <c r="Q7" s="332">
        <v>14</v>
      </c>
      <c r="R7" s="332">
        <v>15</v>
      </c>
      <c r="S7" s="332">
        <v>16</v>
      </c>
      <c r="T7" s="332">
        <v>17</v>
      </c>
      <c r="U7" s="332">
        <v>18</v>
      </c>
      <c r="V7" s="332">
        <v>19</v>
      </c>
      <c r="W7" s="332">
        <v>20</v>
      </c>
      <c r="X7" s="332">
        <v>21</v>
      </c>
      <c r="Y7" s="332">
        <v>22</v>
      </c>
      <c r="Z7" s="332">
        <v>23</v>
      </c>
      <c r="AA7" s="332">
        <v>24</v>
      </c>
      <c r="AB7" s="332">
        <v>25</v>
      </c>
      <c r="AC7" s="332">
        <v>26</v>
      </c>
      <c r="AD7" s="332">
        <v>27</v>
      </c>
      <c r="AE7" s="332">
        <v>28</v>
      </c>
      <c r="AF7" s="334">
        <v>29</v>
      </c>
      <c r="AG7" s="335">
        <v>30</v>
      </c>
      <c r="AH7" s="335">
        <v>31</v>
      </c>
      <c r="AI7" s="336" t="s">
        <v>219</v>
      </c>
      <c r="AJ7" s="337" t="s">
        <v>220</v>
      </c>
      <c r="AK7" s="338" t="s">
        <v>221</v>
      </c>
      <c r="AL7" s="339" t="s">
        <v>222</v>
      </c>
    </row>
    <row r="8" spans="1:38" ht="17.100000000000001" customHeight="1">
      <c r="A8" s="424">
        <v>1</v>
      </c>
      <c r="B8" s="426">
        <f>'Bang TH nop'!B9</f>
        <v>0</v>
      </c>
      <c r="C8" s="421">
        <f>IFERROR(IF(LEN(TRIM(B8))&gt;0,'Bang TH nop'!C9,""),"")</f>
        <v>0</v>
      </c>
      <c r="D8" s="398">
        <f>IFERROR(IF(AND(LEN(TRIM(B8))&gt;0,LEN(TRIM(C8))&gt;0),'Bang TH nop'!AO9,""),"")</f>
        <v>0</v>
      </c>
      <c r="E8" s="399"/>
      <c r="F8" s="340"/>
      <c r="G8" s="341"/>
      <c r="H8" s="341"/>
      <c r="I8" s="342">
        <f>IFERROR(IF(AND(LEN(TRIM(B8))&gt;0,LEN(TRIM(C8))&gt;0),'Bang TH nop'!BB9,0),0)</f>
        <v>0</v>
      </c>
      <c r="J8" s="342">
        <f>IFERROR(IF(AND(LEN(TRIM(B8))&gt;0,LEN(TRIM(C8))&gt;0),'Bang TH nop'!AV9,0),0)</f>
        <v>0</v>
      </c>
      <c r="K8" s="342">
        <f>IFERROR(IF(AND(LEN(TRIM(B8))&gt;0,LEN(TRIM(C8))&gt;0),'Bang TH nop'!AR9,0),0)</f>
        <v>0</v>
      </c>
      <c r="L8" s="343">
        <f>IFERROR(IF(AND(LEN(TRIM(B8))&gt;0,LEN(TRIM(C8))&gt;0),'Bang TH nop'!AS9,0),0)</f>
        <v>0</v>
      </c>
      <c r="M8" s="342">
        <f>IFERROR(IF(AND(LEN(TRIM(B8))&gt;0,LEN(TRIM(C8))&gt;0),'Bang TH nop'!AT9,0),0)</f>
        <v>0</v>
      </c>
      <c r="N8" s="344">
        <f>IFERROR(IF(AND(LEN(TRIM(B8))&gt;0,LEN(TRIM(C8))&gt;0),'Bang TH nop'!AU9,0),0)</f>
        <v>0</v>
      </c>
      <c r="O8" s="342">
        <f>IFERROR(IF(AND(LEN(TRIM(B8))&gt;0,LEN(TRIM(C8))&gt;0),'Bang TH nop'!BE9,0),0)</f>
        <v>0</v>
      </c>
      <c r="P8" s="345">
        <f>IFERROR(IF(AND(LEN(TRIM(B8))&gt;0,LEN(TRIM(C8))&gt;0),'Bang TH nop'!AZ9,0),0)</f>
        <v>0</v>
      </c>
      <c r="Q8" s="343"/>
      <c r="R8" s="342"/>
      <c r="S8" s="342"/>
      <c r="T8" s="342"/>
      <c r="U8" s="341"/>
      <c r="V8" s="341"/>
      <c r="W8" s="341"/>
      <c r="X8" s="341"/>
      <c r="Y8" s="341"/>
      <c r="Z8" s="341"/>
      <c r="AA8" s="340" t="str">
        <f>IFERROR(
IF(AND(LEN(TRIM(B8))&gt;0,LEN(TRIM(C8))&gt;0),
'Bang TH nop'!AH9,
0
),
0
)</f>
        <v>A</v>
      </c>
      <c r="AB8" s="346"/>
      <c r="AC8" s="346"/>
      <c r="AD8" s="341"/>
      <c r="AE8" s="346"/>
      <c r="AF8" s="347"/>
      <c r="AG8" s="348"/>
      <c r="AH8" s="349"/>
      <c r="AI8" s="350"/>
      <c r="AJ8" s="351"/>
      <c r="AK8" s="350"/>
      <c r="AL8" s="352"/>
    </row>
    <row r="9" spans="1:38" ht="17.100000000000001" customHeight="1">
      <c r="A9" s="425"/>
      <c r="B9" s="426"/>
      <c r="C9" s="422"/>
      <c r="D9" s="397">
        <f>IFERROR(IF(AND(LEN(TRIM(B8))&gt;0,LEN(TRIM(C8))&gt;0),'Bang TH nop'!AP9,""),"")</f>
        <v>0</v>
      </c>
      <c r="E9" s="397"/>
      <c r="F9" s="353">
        <f>IFERROR(IF(AND(LEN(TRIM(B8))&gt;0,LEN(TRIM(C8))&gt;0),'Bang TH nop'!AL9,0),0)</f>
        <v>0</v>
      </c>
      <c r="G9" s="340">
        <f>D9*I8/26</f>
        <v>0</v>
      </c>
      <c r="H9" s="340">
        <f>D9*J8*150%/(26*8)</f>
        <v>0</v>
      </c>
      <c r="I9" s="340"/>
      <c r="J9" s="340"/>
      <c r="K9" s="344">
        <f>IFERROR(
IF(AND(LEN(TRIM(B8))&gt;0,LEN(TRIM(C8))&gt;0),
ROUND(D9/26*K8,0),
0
),
0
)</f>
        <v>0</v>
      </c>
      <c r="L9" s="344">
        <f>IFERROR(
IF(AND(LEN(TRIM(B8))&gt;0,LEN(TRIM(C8))&gt;0),
ROUND(D9/26*L8,0),
0
),
0
)</f>
        <v>0</v>
      </c>
      <c r="M9" s="344">
        <f>IFERROR(
IF(AND(LEN(TRIM(B8))&gt;0,LEN(TRIM(C8))&gt;0),
ROUND(D9/26*M8,0),
0
),
0
)</f>
        <v>0</v>
      </c>
      <c r="N9" s="344">
        <f>IFERROR(
IF(AND(LEN(TRIM(B8))&gt;0,LEN(TRIM(C8))&gt;0),
D9*N8/(26*8),
0
),
0
)</f>
        <v>0</v>
      </c>
      <c r="O9" s="344">
        <f>IFERROR(
IF(AND(LEN(TRIM(B8))&gt;0,LEN(TRIM(C8))&gt;0),
D9*O8/(26*8),
0
),
0
)</f>
        <v>0</v>
      </c>
      <c r="P9" s="344">
        <f>IFERROR(
IF(AND(LEN(TRIM(B8))&gt;0,LEN(TRIM(C8))&gt;0),
(D9/26/8*P8),
0
),
0
)</f>
        <v>0</v>
      </c>
      <c r="Q9" s="344">
        <f>IFERROR(
IF(AND(LEN(TRIM(B8))&gt;0,LEN(TRIM(C8))&gt;0),
'Bang TH nop'!BC9,
0
),
0
)</f>
        <v>0</v>
      </c>
      <c r="R9" s="340">
        <f>IFERROR(
IF(AND(LEN(TRIM(B8))&gt;0,LEN(TRIM(C8))&gt;0),
'Bang TH nop'!BD9,
0
),
0
)</f>
        <v>0</v>
      </c>
      <c r="S9" s="340">
        <f>IFERROR(
IF(AND(LEN(TRIM(B8))&gt;0,LEN(TRIM(C8))&gt;0),
'Bang TH nop'!BJ9,
0
),
0
)</f>
        <v>0</v>
      </c>
      <c r="T9" s="340">
        <f>IFERROR(
IF(AND(LEN(TRIM(B8))&gt;0,LEN(TRIM(C8))&gt;0),
IFERROR('Bang TH nop'!AW9,0)+IFERROR('Bang TH nop'!BH9,0),
0
),
0
)</f>
        <v>0</v>
      </c>
      <c r="U9" s="344"/>
      <c r="V9" s="344"/>
      <c r="W9" s="344"/>
      <c r="X9" s="340">
        <f>+IF(G9-I9&lt;0,0,G9-I9)</f>
        <v>0</v>
      </c>
      <c r="Y9" s="340">
        <f>+IF(H9-J9&lt;0,0, H9-J9)</f>
        <v>0</v>
      </c>
      <c r="Z9" s="340">
        <f>IFERROR(
IF(AND(LEN(TRIM(B8))&gt;0,LEN(TRIM(C8))&gt;0),
(X9+Y9)*25%,
0
),
0
)</f>
        <v>0</v>
      </c>
      <c r="AA9" s="340">
        <f>IFERROR(
IF(AND(LEN(TRIM(B8))&gt;0,LEN(TRIM(C8))&gt;0),
'Bang TH nop'!BG9,
0
),
0
)</f>
        <v>0</v>
      </c>
      <c r="AB9" s="344">
        <f>IFERROR(
IF(AND(LEN(TRIM(B8))&gt;0,LEN(TRIM(C8))&gt;0),
SUM(I9:W9)+IFERROR(Z9,0)+IFERROR(AA9,0),
0
),
0
)</f>
        <v>0</v>
      </c>
      <c r="AC9" s="340">
        <f>IFERROR(
IF(AND(LEN(TRIM(B8))&gt;0,LEN(TRIM(C8))&gt;0),
IF((26-(IFERROR(I8,0)+IFERROR(K8,0)+IFERROR(L8,0)+IFERROR(M8,0)))&gt;12,0,D9*10.5%),
0
),
0
)</f>
        <v>0</v>
      </c>
      <c r="AD9" s="340">
        <f>IFERROR(
IF(AND(LEN(TRIM(B8))&gt;0,LEN(TRIM(C8))&gt;0),
ROUND(IF(D9=4939000,D9*0.5%,0),-2),
0
),
0
)</f>
        <v>0</v>
      </c>
      <c r="AE9" s="344">
        <f>IFERROR(
IF(AND(LEN(TRIM(B8))&gt;0,LEN(TRIM(C8))&gt;0),
ROUND(IFERROR(AB9,0)-IFERROR(AC9,0)-IFERROR(AD9,0),-2),
0
),
0
)</f>
        <v>0</v>
      </c>
      <c r="AF9" s="347">
        <f>IFERROR(
IF(AND(LEN(TRIM(B8))&gt;0,LEN(TRIM(C8))&gt;0),
IFERROR('Bang TH nop'!AQ9,0)+IFERROR('Bang TH nop'!AT9,0)+IFERROR('Bang TH nop'!BF9,0),
0
),
0
)</f>
        <v>0</v>
      </c>
      <c r="AG9" s="348"/>
      <c r="AH9" s="354"/>
      <c r="AI9" s="355">
        <f>IFERROR(
IF(AND(LEN(TRIM(B8))&gt;0,LEN(TRIM(C8))&gt;0),
AH9/AG9,
0
),
0
)</f>
        <v>0</v>
      </c>
      <c r="AJ9" s="355">
        <f>IFERROR(
IF(AND(LEN(TRIM(B8))&gt;0,LEN(TRIM(C8))&gt;0),
AL9/AF9,
0
),
0
)</f>
        <v>0</v>
      </c>
      <c r="AK9" s="356">
        <f>IFERROR(
IF(AND(LEN(TRIM(B8))&gt;0,LEN(TRIM(C8))&gt;0),
AJ9/AI9,
0
),
0
)</f>
        <v>0</v>
      </c>
      <c r="AL9" s="357">
        <f>IFERROR(
IF(AND(LEN(TRIM(B8))&gt;0,LEN(TRIM(C8))&gt;0),
AB9/L9,
0
),
0
)</f>
        <v>0</v>
      </c>
    </row>
    <row r="10" spans="1:38" ht="17.100000000000001" customHeight="1">
      <c r="A10" s="424">
        <f>A8+1</f>
        <v>2</v>
      </c>
      <c r="B10" s="426">
        <f>'Bang TH nop'!B11</f>
        <v>0</v>
      </c>
      <c r="C10" s="421">
        <f>IFERROR(IF(LEN(TRIM(B10))&gt;0,'Bang TH nop'!C11,""),"")</f>
        <v>0</v>
      </c>
      <c r="D10" s="398">
        <f>IFERROR(IF(AND(LEN(TRIM(B10))&gt;0,LEN(TRIM(C10))&gt;0),'Bang TH nop'!AO11,""),"")</f>
        <v>0</v>
      </c>
      <c r="E10" s="399"/>
      <c r="F10" s="340"/>
      <c r="G10" s="341"/>
      <c r="H10" s="341"/>
      <c r="I10" s="342">
        <f>IFERROR(IF(AND(LEN(TRIM(B10))&gt;0,LEN(TRIM(C10))&gt;0),'Bang TH nop'!BB11,0),0)</f>
        <v>0</v>
      </c>
      <c r="J10" s="342">
        <f>IFERROR(IF(AND(LEN(TRIM(B10))&gt;0,LEN(TRIM(C10))&gt;0),'Bang TH nop'!AV11,0),0)</f>
        <v>0</v>
      </c>
      <c r="K10" s="342">
        <f>IFERROR(IF(AND(LEN(TRIM(B10))&gt;0,LEN(TRIM(C10))&gt;0),'Bang TH nop'!AR11,0),0)</f>
        <v>0</v>
      </c>
      <c r="L10" s="343">
        <f>IFERROR(IF(AND(LEN(TRIM(B10))&gt;0,LEN(TRIM(C10))&gt;0),'Bang TH nop'!AS11,0),0)</f>
        <v>0</v>
      </c>
      <c r="M10" s="342">
        <f>IFERROR(IF(AND(LEN(TRIM(B10))&gt;0,LEN(TRIM(C10))&gt;0),'Bang TH nop'!AT11,0),0)</f>
        <v>0</v>
      </c>
      <c r="N10" s="344">
        <f>IFERROR(IF(AND(LEN(TRIM(B10))&gt;0,LEN(TRIM(C10))&gt;0),'Bang TH nop'!AU11,0),0)</f>
        <v>0</v>
      </c>
      <c r="O10" s="342">
        <f>IFERROR(IF(AND(LEN(TRIM(B10))&gt;0,LEN(TRIM(C10))&gt;0),'Bang TH nop'!BE11,0),0)</f>
        <v>0</v>
      </c>
      <c r="P10" s="345">
        <f>IFERROR(IF(AND(LEN(TRIM(B10))&gt;0,LEN(TRIM(C10))&gt;0),'Bang TH nop'!AZ11,0),0)</f>
        <v>0</v>
      </c>
      <c r="Q10" s="343"/>
      <c r="R10" s="342"/>
      <c r="S10" s="342"/>
      <c r="T10" s="342"/>
      <c r="U10" s="341"/>
      <c r="V10" s="341"/>
      <c r="W10" s="341"/>
      <c r="X10" s="341"/>
      <c r="Y10" s="341"/>
      <c r="Z10" s="341"/>
      <c r="AA10" s="340" t="str">
        <f>IFERROR(
IF(AND(LEN(TRIM(B10))&gt;0,LEN(TRIM(C10))&gt;0),
'Bang TH nop'!AH11,
0
),
0
)</f>
        <v>A</v>
      </c>
      <c r="AB10" s="346"/>
      <c r="AC10" s="346"/>
      <c r="AD10" s="341"/>
      <c r="AE10" s="346"/>
      <c r="AF10" s="347"/>
      <c r="AG10" s="348"/>
      <c r="AH10" s="349"/>
      <c r="AI10" s="350"/>
      <c r="AJ10" s="351"/>
      <c r="AK10" s="350"/>
      <c r="AL10" s="352"/>
    </row>
    <row r="11" spans="1:38" ht="17.100000000000001" customHeight="1">
      <c r="A11" s="425"/>
      <c r="B11" s="426"/>
      <c r="C11" s="422"/>
      <c r="D11" s="397">
        <f>IFERROR(IF(AND(LEN(TRIM(B10))&gt;0,LEN(TRIM(C10))&gt;0),'Bang TH nop'!AP11,""),"")</f>
        <v>0</v>
      </c>
      <c r="E11" s="397"/>
      <c r="F11" s="353">
        <f>IFERROR(IF(AND(LEN(TRIM(B10))&gt;0,LEN(TRIM(C10))&gt;0),'Bang TH nop'!AL11,0),0)</f>
        <v>0</v>
      </c>
      <c r="G11" s="340">
        <f t="shared" ref="G11" si="0">D11*I10/26</f>
        <v>0</v>
      </c>
      <c r="H11" s="340">
        <f t="shared" ref="H11" si="1">D11*J10*150%/(26*8)</f>
        <v>0</v>
      </c>
      <c r="I11" s="340"/>
      <c r="J11" s="340"/>
      <c r="K11" s="344">
        <f t="shared" ref="K11" si="2">IFERROR(
IF(AND(LEN(TRIM(B10))&gt;0,LEN(TRIM(C10))&gt;0),
ROUND(D11/26*K10,0),
0
),
0
)</f>
        <v>0</v>
      </c>
      <c r="L11" s="344">
        <f t="shared" ref="L11" si="3">IFERROR(
IF(AND(LEN(TRIM(B10))&gt;0,LEN(TRIM(C10))&gt;0),
ROUND(D11/26*L10,0),
0
),
0
)</f>
        <v>0</v>
      </c>
      <c r="M11" s="344">
        <f t="shared" ref="M11" si="4">IFERROR(
IF(AND(LEN(TRIM(B10))&gt;0,LEN(TRIM(C10))&gt;0),
ROUND(D11/26*M10,0),
0
),
0
)</f>
        <v>0</v>
      </c>
      <c r="N11" s="344">
        <f t="shared" ref="N11" si="5">IFERROR(
IF(AND(LEN(TRIM(B10))&gt;0,LEN(TRIM(C10))&gt;0),
D11*N10/(26*8),
0
),
0
)</f>
        <v>0</v>
      </c>
      <c r="O11" s="344">
        <f t="shared" ref="O11" si="6">IFERROR(
IF(AND(LEN(TRIM(B10))&gt;0,LEN(TRIM(C10))&gt;0),
D11*O10/(26*8),
0
),
0
)</f>
        <v>0</v>
      </c>
      <c r="P11" s="344">
        <f t="shared" ref="P11" si="7">IFERROR(
IF(AND(LEN(TRIM(B10))&gt;0,LEN(TRIM(C10))&gt;0),
(D11/26/8*P10),
0
),
0
)</f>
        <v>0</v>
      </c>
      <c r="Q11" s="344">
        <f>IFERROR(
IF(AND(LEN(TRIM(B10))&gt;0,LEN(TRIM(C10))&gt;0),
'Bang TH nop'!BC11,
0
),
0
)</f>
        <v>0</v>
      </c>
      <c r="R11" s="340">
        <f>IFERROR(
IF(AND(LEN(TRIM(B10))&gt;0,LEN(TRIM(C10))&gt;0),
'Bang TH nop'!BD11,
0
),
0
)</f>
        <v>0</v>
      </c>
      <c r="S11" s="340">
        <f>IFERROR(
IF(AND(LEN(TRIM(B10))&gt;0,LEN(TRIM(C10))&gt;0),
'Bang TH nop'!BJ11,
0
),
0
)</f>
        <v>0</v>
      </c>
      <c r="T11" s="340">
        <f>IFERROR(
IF(AND(LEN(TRIM(B10))&gt;0,LEN(TRIM(C10))&gt;0),
IFERROR('Bang TH nop'!AW11,0)+IFERROR('Bang TH nop'!BH11,0),
0
),
0
)</f>
        <v>0</v>
      </c>
      <c r="U11" s="344"/>
      <c r="V11" s="344"/>
      <c r="W11" s="344"/>
      <c r="X11" s="340">
        <f t="shared" ref="X11" si="8">+IF(G11-I11&lt;0,0,G11-I11)</f>
        <v>0</v>
      </c>
      <c r="Y11" s="340">
        <f t="shared" ref="Y11" si="9">+IF(H11-J11&lt;0,0, H11-J11)</f>
        <v>0</v>
      </c>
      <c r="Z11" s="340">
        <f t="shared" ref="Z11" si="10">IFERROR(
IF(AND(LEN(TRIM(B10))&gt;0,LEN(TRIM(C10))&gt;0),
(X11+Y11)*25%,
0
),
0
)</f>
        <v>0</v>
      </c>
      <c r="AA11" s="340">
        <f>IFERROR(
IF(AND(LEN(TRIM(B10))&gt;0,LEN(TRIM(C10))&gt;0),
'Bang TH nop'!BG11,
0
),
0
)</f>
        <v>0</v>
      </c>
      <c r="AB11" s="344">
        <f t="shared" ref="AB11" si="11">IFERROR(
IF(AND(LEN(TRIM(B10))&gt;0,LEN(TRIM(C10))&gt;0),
SUM(I11:W11)+IFERROR(Z11,0)+IFERROR(AA11,0),
0
),
0
)</f>
        <v>0</v>
      </c>
      <c r="AC11" s="340">
        <f t="shared" ref="AC11" si="12">IFERROR(
IF(AND(LEN(TRIM(B10))&gt;0,LEN(TRIM(C10))&gt;0),
IF((26-(IFERROR(I10,0)+IFERROR(K10,0)+IFERROR(L10,0)+IFERROR(M10,0)))&gt;12,0,D11*10.5%),
0
),
0
)</f>
        <v>0</v>
      </c>
      <c r="AD11" s="340">
        <f t="shared" ref="AD11" si="13">IFERROR(
IF(AND(LEN(TRIM(B10))&gt;0,LEN(TRIM(C10))&gt;0),
ROUND(IF(D11=4939000,D11*0.5%,0),-2),
0
),
0
)</f>
        <v>0</v>
      </c>
      <c r="AE11" s="344">
        <f t="shared" ref="AE11" si="14">IFERROR(
IF(AND(LEN(TRIM(B10))&gt;0,LEN(TRIM(C10))&gt;0),
ROUND(IFERROR(AB11,0)-IFERROR(AC11,0)-IFERROR(AD11,0),-2),
0
),
0
)</f>
        <v>0</v>
      </c>
      <c r="AF11" s="347">
        <f>IFERROR(
IF(AND(LEN(TRIM(B10))&gt;0,LEN(TRIM(C10))&gt;0),
IFERROR('Bang TH nop'!AQ11,0)+IFERROR('Bang TH nop'!AT11,0)+IFERROR('Bang TH nop'!BF11,0),
0
),
0
)</f>
        <v>0</v>
      </c>
      <c r="AG11" s="348"/>
      <c r="AH11" s="354"/>
      <c r="AI11" s="355">
        <f t="shared" ref="AI11" si="15">IFERROR(
IF(AND(LEN(TRIM(B10))&gt;0,LEN(TRIM(C10))&gt;0),
AH11/AG11,
0
),
0
)</f>
        <v>0</v>
      </c>
      <c r="AJ11" s="355">
        <f t="shared" ref="AJ11" si="16">IFERROR(
IF(AND(LEN(TRIM(B10))&gt;0,LEN(TRIM(C10))&gt;0),
AL11/AF11,
0
),
0
)</f>
        <v>0</v>
      </c>
      <c r="AK11" s="356">
        <f t="shared" ref="AK11" si="17">IFERROR(
IF(AND(LEN(TRIM(B10))&gt;0,LEN(TRIM(C10))&gt;0),
AJ11/AI11,
0
),
0
)</f>
        <v>0</v>
      </c>
      <c r="AL11" s="357">
        <f t="shared" ref="AL11" si="18">IFERROR(
IF(AND(LEN(TRIM(B10))&gt;0,LEN(TRIM(C10))&gt;0),
AB11/L11,
0
),
0
)</f>
        <v>0</v>
      </c>
    </row>
    <row r="12" spans="1:38" ht="17.100000000000001" customHeight="1">
      <c r="A12" s="424">
        <f t="shared" ref="A12" si="19">A10+1</f>
        <v>3</v>
      </c>
      <c r="B12" s="426">
        <f>'Bang TH nop'!B13</f>
        <v>0</v>
      </c>
      <c r="C12" s="421">
        <f>IFERROR(IF(LEN(TRIM(B12))&gt;0,'Bang TH nop'!C13,""),"")</f>
        <v>0</v>
      </c>
      <c r="D12" s="398">
        <f>IFERROR(IF(AND(LEN(TRIM(B12))&gt;0,LEN(TRIM(C12))&gt;0),'Bang TH nop'!AO13,""),"")</f>
        <v>0</v>
      </c>
      <c r="E12" s="399"/>
      <c r="F12" s="340"/>
      <c r="G12" s="341"/>
      <c r="H12" s="341"/>
      <c r="I12" s="342">
        <f>IFERROR(IF(AND(LEN(TRIM(B12))&gt;0,LEN(TRIM(C12))&gt;0),'Bang TH nop'!BB13,0),0)</f>
        <v>0</v>
      </c>
      <c r="J12" s="342">
        <f>IFERROR(IF(AND(LEN(TRIM(B12))&gt;0,LEN(TRIM(C12))&gt;0),'Bang TH nop'!AV13,0),0)</f>
        <v>0</v>
      </c>
      <c r="K12" s="342">
        <f>IFERROR(IF(AND(LEN(TRIM(B12))&gt;0,LEN(TRIM(C12))&gt;0),'Bang TH nop'!AR13,0),0)</f>
        <v>0</v>
      </c>
      <c r="L12" s="343">
        <f>IFERROR(IF(AND(LEN(TRIM(B12))&gt;0,LEN(TRIM(C12))&gt;0),'Bang TH nop'!AS13,0),0)</f>
        <v>0</v>
      </c>
      <c r="M12" s="342">
        <f>IFERROR(IF(AND(LEN(TRIM(B12))&gt;0,LEN(TRIM(C12))&gt;0),'Bang TH nop'!AT13,0),0)</f>
        <v>0</v>
      </c>
      <c r="N12" s="344">
        <f>IFERROR(IF(AND(LEN(TRIM(B12))&gt;0,LEN(TRIM(C12))&gt;0),'Bang TH nop'!AU13,0),0)</f>
        <v>0</v>
      </c>
      <c r="O12" s="342">
        <f>IFERROR(IF(AND(LEN(TRIM(B12))&gt;0,LEN(TRIM(C12))&gt;0),'Bang TH nop'!BE13,0),0)</f>
        <v>0</v>
      </c>
      <c r="P12" s="345">
        <f>IFERROR(IF(AND(LEN(TRIM(B12))&gt;0,LEN(TRIM(C12))&gt;0),'Bang TH nop'!AZ13,0),0)</f>
        <v>0</v>
      </c>
      <c r="Q12" s="343"/>
      <c r="R12" s="342"/>
      <c r="S12" s="342"/>
      <c r="T12" s="342"/>
      <c r="U12" s="341"/>
      <c r="V12" s="341"/>
      <c r="W12" s="341"/>
      <c r="X12" s="341"/>
      <c r="Y12" s="341"/>
      <c r="Z12" s="341"/>
      <c r="AA12" s="340" t="str">
        <f>IFERROR(
IF(AND(LEN(TRIM(B12))&gt;0,LEN(TRIM(C12))&gt;0),
'Bang TH nop'!AH13,
0
),
0
)</f>
        <v>A</v>
      </c>
      <c r="AB12" s="346"/>
      <c r="AC12" s="346"/>
      <c r="AD12" s="341"/>
      <c r="AE12" s="346"/>
      <c r="AF12" s="347"/>
      <c r="AG12" s="348"/>
      <c r="AH12" s="349"/>
      <c r="AI12" s="350"/>
      <c r="AJ12" s="351"/>
      <c r="AK12" s="350"/>
      <c r="AL12" s="352"/>
    </row>
    <row r="13" spans="1:38" ht="17.100000000000001" customHeight="1">
      <c r="A13" s="425"/>
      <c r="B13" s="426"/>
      <c r="C13" s="422"/>
      <c r="D13" s="397">
        <f>IFERROR(IF(AND(LEN(TRIM(B12))&gt;0,LEN(TRIM(C12))&gt;0),'Bang TH nop'!AP13,""),"")</f>
        <v>0</v>
      </c>
      <c r="E13" s="397"/>
      <c r="F13" s="353">
        <f>IFERROR(IF(AND(LEN(TRIM(B12))&gt;0,LEN(TRIM(C12))&gt;0),'Bang TH nop'!AL13,0),0)</f>
        <v>0</v>
      </c>
      <c r="G13" s="340">
        <f t="shared" ref="G13" si="20">D13*I12/26</f>
        <v>0</v>
      </c>
      <c r="H13" s="340">
        <f t="shared" ref="H13" si="21">D13*J12*150%/(26*8)</f>
        <v>0</v>
      </c>
      <c r="I13" s="340"/>
      <c r="J13" s="340"/>
      <c r="K13" s="344">
        <f t="shared" ref="K13" si="22">IFERROR(
IF(AND(LEN(TRIM(B12))&gt;0,LEN(TRIM(C12))&gt;0),
ROUND(D13/26*K12,0),
0
),
0
)</f>
        <v>0</v>
      </c>
      <c r="L13" s="344">
        <f t="shared" ref="L13" si="23">IFERROR(
IF(AND(LEN(TRIM(B12))&gt;0,LEN(TRIM(C12))&gt;0),
ROUND(D13/26*L12,0),
0
),
0
)</f>
        <v>0</v>
      </c>
      <c r="M13" s="344">
        <f t="shared" ref="M13" si="24">IFERROR(
IF(AND(LEN(TRIM(B12))&gt;0,LEN(TRIM(C12))&gt;0),
ROUND(D13/26*M12,0),
0
),
0
)</f>
        <v>0</v>
      </c>
      <c r="N13" s="344">
        <f t="shared" ref="N13" si="25">IFERROR(
IF(AND(LEN(TRIM(B12))&gt;0,LEN(TRIM(C12))&gt;0),
D13*N12/(26*8),
0
),
0
)</f>
        <v>0</v>
      </c>
      <c r="O13" s="344">
        <f t="shared" ref="O13" si="26">IFERROR(
IF(AND(LEN(TRIM(B12))&gt;0,LEN(TRIM(C12))&gt;0),
D13*O12/(26*8),
0
),
0
)</f>
        <v>0</v>
      </c>
      <c r="P13" s="344">
        <f t="shared" ref="P13" si="27">IFERROR(
IF(AND(LEN(TRIM(B12))&gt;0,LEN(TRIM(C12))&gt;0),
(D13/26/8*P12),
0
),
0
)</f>
        <v>0</v>
      </c>
      <c r="Q13" s="344">
        <f>IFERROR(
IF(AND(LEN(TRIM(B12))&gt;0,LEN(TRIM(C12))&gt;0),
'Bang TH nop'!BC13,
0
),
0
)</f>
        <v>0</v>
      </c>
      <c r="R13" s="340">
        <f>IFERROR(
IF(AND(LEN(TRIM(B12))&gt;0,LEN(TRIM(C12))&gt;0),
'Bang TH nop'!BD13,
0
),
0
)</f>
        <v>0</v>
      </c>
      <c r="S13" s="340">
        <f>IFERROR(
IF(AND(LEN(TRIM(B12))&gt;0,LEN(TRIM(C12))&gt;0),
'Bang TH nop'!BJ13,
0
),
0
)</f>
        <v>0</v>
      </c>
      <c r="T13" s="340">
        <f>IFERROR(
IF(AND(LEN(TRIM(B12))&gt;0,LEN(TRIM(C12))&gt;0),
IFERROR('Bang TH nop'!AW13,0)+IFERROR('Bang TH nop'!BH13,0),
0
),
0
)</f>
        <v>0</v>
      </c>
      <c r="U13" s="344"/>
      <c r="V13" s="344"/>
      <c r="W13" s="344"/>
      <c r="X13" s="340">
        <f t="shared" ref="X13" si="28">+IF(G13-I13&lt;0,0,G13-I13)</f>
        <v>0</v>
      </c>
      <c r="Y13" s="340">
        <f t="shared" ref="Y13" si="29">+IF(H13-J13&lt;0,0, H13-J13)</f>
        <v>0</v>
      </c>
      <c r="Z13" s="340">
        <f t="shared" ref="Z13" si="30">IFERROR(
IF(AND(LEN(TRIM(B12))&gt;0,LEN(TRIM(C12))&gt;0),
(X13+Y13)*25%,
0
),
0
)</f>
        <v>0</v>
      </c>
      <c r="AA13" s="340">
        <f>IFERROR(
IF(AND(LEN(TRIM(B12))&gt;0,LEN(TRIM(C12))&gt;0),
'Bang TH nop'!BG13,
0
),
0
)</f>
        <v>0</v>
      </c>
      <c r="AB13" s="344">
        <f t="shared" ref="AB13" si="31">IFERROR(
IF(AND(LEN(TRIM(B12))&gt;0,LEN(TRIM(C12))&gt;0),
SUM(I13:W13)+IFERROR(Z13,0)+IFERROR(AA13,0),
0
),
0
)</f>
        <v>0</v>
      </c>
      <c r="AC13" s="340">
        <f t="shared" ref="AC13" si="32">IFERROR(
IF(AND(LEN(TRIM(B12))&gt;0,LEN(TRIM(C12))&gt;0),
IF((26-(IFERROR(I12,0)+IFERROR(K12,0)+IFERROR(L12,0)+IFERROR(M12,0)))&gt;12,0,D13*10.5%),
0
),
0
)</f>
        <v>0</v>
      </c>
      <c r="AD13" s="340">
        <f t="shared" ref="AD13" si="33">IFERROR(
IF(AND(LEN(TRIM(B12))&gt;0,LEN(TRIM(C12))&gt;0),
ROUND(IF(D13=4939000,D13*0.5%,0),-2),
0
),
0
)</f>
        <v>0</v>
      </c>
      <c r="AE13" s="344">
        <f t="shared" ref="AE13" si="34">IFERROR(
IF(AND(LEN(TRIM(B12))&gt;0,LEN(TRIM(C12))&gt;0),
ROUND(IFERROR(AB13,0)-IFERROR(AC13,0)-IFERROR(AD13,0),-2),
0
),
0
)</f>
        <v>0</v>
      </c>
      <c r="AF13" s="347">
        <f>IFERROR(
IF(AND(LEN(TRIM(B12))&gt;0,LEN(TRIM(C12))&gt;0),
IFERROR('Bang TH nop'!AQ13,0)+IFERROR('Bang TH nop'!AT13,0)+IFERROR('Bang TH nop'!BF13,0),
0
),
0
)</f>
        <v>0</v>
      </c>
      <c r="AG13" s="348"/>
      <c r="AH13" s="354"/>
      <c r="AI13" s="355">
        <f t="shared" ref="AI13" si="35">IFERROR(
IF(AND(LEN(TRIM(B12))&gt;0,LEN(TRIM(C12))&gt;0),
AH13/AG13,
0
),
0
)</f>
        <v>0</v>
      </c>
      <c r="AJ13" s="355">
        <f t="shared" ref="AJ13" si="36">IFERROR(
IF(AND(LEN(TRIM(B12))&gt;0,LEN(TRIM(C12))&gt;0),
AL13/AF13,
0
),
0
)</f>
        <v>0</v>
      </c>
      <c r="AK13" s="356">
        <f t="shared" ref="AK13" si="37">IFERROR(
IF(AND(LEN(TRIM(B12))&gt;0,LEN(TRIM(C12))&gt;0),
AJ13/AI13,
0
),
0
)</f>
        <v>0</v>
      </c>
      <c r="AL13" s="357">
        <f t="shared" ref="AL13" si="38">IFERROR(
IF(AND(LEN(TRIM(B12))&gt;0,LEN(TRIM(C12))&gt;0),
AB13/L13,
0
),
0
)</f>
        <v>0</v>
      </c>
    </row>
    <row r="14" spans="1:38" ht="17.100000000000001" customHeight="1">
      <c r="A14" s="424">
        <f t="shared" ref="A14" si="39">A12+1</f>
        <v>4</v>
      </c>
      <c r="B14" s="426">
        <f>'Bang TH nop'!B15</f>
        <v>0</v>
      </c>
      <c r="C14" s="421">
        <f>IFERROR(IF(LEN(TRIM(B14))&gt;0,'Bang TH nop'!C15,""),"")</f>
        <v>0</v>
      </c>
      <c r="D14" s="398">
        <f>IFERROR(IF(AND(LEN(TRIM(B14))&gt;0,LEN(TRIM(C14))&gt;0),'Bang TH nop'!AO15,""),"")</f>
        <v>0</v>
      </c>
      <c r="E14" s="399"/>
      <c r="F14" s="340"/>
      <c r="G14" s="341"/>
      <c r="H14" s="341"/>
      <c r="I14" s="342">
        <f>IFERROR(IF(AND(LEN(TRIM(B14))&gt;0,LEN(TRIM(C14))&gt;0),'Bang TH nop'!BB15,0),0)</f>
        <v>0</v>
      </c>
      <c r="J14" s="342">
        <f>IFERROR(IF(AND(LEN(TRIM(B14))&gt;0,LEN(TRIM(C14))&gt;0),'Bang TH nop'!AV15,0),0)</f>
        <v>0</v>
      </c>
      <c r="K14" s="342">
        <f>IFERROR(IF(AND(LEN(TRIM(B14))&gt;0,LEN(TRIM(C14))&gt;0),'Bang TH nop'!AR15,0),0)</f>
        <v>0</v>
      </c>
      <c r="L14" s="343">
        <f>IFERROR(IF(AND(LEN(TRIM(B14))&gt;0,LEN(TRIM(C14))&gt;0),'Bang TH nop'!AS15,0),0)</f>
        <v>0</v>
      </c>
      <c r="M14" s="342">
        <f>IFERROR(IF(AND(LEN(TRIM(B14))&gt;0,LEN(TRIM(C14))&gt;0),'Bang TH nop'!AT15,0),0)</f>
        <v>0</v>
      </c>
      <c r="N14" s="344">
        <f>IFERROR(IF(AND(LEN(TRIM(B14))&gt;0,LEN(TRIM(C14))&gt;0),'Bang TH nop'!AU15,0),0)</f>
        <v>0</v>
      </c>
      <c r="O14" s="342">
        <f>IFERROR(IF(AND(LEN(TRIM(B14))&gt;0,LEN(TRIM(C14))&gt;0),'Bang TH nop'!BE15,0),0)</f>
        <v>0</v>
      </c>
      <c r="P14" s="345">
        <f>IFERROR(IF(AND(LEN(TRIM(B14))&gt;0,LEN(TRIM(C14))&gt;0),'Bang TH nop'!AZ15,0),0)</f>
        <v>0</v>
      </c>
      <c r="Q14" s="343"/>
      <c r="R14" s="342"/>
      <c r="S14" s="342"/>
      <c r="T14" s="342"/>
      <c r="U14" s="341"/>
      <c r="V14" s="341"/>
      <c r="W14" s="341"/>
      <c r="X14" s="341"/>
      <c r="Y14" s="341"/>
      <c r="Z14" s="341"/>
      <c r="AA14" s="340" t="str">
        <f>IFERROR(
IF(AND(LEN(TRIM(B14))&gt;0,LEN(TRIM(C14))&gt;0),
'Bang TH nop'!AH15,
0
),
0
)</f>
        <v>A</v>
      </c>
      <c r="AB14" s="346"/>
      <c r="AC14" s="346"/>
      <c r="AD14" s="341"/>
      <c r="AE14" s="346"/>
      <c r="AF14" s="347"/>
      <c r="AG14" s="348"/>
      <c r="AH14" s="349"/>
      <c r="AI14" s="350"/>
      <c r="AJ14" s="351"/>
      <c r="AK14" s="350"/>
      <c r="AL14" s="352"/>
    </row>
    <row r="15" spans="1:38" ht="17.100000000000001" customHeight="1">
      <c r="A15" s="425"/>
      <c r="B15" s="426"/>
      <c r="C15" s="422"/>
      <c r="D15" s="397">
        <f>IFERROR(IF(AND(LEN(TRIM(B14))&gt;0,LEN(TRIM(C14))&gt;0),'Bang TH nop'!AP15,""),"")</f>
        <v>0</v>
      </c>
      <c r="E15" s="397"/>
      <c r="F15" s="353">
        <f>IFERROR(IF(AND(LEN(TRIM(B14))&gt;0,LEN(TRIM(C14))&gt;0),'Bang TH nop'!AL15,0),0)</f>
        <v>0</v>
      </c>
      <c r="G15" s="340">
        <f t="shared" ref="G15" si="40">D15*I14/26</f>
        <v>0</v>
      </c>
      <c r="H15" s="340">
        <f t="shared" ref="H15" si="41">D15*J14*150%/(26*8)</f>
        <v>0</v>
      </c>
      <c r="I15" s="340"/>
      <c r="J15" s="340"/>
      <c r="K15" s="344">
        <f t="shared" ref="K15" si="42">IFERROR(
IF(AND(LEN(TRIM(B14))&gt;0,LEN(TRIM(C14))&gt;0),
ROUND(D15/26*K14,0),
0
),
0
)</f>
        <v>0</v>
      </c>
      <c r="L15" s="344">
        <f t="shared" ref="L15" si="43">IFERROR(
IF(AND(LEN(TRIM(B14))&gt;0,LEN(TRIM(C14))&gt;0),
ROUND(D15/26*L14,0),
0
),
0
)</f>
        <v>0</v>
      </c>
      <c r="M15" s="344">
        <f t="shared" ref="M15" si="44">IFERROR(
IF(AND(LEN(TRIM(B14))&gt;0,LEN(TRIM(C14))&gt;0),
ROUND(D15/26*M14,0),
0
),
0
)</f>
        <v>0</v>
      </c>
      <c r="N15" s="344">
        <f t="shared" ref="N15" si="45">IFERROR(
IF(AND(LEN(TRIM(B14))&gt;0,LEN(TRIM(C14))&gt;0),
D15*N14/(26*8),
0
),
0
)</f>
        <v>0</v>
      </c>
      <c r="O15" s="344">
        <f t="shared" ref="O15" si="46">IFERROR(
IF(AND(LEN(TRIM(B14))&gt;0,LEN(TRIM(C14))&gt;0),
D15*O14/(26*8),
0
),
0
)</f>
        <v>0</v>
      </c>
      <c r="P15" s="344">
        <f t="shared" ref="P15" si="47">IFERROR(
IF(AND(LEN(TRIM(B14))&gt;0,LEN(TRIM(C14))&gt;0),
(D15/26/8*P14),
0
),
0
)</f>
        <v>0</v>
      </c>
      <c r="Q15" s="344">
        <f>IFERROR(
IF(AND(LEN(TRIM(B14))&gt;0,LEN(TRIM(C14))&gt;0),
'Bang TH nop'!BC15,
0
),
0
)</f>
        <v>0</v>
      </c>
      <c r="R15" s="340">
        <f>IFERROR(
IF(AND(LEN(TRIM(B14))&gt;0,LEN(TRIM(C14))&gt;0),
'Bang TH nop'!BD15,
0
),
0
)</f>
        <v>0</v>
      </c>
      <c r="S15" s="340">
        <f>IFERROR(
IF(AND(LEN(TRIM(B14))&gt;0,LEN(TRIM(C14))&gt;0),
'Bang TH nop'!BJ15,
0
),
0
)</f>
        <v>0</v>
      </c>
      <c r="T15" s="340">
        <f>IFERROR(
IF(AND(LEN(TRIM(B14))&gt;0,LEN(TRIM(C14))&gt;0),
IFERROR('Bang TH nop'!AW15,0)+IFERROR('Bang TH nop'!BH15,0),
0
),
0
)</f>
        <v>0</v>
      </c>
      <c r="U15" s="344"/>
      <c r="V15" s="344"/>
      <c r="W15" s="344"/>
      <c r="X15" s="340">
        <f t="shared" ref="X15" si="48">+IF(G15-I15&lt;0,0,G15-I15)</f>
        <v>0</v>
      </c>
      <c r="Y15" s="340">
        <f t="shared" ref="Y15" si="49">+IF(H15-J15&lt;0,0, H15-J15)</f>
        <v>0</v>
      </c>
      <c r="Z15" s="340">
        <f t="shared" ref="Z15" si="50">IFERROR(
IF(AND(LEN(TRIM(B14))&gt;0,LEN(TRIM(C14))&gt;0),
(X15+Y15)*25%,
0
),
0
)</f>
        <v>0</v>
      </c>
      <c r="AA15" s="340">
        <f>IFERROR(
IF(AND(LEN(TRIM(B14))&gt;0,LEN(TRIM(C14))&gt;0),
'Bang TH nop'!BG15,
0
),
0
)</f>
        <v>0</v>
      </c>
      <c r="AB15" s="344">
        <f t="shared" ref="AB15" si="51">IFERROR(
IF(AND(LEN(TRIM(B14))&gt;0,LEN(TRIM(C14))&gt;0),
SUM(I15:W15)+IFERROR(Z15,0)+IFERROR(AA15,0),
0
),
0
)</f>
        <v>0</v>
      </c>
      <c r="AC15" s="340">
        <f t="shared" ref="AC15" si="52">IFERROR(
IF(AND(LEN(TRIM(B14))&gt;0,LEN(TRIM(C14))&gt;0),
IF((26-(IFERROR(I14,0)+IFERROR(K14,0)+IFERROR(L14,0)+IFERROR(M14,0)))&gt;12,0,D15*10.5%),
0
),
0
)</f>
        <v>0</v>
      </c>
      <c r="AD15" s="340">
        <f t="shared" ref="AD15" si="53">IFERROR(
IF(AND(LEN(TRIM(B14))&gt;0,LEN(TRIM(C14))&gt;0),
ROUND(IF(D15=4939000,D15*0.5%,0),-2),
0
),
0
)</f>
        <v>0</v>
      </c>
      <c r="AE15" s="344">
        <f t="shared" ref="AE15" si="54">IFERROR(
IF(AND(LEN(TRIM(B14))&gt;0,LEN(TRIM(C14))&gt;0),
ROUND(IFERROR(AB15,0)-IFERROR(AC15,0)-IFERROR(AD15,0),-2),
0
),
0
)</f>
        <v>0</v>
      </c>
      <c r="AF15" s="347">
        <f>IFERROR(
IF(AND(LEN(TRIM(B14))&gt;0,LEN(TRIM(C14))&gt;0),
IFERROR('Bang TH nop'!AQ15,0)+IFERROR('Bang TH nop'!AT15,0)+IFERROR('Bang TH nop'!BF15,0),
0
),
0
)</f>
        <v>0</v>
      </c>
      <c r="AG15" s="348"/>
      <c r="AH15" s="354"/>
      <c r="AI15" s="355">
        <f t="shared" ref="AI15" si="55">IFERROR(
IF(AND(LEN(TRIM(B14))&gt;0,LEN(TRIM(C14))&gt;0),
AH15/AG15,
0
),
0
)</f>
        <v>0</v>
      </c>
      <c r="AJ15" s="355">
        <f t="shared" ref="AJ15" si="56">IFERROR(
IF(AND(LEN(TRIM(B14))&gt;0,LEN(TRIM(C14))&gt;0),
AL15/AF15,
0
),
0
)</f>
        <v>0</v>
      </c>
      <c r="AK15" s="356">
        <f t="shared" ref="AK15" si="57">IFERROR(
IF(AND(LEN(TRIM(B14))&gt;0,LEN(TRIM(C14))&gt;0),
AJ15/AI15,
0
),
0
)</f>
        <v>0</v>
      </c>
      <c r="AL15" s="357">
        <f t="shared" ref="AL15" si="58">IFERROR(
IF(AND(LEN(TRIM(B14))&gt;0,LEN(TRIM(C14))&gt;0),
AB15/L15,
0
),
0
)</f>
        <v>0</v>
      </c>
    </row>
    <row r="16" spans="1:38" ht="17.100000000000001" customHeight="1">
      <c r="A16" s="424">
        <f t="shared" ref="A16" si="59">A14+1</f>
        <v>5</v>
      </c>
      <c r="B16" s="426">
        <f>'Bang TH nop'!B17</f>
        <v>0</v>
      </c>
      <c r="C16" s="421">
        <f>IFERROR(IF(LEN(TRIM(B16))&gt;0,'Bang TH nop'!C17,""),"")</f>
        <v>0</v>
      </c>
      <c r="D16" s="398">
        <f>IFERROR(IF(AND(LEN(TRIM(B16))&gt;0,LEN(TRIM(C16))&gt;0),'Bang TH nop'!AO17,""),"")</f>
        <v>0</v>
      </c>
      <c r="E16" s="399"/>
      <c r="F16" s="340"/>
      <c r="G16" s="341"/>
      <c r="H16" s="341"/>
      <c r="I16" s="342">
        <f>IFERROR(IF(AND(LEN(TRIM(B16))&gt;0,LEN(TRIM(C16))&gt;0),'Bang TH nop'!BB17,0),0)</f>
        <v>0</v>
      </c>
      <c r="J16" s="342">
        <f>IFERROR(IF(AND(LEN(TRIM(B16))&gt;0,LEN(TRIM(C16))&gt;0),'Bang TH nop'!AV17,0),0)</f>
        <v>0</v>
      </c>
      <c r="K16" s="342">
        <f>IFERROR(IF(AND(LEN(TRIM(B16))&gt;0,LEN(TRIM(C16))&gt;0),'Bang TH nop'!AR17,0),0)</f>
        <v>0</v>
      </c>
      <c r="L16" s="343">
        <f>IFERROR(IF(AND(LEN(TRIM(B16))&gt;0,LEN(TRIM(C16))&gt;0),'Bang TH nop'!AS17,0),0)</f>
        <v>0</v>
      </c>
      <c r="M16" s="342">
        <f>IFERROR(IF(AND(LEN(TRIM(B16))&gt;0,LEN(TRIM(C16))&gt;0),'Bang TH nop'!AT17,0),0)</f>
        <v>0</v>
      </c>
      <c r="N16" s="344">
        <f>IFERROR(IF(AND(LEN(TRIM(B16))&gt;0,LEN(TRIM(C16))&gt;0),'Bang TH nop'!AU17,0),0)</f>
        <v>0</v>
      </c>
      <c r="O16" s="342">
        <f>IFERROR(IF(AND(LEN(TRIM(B16))&gt;0,LEN(TRIM(C16))&gt;0),'Bang TH nop'!BE17,0),0)</f>
        <v>0</v>
      </c>
      <c r="P16" s="345">
        <f>IFERROR(IF(AND(LEN(TRIM(B16))&gt;0,LEN(TRIM(C16))&gt;0),'Bang TH nop'!AZ17,0),0)</f>
        <v>0</v>
      </c>
      <c r="Q16" s="343"/>
      <c r="R16" s="342"/>
      <c r="S16" s="342"/>
      <c r="T16" s="342"/>
      <c r="U16" s="341"/>
      <c r="V16" s="341"/>
      <c r="W16" s="341"/>
      <c r="X16" s="341"/>
      <c r="Y16" s="341"/>
      <c r="Z16" s="341"/>
      <c r="AA16" s="340" t="str">
        <f>IFERROR(
IF(AND(LEN(TRIM(B16))&gt;0,LEN(TRIM(C16))&gt;0),
'Bang TH nop'!AH17,
0
),
0
)</f>
        <v>A</v>
      </c>
      <c r="AB16" s="346"/>
      <c r="AC16" s="346"/>
      <c r="AD16" s="341"/>
      <c r="AE16" s="346"/>
      <c r="AF16" s="347"/>
      <c r="AG16" s="348"/>
      <c r="AH16" s="349"/>
      <c r="AI16" s="350"/>
      <c r="AJ16" s="351"/>
      <c r="AK16" s="350"/>
      <c r="AL16" s="352"/>
    </row>
    <row r="17" spans="1:38" ht="17.100000000000001" customHeight="1">
      <c r="A17" s="425"/>
      <c r="B17" s="426"/>
      <c r="C17" s="422"/>
      <c r="D17" s="397">
        <f>IFERROR(IF(AND(LEN(TRIM(B16))&gt;0,LEN(TRIM(C16))&gt;0),'Bang TH nop'!AP17,""),"")</f>
        <v>0</v>
      </c>
      <c r="E17" s="397"/>
      <c r="F17" s="353">
        <f>IFERROR(IF(AND(LEN(TRIM(B16))&gt;0,LEN(TRIM(C16))&gt;0),'Bang TH nop'!AL17,0),0)</f>
        <v>0</v>
      </c>
      <c r="G17" s="340">
        <f t="shared" ref="G17" si="60">D17*I16/26</f>
        <v>0</v>
      </c>
      <c r="H17" s="340">
        <f t="shared" ref="H17" si="61">D17*J16*150%/(26*8)</f>
        <v>0</v>
      </c>
      <c r="I17" s="340"/>
      <c r="J17" s="340"/>
      <c r="K17" s="344">
        <f t="shared" ref="K17" si="62">IFERROR(
IF(AND(LEN(TRIM(B16))&gt;0,LEN(TRIM(C16))&gt;0),
ROUND(D17/26*K16,0),
0
),
0
)</f>
        <v>0</v>
      </c>
      <c r="L17" s="344">
        <f t="shared" ref="L17" si="63">IFERROR(
IF(AND(LEN(TRIM(B16))&gt;0,LEN(TRIM(C16))&gt;0),
ROUND(D17/26*L16,0),
0
),
0
)</f>
        <v>0</v>
      </c>
      <c r="M17" s="344">
        <f t="shared" ref="M17" si="64">IFERROR(
IF(AND(LEN(TRIM(B16))&gt;0,LEN(TRIM(C16))&gt;0),
ROUND(D17/26*M16,0),
0
),
0
)</f>
        <v>0</v>
      </c>
      <c r="N17" s="344">
        <f t="shared" ref="N17" si="65">IFERROR(
IF(AND(LEN(TRIM(B16))&gt;0,LEN(TRIM(C16))&gt;0),
D17*N16/(26*8),
0
),
0
)</f>
        <v>0</v>
      </c>
      <c r="O17" s="344">
        <f t="shared" ref="O17" si="66">IFERROR(
IF(AND(LEN(TRIM(B16))&gt;0,LEN(TRIM(C16))&gt;0),
D17*O16/(26*8),
0
),
0
)</f>
        <v>0</v>
      </c>
      <c r="P17" s="344">
        <f t="shared" ref="P17" si="67">IFERROR(
IF(AND(LEN(TRIM(B16))&gt;0,LEN(TRIM(C16))&gt;0),
(D17/26/8*P16),
0
),
0
)</f>
        <v>0</v>
      </c>
      <c r="Q17" s="344">
        <f>IFERROR(
IF(AND(LEN(TRIM(B16))&gt;0,LEN(TRIM(C16))&gt;0),
'Bang TH nop'!BC17,
0
),
0
)</f>
        <v>0</v>
      </c>
      <c r="R17" s="340">
        <f>IFERROR(
IF(AND(LEN(TRIM(B16))&gt;0,LEN(TRIM(C16))&gt;0),
'Bang TH nop'!BD17,
0
),
0
)</f>
        <v>0</v>
      </c>
      <c r="S17" s="340">
        <f>IFERROR(
IF(AND(LEN(TRIM(B16))&gt;0,LEN(TRIM(C16))&gt;0),
'Bang TH nop'!BJ17,
0
),
0
)</f>
        <v>0</v>
      </c>
      <c r="T17" s="340">
        <f>IFERROR(
IF(AND(LEN(TRIM(B16))&gt;0,LEN(TRIM(C16))&gt;0),
IFERROR('Bang TH nop'!AW17,0)+IFERROR('Bang TH nop'!BH17,0),
0
),
0
)</f>
        <v>0</v>
      </c>
      <c r="U17" s="344"/>
      <c r="V17" s="344"/>
      <c r="W17" s="344"/>
      <c r="X17" s="340">
        <f t="shared" ref="X17" si="68">+IF(G17-I17&lt;0,0,G17-I17)</f>
        <v>0</v>
      </c>
      <c r="Y17" s="340">
        <f t="shared" ref="Y17" si="69">+IF(H17-J17&lt;0,0, H17-J17)</f>
        <v>0</v>
      </c>
      <c r="Z17" s="340">
        <f t="shared" ref="Z17" si="70">IFERROR(
IF(AND(LEN(TRIM(B16))&gt;0,LEN(TRIM(C16))&gt;0),
(X17+Y17)*25%,
0
),
0
)</f>
        <v>0</v>
      </c>
      <c r="AA17" s="340">
        <f>IFERROR(
IF(AND(LEN(TRIM(B16))&gt;0,LEN(TRIM(C16))&gt;0),
'Bang TH nop'!BG17,
0
),
0
)</f>
        <v>0</v>
      </c>
      <c r="AB17" s="344">
        <f t="shared" ref="AB17" si="71">IFERROR(
IF(AND(LEN(TRIM(B16))&gt;0,LEN(TRIM(C16))&gt;0),
SUM(I17:W17)+IFERROR(Z17,0)+IFERROR(AA17,0),
0
),
0
)</f>
        <v>0</v>
      </c>
      <c r="AC17" s="340">
        <f t="shared" ref="AC17" si="72">IFERROR(
IF(AND(LEN(TRIM(B16))&gt;0,LEN(TRIM(C16))&gt;0),
IF((26-(IFERROR(I16,0)+IFERROR(K16,0)+IFERROR(L16,0)+IFERROR(M16,0)))&gt;12,0,D17*10.5%),
0
),
0
)</f>
        <v>0</v>
      </c>
      <c r="AD17" s="340">
        <f t="shared" ref="AD17" si="73">IFERROR(
IF(AND(LEN(TRIM(B16))&gt;0,LEN(TRIM(C16))&gt;0),
ROUND(IF(D17=4939000,D17*0.5%,0),-2),
0
),
0
)</f>
        <v>0</v>
      </c>
      <c r="AE17" s="344">
        <f t="shared" ref="AE17" si="74">IFERROR(
IF(AND(LEN(TRIM(B16))&gt;0,LEN(TRIM(C16))&gt;0),
ROUND(IFERROR(AB17,0)-IFERROR(AC17,0)-IFERROR(AD17,0),-2),
0
),
0
)</f>
        <v>0</v>
      </c>
      <c r="AF17" s="347">
        <f>IFERROR(
IF(AND(LEN(TRIM(B16))&gt;0,LEN(TRIM(C16))&gt;0),
IFERROR('Bang TH nop'!AQ17,0)+IFERROR('Bang TH nop'!AT17,0)+IFERROR('Bang TH nop'!BF17,0),
0
),
0
)</f>
        <v>0</v>
      </c>
      <c r="AG17" s="348"/>
      <c r="AH17" s="354"/>
      <c r="AI17" s="355">
        <f t="shared" ref="AI17" si="75">IFERROR(
IF(AND(LEN(TRIM(B16))&gt;0,LEN(TRIM(C16))&gt;0),
AH17/AG17,
0
),
0
)</f>
        <v>0</v>
      </c>
      <c r="AJ17" s="355">
        <f t="shared" ref="AJ17" si="76">IFERROR(
IF(AND(LEN(TRIM(B16))&gt;0,LEN(TRIM(C16))&gt;0),
AL17/AF17,
0
),
0
)</f>
        <v>0</v>
      </c>
      <c r="AK17" s="356">
        <f t="shared" ref="AK17" si="77">IFERROR(
IF(AND(LEN(TRIM(B16))&gt;0,LEN(TRIM(C16))&gt;0),
AJ17/AI17,
0
),
0
)</f>
        <v>0</v>
      </c>
      <c r="AL17" s="357">
        <f t="shared" ref="AL17" si="78">IFERROR(
IF(AND(LEN(TRIM(B16))&gt;0,LEN(TRIM(C16))&gt;0),
AB17/L17,
0
),
0
)</f>
        <v>0</v>
      </c>
    </row>
    <row r="18" spans="1:38" ht="17.100000000000001" customHeight="1">
      <c r="A18" s="424">
        <f t="shared" ref="A18" si="79">A16+1</f>
        <v>6</v>
      </c>
      <c r="B18" s="426">
        <f>'Bang TH nop'!B19</f>
        <v>0</v>
      </c>
      <c r="C18" s="421">
        <f>IFERROR(IF(LEN(TRIM(B18))&gt;0,'Bang TH nop'!C19,""),"")</f>
        <v>0</v>
      </c>
      <c r="D18" s="398">
        <f>IFERROR(IF(AND(LEN(TRIM(B18))&gt;0,LEN(TRIM(C18))&gt;0),'Bang TH nop'!AO19,""),"")</f>
        <v>0</v>
      </c>
      <c r="E18" s="399"/>
      <c r="F18" s="340"/>
      <c r="G18" s="341"/>
      <c r="H18" s="341"/>
      <c r="I18" s="342">
        <f>IFERROR(IF(AND(LEN(TRIM(B18))&gt;0,LEN(TRIM(C18))&gt;0),'Bang TH nop'!BB19,0),0)</f>
        <v>0</v>
      </c>
      <c r="J18" s="342">
        <f>IFERROR(IF(AND(LEN(TRIM(B18))&gt;0,LEN(TRIM(C18))&gt;0),'Bang TH nop'!AV19,0),0)</f>
        <v>0</v>
      </c>
      <c r="K18" s="342">
        <f>IFERROR(IF(AND(LEN(TRIM(B18))&gt;0,LEN(TRIM(C18))&gt;0),'Bang TH nop'!AR19,0),0)</f>
        <v>0</v>
      </c>
      <c r="L18" s="343">
        <f>IFERROR(IF(AND(LEN(TRIM(B18))&gt;0,LEN(TRIM(C18))&gt;0),'Bang TH nop'!AS19,0),0)</f>
        <v>0</v>
      </c>
      <c r="M18" s="342">
        <f>IFERROR(IF(AND(LEN(TRIM(B18))&gt;0,LEN(TRIM(C18))&gt;0),'Bang TH nop'!AT19,0),0)</f>
        <v>0</v>
      </c>
      <c r="N18" s="344">
        <f>IFERROR(IF(AND(LEN(TRIM(B18))&gt;0,LEN(TRIM(C18))&gt;0),'Bang TH nop'!AU19,0),0)</f>
        <v>0</v>
      </c>
      <c r="O18" s="342">
        <f>IFERROR(IF(AND(LEN(TRIM(B18))&gt;0,LEN(TRIM(C18))&gt;0),'Bang TH nop'!BE19,0),0)</f>
        <v>0</v>
      </c>
      <c r="P18" s="345">
        <f>IFERROR(IF(AND(LEN(TRIM(B18))&gt;0,LEN(TRIM(C18))&gt;0),'Bang TH nop'!AZ19,0),0)</f>
        <v>0</v>
      </c>
      <c r="Q18" s="343"/>
      <c r="R18" s="342"/>
      <c r="S18" s="342"/>
      <c r="T18" s="342"/>
      <c r="U18" s="341"/>
      <c r="V18" s="341"/>
      <c r="W18" s="341"/>
      <c r="X18" s="341"/>
      <c r="Y18" s="341"/>
      <c r="Z18" s="341"/>
      <c r="AA18" s="340" t="str">
        <f>IFERROR(
IF(AND(LEN(TRIM(B18))&gt;0,LEN(TRIM(C18))&gt;0),
'Bang TH nop'!AH19,
0
),
0
)</f>
        <v>A</v>
      </c>
      <c r="AB18" s="346"/>
      <c r="AC18" s="346"/>
      <c r="AD18" s="341"/>
      <c r="AE18" s="346"/>
      <c r="AF18" s="347"/>
      <c r="AG18" s="348"/>
      <c r="AH18" s="349"/>
      <c r="AI18" s="350"/>
      <c r="AJ18" s="351"/>
      <c r="AK18" s="350"/>
      <c r="AL18" s="352"/>
    </row>
    <row r="19" spans="1:38" ht="17.100000000000001" customHeight="1">
      <c r="A19" s="425"/>
      <c r="B19" s="426"/>
      <c r="C19" s="422"/>
      <c r="D19" s="397">
        <f>IFERROR(IF(AND(LEN(TRIM(B18))&gt;0,LEN(TRIM(C18))&gt;0),'Bang TH nop'!AP19,""),"")</f>
        <v>0</v>
      </c>
      <c r="E19" s="397"/>
      <c r="F19" s="353">
        <f>IFERROR(IF(AND(LEN(TRIM(B18))&gt;0,LEN(TRIM(C18))&gt;0),'Bang TH nop'!AL19,0),0)</f>
        <v>0</v>
      </c>
      <c r="G19" s="340">
        <f t="shared" ref="G19" si="80">D19*I18/26</f>
        <v>0</v>
      </c>
      <c r="H19" s="340">
        <f t="shared" ref="H19" si="81">D19*J18*150%/(26*8)</f>
        <v>0</v>
      </c>
      <c r="I19" s="340"/>
      <c r="J19" s="340"/>
      <c r="K19" s="344">
        <f t="shared" ref="K19" si="82">IFERROR(
IF(AND(LEN(TRIM(B18))&gt;0,LEN(TRIM(C18))&gt;0),
ROUND(D19/26*K18,0),
0
),
0
)</f>
        <v>0</v>
      </c>
      <c r="L19" s="344">
        <f t="shared" ref="L19" si="83">IFERROR(
IF(AND(LEN(TRIM(B18))&gt;0,LEN(TRIM(C18))&gt;0),
ROUND(D19/26*L18,0),
0
),
0
)</f>
        <v>0</v>
      </c>
      <c r="M19" s="344">
        <f t="shared" ref="M19" si="84">IFERROR(
IF(AND(LEN(TRIM(B18))&gt;0,LEN(TRIM(C18))&gt;0),
ROUND(D19/26*M18,0),
0
),
0
)</f>
        <v>0</v>
      </c>
      <c r="N19" s="344">
        <f t="shared" ref="N19" si="85">IFERROR(
IF(AND(LEN(TRIM(B18))&gt;0,LEN(TRIM(C18))&gt;0),
D19*N18/(26*8),
0
),
0
)</f>
        <v>0</v>
      </c>
      <c r="O19" s="344">
        <f t="shared" ref="O19" si="86">IFERROR(
IF(AND(LEN(TRIM(B18))&gt;0,LEN(TRIM(C18))&gt;0),
D19*O18/(26*8),
0
),
0
)</f>
        <v>0</v>
      </c>
      <c r="P19" s="344">
        <f t="shared" ref="P19" si="87">IFERROR(
IF(AND(LEN(TRIM(B18))&gt;0,LEN(TRIM(C18))&gt;0),
(D19/26/8*P18),
0
),
0
)</f>
        <v>0</v>
      </c>
      <c r="Q19" s="344">
        <f>IFERROR(
IF(AND(LEN(TRIM(B18))&gt;0,LEN(TRIM(C18))&gt;0),
'Bang TH nop'!BC19,
0
),
0
)</f>
        <v>0</v>
      </c>
      <c r="R19" s="340">
        <f>IFERROR(
IF(AND(LEN(TRIM(B18))&gt;0,LEN(TRIM(C18))&gt;0),
'Bang TH nop'!BD19,
0
),
0
)</f>
        <v>0</v>
      </c>
      <c r="S19" s="340">
        <f>IFERROR(
IF(AND(LEN(TRIM(B18))&gt;0,LEN(TRIM(C18))&gt;0),
'Bang TH nop'!BJ19,
0
),
0
)</f>
        <v>0</v>
      </c>
      <c r="T19" s="340">
        <f>IFERROR(
IF(AND(LEN(TRIM(B18))&gt;0,LEN(TRIM(C18))&gt;0),
IFERROR('Bang TH nop'!AW19,0)+IFERROR('Bang TH nop'!BH19,0),
0
),
0
)</f>
        <v>0</v>
      </c>
      <c r="U19" s="344"/>
      <c r="V19" s="344"/>
      <c r="W19" s="344"/>
      <c r="X19" s="340">
        <f t="shared" ref="X19" si="88">+IF(G19-I19&lt;0,0,G19-I19)</f>
        <v>0</v>
      </c>
      <c r="Y19" s="340">
        <f t="shared" ref="Y19" si="89">+IF(H19-J19&lt;0,0, H19-J19)</f>
        <v>0</v>
      </c>
      <c r="Z19" s="340">
        <f t="shared" ref="Z19" si="90">IFERROR(
IF(AND(LEN(TRIM(B18))&gt;0,LEN(TRIM(C18))&gt;0),
(X19+Y19)*25%,
0
),
0
)</f>
        <v>0</v>
      </c>
      <c r="AA19" s="340">
        <f>IFERROR(
IF(AND(LEN(TRIM(B18))&gt;0,LEN(TRIM(C18))&gt;0),
'Bang TH nop'!BG19,
0
),
0
)</f>
        <v>0</v>
      </c>
      <c r="AB19" s="344">
        <f t="shared" ref="AB19" si="91">IFERROR(
IF(AND(LEN(TRIM(B18))&gt;0,LEN(TRIM(C18))&gt;0),
SUM(I19:W19)+IFERROR(Z19,0)+IFERROR(AA19,0),
0
),
0
)</f>
        <v>0</v>
      </c>
      <c r="AC19" s="340">
        <f t="shared" ref="AC19" si="92">IFERROR(
IF(AND(LEN(TRIM(B18))&gt;0,LEN(TRIM(C18))&gt;0),
IF((26-(IFERROR(I18,0)+IFERROR(K18,0)+IFERROR(L18,0)+IFERROR(M18,0)))&gt;12,0,D19*10.5%),
0
),
0
)</f>
        <v>0</v>
      </c>
      <c r="AD19" s="340">
        <f t="shared" ref="AD19" si="93">IFERROR(
IF(AND(LEN(TRIM(B18))&gt;0,LEN(TRIM(C18))&gt;0),
ROUND(IF(D19=4939000,D19*0.5%,0),-2),
0
),
0
)</f>
        <v>0</v>
      </c>
      <c r="AE19" s="344">
        <f t="shared" ref="AE19" si="94">IFERROR(
IF(AND(LEN(TRIM(B18))&gt;0,LEN(TRIM(C18))&gt;0),
ROUND(IFERROR(AB19,0)-IFERROR(AC19,0)-IFERROR(AD19,0),-2),
0
),
0
)</f>
        <v>0</v>
      </c>
      <c r="AF19" s="347">
        <f>IFERROR(
IF(AND(LEN(TRIM(B18))&gt;0,LEN(TRIM(C18))&gt;0),
IFERROR('Bang TH nop'!AQ19,0)+IFERROR('Bang TH nop'!AT19,0)+IFERROR('Bang TH nop'!BF19,0),
0
),
0
)</f>
        <v>0</v>
      </c>
      <c r="AG19" s="348"/>
      <c r="AH19" s="354"/>
      <c r="AI19" s="355">
        <f t="shared" ref="AI19" si="95">IFERROR(
IF(AND(LEN(TRIM(B18))&gt;0,LEN(TRIM(C18))&gt;0),
AH19/AG19,
0
),
0
)</f>
        <v>0</v>
      </c>
      <c r="AJ19" s="355">
        <f t="shared" ref="AJ19" si="96">IFERROR(
IF(AND(LEN(TRIM(B18))&gt;0,LEN(TRIM(C18))&gt;0),
AL19/AF19,
0
),
0
)</f>
        <v>0</v>
      </c>
      <c r="AK19" s="356">
        <f t="shared" ref="AK19" si="97">IFERROR(
IF(AND(LEN(TRIM(B18))&gt;0,LEN(TRIM(C18))&gt;0),
AJ19/AI19,
0
),
0
)</f>
        <v>0</v>
      </c>
      <c r="AL19" s="357">
        <f t="shared" ref="AL19" si="98">IFERROR(
IF(AND(LEN(TRIM(B18))&gt;0,LEN(TRIM(C18))&gt;0),
AB19/L19,
0
),
0
)</f>
        <v>0</v>
      </c>
    </row>
    <row r="20" spans="1:38" ht="17.100000000000001" customHeight="1">
      <c r="A20" s="424">
        <f t="shared" ref="A20" si="99">A18+1</f>
        <v>7</v>
      </c>
      <c r="B20" s="426">
        <f>'Bang TH nop'!B21</f>
        <v>0</v>
      </c>
      <c r="C20" s="421">
        <f>IFERROR(IF(LEN(TRIM(B20))&gt;0,'Bang TH nop'!C21,""),"")</f>
        <v>0</v>
      </c>
      <c r="D20" s="398">
        <f>IFERROR(IF(AND(LEN(TRIM(B20))&gt;0,LEN(TRIM(C20))&gt;0),'Bang TH nop'!AO21,""),"")</f>
        <v>0</v>
      </c>
      <c r="E20" s="399"/>
      <c r="F20" s="340"/>
      <c r="G20" s="341"/>
      <c r="H20" s="341"/>
      <c r="I20" s="342">
        <f>IFERROR(IF(AND(LEN(TRIM(B20))&gt;0,LEN(TRIM(C20))&gt;0),'Bang TH nop'!BB21,0),0)</f>
        <v>0</v>
      </c>
      <c r="J20" s="342">
        <f>IFERROR(IF(AND(LEN(TRIM(B20))&gt;0,LEN(TRIM(C20))&gt;0),'Bang TH nop'!AV21,0),0)</f>
        <v>0</v>
      </c>
      <c r="K20" s="342">
        <f>IFERROR(IF(AND(LEN(TRIM(B20))&gt;0,LEN(TRIM(C20))&gt;0),'Bang TH nop'!AR21,0),0)</f>
        <v>0</v>
      </c>
      <c r="L20" s="343">
        <f>IFERROR(IF(AND(LEN(TRIM(B20))&gt;0,LEN(TRIM(C20))&gt;0),'Bang TH nop'!AS21,0),0)</f>
        <v>0</v>
      </c>
      <c r="M20" s="342">
        <f>IFERROR(IF(AND(LEN(TRIM(B20))&gt;0,LEN(TRIM(C20))&gt;0),'Bang TH nop'!AT21,0),0)</f>
        <v>0</v>
      </c>
      <c r="N20" s="344">
        <f>IFERROR(IF(AND(LEN(TRIM(B20))&gt;0,LEN(TRIM(C20))&gt;0),'Bang TH nop'!AU21,0),0)</f>
        <v>0</v>
      </c>
      <c r="O20" s="342">
        <f>IFERROR(IF(AND(LEN(TRIM(B20))&gt;0,LEN(TRIM(C20))&gt;0),'Bang TH nop'!BE21,0),0)</f>
        <v>0</v>
      </c>
      <c r="P20" s="345">
        <f>IFERROR(IF(AND(LEN(TRIM(B20))&gt;0,LEN(TRIM(C20))&gt;0),'Bang TH nop'!AZ21,0),0)</f>
        <v>0</v>
      </c>
      <c r="Q20" s="343"/>
      <c r="R20" s="342"/>
      <c r="S20" s="342"/>
      <c r="T20" s="342"/>
      <c r="U20" s="341"/>
      <c r="V20" s="341"/>
      <c r="W20" s="341"/>
      <c r="X20" s="341"/>
      <c r="Y20" s="341"/>
      <c r="Z20" s="341"/>
      <c r="AA20" s="340" t="str">
        <f>IFERROR(
IF(AND(LEN(TRIM(B20))&gt;0,LEN(TRIM(C20))&gt;0),
'Bang TH nop'!AH21,
0
),
0
)</f>
        <v>A</v>
      </c>
      <c r="AB20" s="346"/>
      <c r="AC20" s="346"/>
      <c r="AD20" s="341"/>
      <c r="AE20" s="346"/>
      <c r="AF20" s="347"/>
      <c r="AG20" s="348"/>
      <c r="AH20" s="349"/>
      <c r="AI20" s="350"/>
      <c r="AJ20" s="351"/>
      <c r="AK20" s="350"/>
      <c r="AL20" s="352"/>
    </row>
    <row r="21" spans="1:38" ht="17.100000000000001" customHeight="1">
      <c r="A21" s="425"/>
      <c r="B21" s="426"/>
      <c r="C21" s="422"/>
      <c r="D21" s="397">
        <f>IFERROR(IF(AND(LEN(TRIM(B20))&gt;0,LEN(TRIM(C20))&gt;0),'Bang TH nop'!AP21,""),"")</f>
        <v>0</v>
      </c>
      <c r="E21" s="397"/>
      <c r="F21" s="353">
        <f>IFERROR(IF(AND(LEN(TRIM(B20))&gt;0,LEN(TRIM(C20))&gt;0),'Bang TH nop'!AL21,0),0)</f>
        <v>0</v>
      </c>
      <c r="G21" s="340">
        <f t="shared" ref="G21" si="100">D21*I20/26</f>
        <v>0</v>
      </c>
      <c r="H21" s="340">
        <f t="shared" ref="H21" si="101">D21*J20*150%/(26*8)</f>
        <v>0</v>
      </c>
      <c r="I21" s="340"/>
      <c r="J21" s="340"/>
      <c r="K21" s="344">
        <f t="shared" ref="K21" si="102">IFERROR(
IF(AND(LEN(TRIM(B20))&gt;0,LEN(TRIM(C20))&gt;0),
ROUND(D21/26*K20,0),
0
),
0
)</f>
        <v>0</v>
      </c>
      <c r="L21" s="344">
        <f t="shared" ref="L21" si="103">IFERROR(
IF(AND(LEN(TRIM(B20))&gt;0,LEN(TRIM(C20))&gt;0),
ROUND(D21/26*L20,0),
0
),
0
)</f>
        <v>0</v>
      </c>
      <c r="M21" s="344">
        <f t="shared" ref="M21" si="104">IFERROR(
IF(AND(LEN(TRIM(B20))&gt;0,LEN(TRIM(C20))&gt;0),
ROUND(D21/26*M20,0),
0
),
0
)</f>
        <v>0</v>
      </c>
      <c r="N21" s="344">
        <f t="shared" ref="N21" si="105">IFERROR(
IF(AND(LEN(TRIM(B20))&gt;0,LEN(TRIM(C20))&gt;0),
D21*N20/(26*8),
0
),
0
)</f>
        <v>0</v>
      </c>
      <c r="O21" s="344">
        <f t="shared" ref="O21" si="106">IFERROR(
IF(AND(LEN(TRIM(B20))&gt;0,LEN(TRIM(C20))&gt;0),
D21*O20/(26*8),
0
),
0
)</f>
        <v>0</v>
      </c>
      <c r="P21" s="344">
        <f t="shared" ref="P21" si="107">IFERROR(
IF(AND(LEN(TRIM(B20))&gt;0,LEN(TRIM(C20))&gt;0),
(D21/26/8*P20),
0
),
0
)</f>
        <v>0</v>
      </c>
      <c r="Q21" s="344">
        <f>IFERROR(
IF(AND(LEN(TRIM(B20))&gt;0,LEN(TRIM(C20))&gt;0),
'Bang TH nop'!BC21,
0
),
0
)</f>
        <v>0</v>
      </c>
      <c r="R21" s="340">
        <f>IFERROR(
IF(AND(LEN(TRIM(B20))&gt;0,LEN(TRIM(C20))&gt;0),
'Bang TH nop'!BD21,
0
),
0
)</f>
        <v>0</v>
      </c>
      <c r="S21" s="340">
        <f>IFERROR(
IF(AND(LEN(TRIM(B20))&gt;0,LEN(TRIM(C20))&gt;0),
'Bang TH nop'!BJ21,
0
),
0
)</f>
        <v>0</v>
      </c>
      <c r="T21" s="340">
        <f>IFERROR(
IF(AND(LEN(TRIM(B20))&gt;0,LEN(TRIM(C20))&gt;0),
IFERROR('Bang TH nop'!AW21,0)+IFERROR('Bang TH nop'!BH21,0),
0
),
0
)</f>
        <v>0</v>
      </c>
      <c r="U21" s="344"/>
      <c r="V21" s="344"/>
      <c r="W21" s="344"/>
      <c r="X21" s="340">
        <f t="shared" ref="X21" si="108">+IF(G21-I21&lt;0,0,G21-I21)</f>
        <v>0</v>
      </c>
      <c r="Y21" s="340">
        <f t="shared" ref="Y21" si="109">+IF(H21-J21&lt;0,0, H21-J21)</f>
        <v>0</v>
      </c>
      <c r="Z21" s="340">
        <f t="shared" ref="Z21" si="110">IFERROR(
IF(AND(LEN(TRIM(B20))&gt;0,LEN(TRIM(C20))&gt;0),
(X21+Y21)*25%,
0
),
0
)</f>
        <v>0</v>
      </c>
      <c r="AA21" s="340">
        <f>IFERROR(
IF(AND(LEN(TRIM(B20))&gt;0,LEN(TRIM(C20))&gt;0),
'Bang TH nop'!BG21,
0
),
0
)</f>
        <v>0</v>
      </c>
      <c r="AB21" s="344">
        <f t="shared" ref="AB21" si="111">IFERROR(
IF(AND(LEN(TRIM(B20))&gt;0,LEN(TRIM(C20))&gt;0),
SUM(I21:W21)+IFERROR(Z21,0)+IFERROR(AA21,0),
0
),
0
)</f>
        <v>0</v>
      </c>
      <c r="AC21" s="340">
        <f t="shared" ref="AC21" si="112">IFERROR(
IF(AND(LEN(TRIM(B20))&gt;0,LEN(TRIM(C20))&gt;0),
IF((26-(IFERROR(I20,0)+IFERROR(K20,0)+IFERROR(L20,0)+IFERROR(M20,0)))&gt;12,0,D21*10.5%),
0
),
0
)</f>
        <v>0</v>
      </c>
      <c r="AD21" s="340">
        <f t="shared" ref="AD21" si="113">IFERROR(
IF(AND(LEN(TRIM(B20))&gt;0,LEN(TRIM(C20))&gt;0),
ROUND(IF(D21=4939000,D21*0.5%,0),-2),
0
),
0
)</f>
        <v>0</v>
      </c>
      <c r="AE21" s="344">
        <f t="shared" ref="AE21" si="114">IFERROR(
IF(AND(LEN(TRIM(B20))&gt;0,LEN(TRIM(C20))&gt;0),
ROUND(IFERROR(AB21,0)-IFERROR(AC21,0)-IFERROR(AD21,0),-2),
0
),
0
)</f>
        <v>0</v>
      </c>
      <c r="AF21" s="347">
        <f>IFERROR(
IF(AND(LEN(TRIM(B20))&gt;0,LEN(TRIM(C20))&gt;0),
IFERROR('Bang TH nop'!AQ21,0)+IFERROR('Bang TH nop'!AT21,0)+IFERROR('Bang TH nop'!BF21,0),
0
),
0
)</f>
        <v>0</v>
      </c>
      <c r="AG21" s="348"/>
      <c r="AH21" s="354"/>
      <c r="AI21" s="355">
        <f t="shared" ref="AI21" si="115">IFERROR(
IF(AND(LEN(TRIM(B20))&gt;0,LEN(TRIM(C20))&gt;0),
AH21/AG21,
0
),
0
)</f>
        <v>0</v>
      </c>
      <c r="AJ21" s="355">
        <f t="shared" ref="AJ21" si="116">IFERROR(
IF(AND(LEN(TRIM(B20))&gt;0,LEN(TRIM(C20))&gt;0),
AL21/AF21,
0
),
0
)</f>
        <v>0</v>
      </c>
      <c r="AK21" s="356">
        <f t="shared" ref="AK21" si="117">IFERROR(
IF(AND(LEN(TRIM(B20))&gt;0,LEN(TRIM(C20))&gt;0),
AJ21/AI21,
0
),
0
)</f>
        <v>0</v>
      </c>
      <c r="AL21" s="357">
        <f t="shared" ref="AL21" si="118">IFERROR(
IF(AND(LEN(TRIM(B20))&gt;0,LEN(TRIM(C20))&gt;0),
AB21/L21,
0
),
0
)</f>
        <v>0</v>
      </c>
    </row>
    <row r="22" spans="1:38" ht="17.100000000000001" customHeight="1">
      <c r="A22" s="424">
        <f t="shared" ref="A22" si="119">A20+1</f>
        <v>8</v>
      </c>
      <c r="B22" s="426">
        <f>'Bang TH nop'!B23</f>
        <v>0</v>
      </c>
      <c r="C22" s="421">
        <f>IFERROR(IF(LEN(TRIM(B22))&gt;0,'Bang TH nop'!C23,""),"")</f>
        <v>0</v>
      </c>
      <c r="D22" s="398">
        <f>IFERROR(IF(AND(LEN(TRIM(B22))&gt;0,LEN(TRIM(C22))&gt;0),'Bang TH nop'!AO23,""),"")</f>
        <v>0</v>
      </c>
      <c r="E22" s="399"/>
      <c r="F22" s="340"/>
      <c r="G22" s="341"/>
      <c r="H22" s="341"/>
      <c r="I22" s="342">
        <f>IFERROR(IF(AND(LEN(TRIM(B22))&gt;0,LEN(TRIM(C22))&gt;0),'Bang TH nop'!BB23,0),0)</f>
        <v>0</v>
      </c>
      <c r="J22" s="342">
        <f>IFERROR(IF(AND(LEN(TRIM(B22))&gt;0,LEN(TRIM(C22))&gt;0),'Bang TH nop'!AV23,0),0)</f>
        <v>0</v>
      </c>
      <c r="K22" s="342">
        <f>IFERROR(IF(AND(LEN(TRIM(B22))&gt;0,LEN(TRIM(C22))&gt;0),'Bang TH nop'!AR23,0),0)</f>
        <v>0</v>
      </c>
      <c r="L22" s="343">
        <f>IFERROR(IF(AND(LEN(TRIM(B22))&gt;0,LEN(TRIM(C22))&gt;0),'Bang TH nop'!AS23,0),0)</f>
        <v>0</v>
      </c>
      <c r="M22" s="342">
        <f>IFERROR(IF(AND(LEN(TRIM(B22))&gt;0,LEN(TRIM(C22))&gt;0),'Bang TH nop'!AT23,0),0)</f>
        <v>0</v>
      </c>
      <c r="N22" s="344">
        <f>IFERROR(IF(AND(LEN(TRIM(B22))&gt;0,LEN(TRIM(C22))&gt;0),'Bang TH nop'!AU23,0),0)</f>
        <v>0</v>
      </c>
      <c r="O22" s="342">
        <f>IFERROR(IF(AND(LEN(TRIM(B22))&gt;0,LEN(TRIM(C22))&gt;0),'Bang TH nop'!BE23,0),0)</f>
        <v>0</v>
      </c>
      <c r="P22" s="345">
        <f>IFERROR(IF(AND(LEN(TRIM(B22))&gt;0,LEN(TRIM(C22))&gt;0),'Bang TH nop'!AZ23,0),0)</f>
        <v>0</v>
      </c>
      <c r="Q22" s="343"/>
      <c r="R22" s="342"/>
      <c r="S22" s="342"/>
      <c r="T22" s="342"/>
      <c r="U22" s="341"/>
      <c r="V22" s="341"/>
      <c r="W22" s="341"/>
      <c r="X22" s="341"/>
      <c r="Y22" s="341"/>
      <c r="Z22" s="341"/>
      <c r="AA22" s="340" t="str">
        <f>IFERROR(
IF(AND(LEN(TRIM(B22))&gt;0,LEN(TRIM(C22))&gt;0),
'Bang TH nop'!AH23,
0
),
0
)</f>
        <v>A</v>
      </c>
      <c r="AB22" s="346"/>
      <c r="AC22" s="346"/>
      <c r="AD22" s="341"/>
      <c r="AE22" s="346"/>
      <c r="AF22" s="347"/>
      <c r="AG22" s="348"/>
      <c r="AH22" s="349"/>
      <c r="AI22" s="350"/>
      <c r="AJ22" s="351"/>
      <c r="AK22" s="350"/>
      <c r="AL22" s="352"/>
    </row>
    <row r="23" spans="1:38" ht="17.100000000000001" customHeight="1">
      <c r="A23" s="425"/>
      <c r="B23" s="426"/>
      <c r="C23" s="422"/>
      <c r="D23" s="397">
        <f>IFERROR(IF(AND(LEN(TRIM(B22))&gt;0,LEN(TRIM(C22))&gt;0),'Bang TH nop'!AP23,""),"")</f>
        <v>0</v>
      </c>
      <c r="E23" s="397"/>
      <c r="F23" s="353">
        <f>IFERROR(IF(AND(LEN(TRIM(B22))&gt;0,LEN(TRIM(C22))&gt;0),'Bang TH nop'!AL23,0),0)</f>
        <v>0</v>
      </c>
      <c r="G23" s="340">
        <f t="shared" ref="G23" si="120">D23*I22/26</f>
        <v>0</v>
      </c>
      <c r="H23" s="340">
        <f t="shared" ref="H23" si="121">D23*J22*150%/(26*8)</f>
        <v>0</v>
      </c>
      <c r="I23" s="340"/>
      <c r="J23" s="340"/>
      <c r="K23" s="344">
        <f t="shared" ref="K23" si="122">IFERROR(
IF(AND(LEN(TRIM(B22))&gt;0,LEN(TRIM(C22))&gt;0),
ROUND(D23/26*K22,0),
0
),
0
)</f>
        <v>0</v>
      </c>
      <c r="L23" s="344">
        <f t="shared" ref="L23" si="123">IFERROR(
IF(AND(LEN(TRIM(B22))&gt;0,LEN(TRIM(C22))&gt;0),
ROUND(D23/26*L22,0),
0
),
0
)</f>
        <v>0</v>
      </c>
      <c r="M23" s="344">
        <f t="shared" ref="M23" si="124">IFERROR(
IF(AND(LEN(TRIM(B22))&gt;0,LEN(TRIM(C22))&gt;0),
ROUND(D23/26*M22,0),
0
),
0
)</f>
        <v>0</v>
      </c>
      <c r="N23" s="344">
        <f t="shared" ref="N23" si="125">IFERROR(
IF(AND(LEN(TRIM(B22))&gt;0,LEN(TRIM(C22))&gt;0),
D23*N22/(26*8),
0
),
0
)</f>
        <v>0</v>
      </c>
      <c r="O23" s="344">
        <f t="shared" ref="O23" si="126">IFERROR(
IF(AND(LEN(TRIM(B22))&gt;0,LEN(TRIM(C22))&gt;0),
D23*O22/(26*8),
0
),
0
)</f>
        <v>0</v>
      </c>
      <c r="P23" s="344">
        <f t="shared" ref="P23" si="127">IFERROR(
IF(AND(LEN(TRIM(B22))&gt;0,LEN(TRIM(C22))&gt;0),
(D23/26/8*P22),
0
),
0
)</f>
        <v>0</v>
      </c>
      <c r="Q23" s="344">
        <f>IFERROR(
IF(AND(LEN(TRIM(B22))&gt;0,LEN(TRIM(C22))&gt;0),
'Bang TH nop'!BC23,
0
),
0
)</f>
        <v>0</v>
      </c>
      <c r="R23" s="340">
        <f>IFERROR(
IF(AND(LEN(TRIM(B22))&gt;0,LEN(TRIM(C22))&gt;0),
'Bang TH nop'!BD23,
0
),
0
)</f>
        <v>0</v>
      </c>
      <c r="S23" s="340">
        <f>IFERROR(
IF(AND(LEN(TRIM(B22))&gt;0,LEN(TRIM(C22))&gt;0),
'Bang TH nop'!BJ23,
0
),
0
)</f>
        <v>0</v>
      </c>
      <c r="T23" s="340">
        <f>IFERROR(
IF(AND(LEN(TRIM(B22))&gt;0,LEN(TRIM(C22))&gt;0),
IFERROR('Bang TH nop'!AW23,0)+IFERROR('Bang TH nop'!BH23,0),
0
),
0
)</f>
        <v>0</v>
      </c>
      <c r="U23" s="344"/>
      <c r="V23" s="344"/>
      <c r="W23" s="344"/>
      <c r="X23" s="340">
        <f t="shared" ref="X23" si="128">+IF(G23-I23&lt;0,0,G23-I23)</f>
        <v>0</v>
      </c>
      <c r="Y23" s="340">
        <f t="shared" ref="Y23" si="129">+IF(H23-J23&lt;0,0, H23-J23)</f>
        <v>0</v>
      </c>
      <c r="Z23" s="340">
        <f t="shared" ref="Z23" si="130">IFERROR(
IF(AND(LEN(TRIM(B22))&gt;0,LEN(TRIM(C22))&gt;0),
(X23+Y23)*25%,
0
),
0
)</f>
        <v>0</v>
      </c>
      <c r="AA23" s="340">
        <f>IFERROR(
IF(AND(LEN(TRIM(B22))&gt;0,LEN(TRIM(C22))&gt;0),
'Bang TH nop'!BG23,
0
),
0
)</f>
        <v>0</v>
      </c>
      <c r="AB23" s="344">
        <f t="shared" ref="AB23" si="131">IFERROR(
IF(AND(LEN(TRIM(B22))&gt;0,LEN(TRIM(C22))&gt;0),
SUM(I23:W23)+IFERROR(Z23,0)+IFERROR(AA23,0),
0
),
0
)</f>
        <v>0</v>
      </c>
      <c r="AC23" s="340">
        <f t="shared" ref="AC23" si="132">IFERROR(
IF(AND(LEN(TRIM(B22))&gt;0,LEN(TRIM(C22))&gt;0),
IF((26-(IFERROR(I22,0)+IFERROR(K22,0)+IFERROR(L22,0)+IFERROR(M22,0)))&gt;12,0,D23*10.5%),
0
),
0
)</f>
        <v>0</v>
      </c>
      <c r="AD23" s="340">
        <f t="shared" ref="AD23" si="133">IFERROR(
IF(AND(LEN(TRIM(B22))&gt;0,LEN(TRIM(C22))&gt;0),
ROUND(IF(D23=4939000,D23*0.5%,0),-2),
0
),
0
)</f>
        <v>0</v>
      </c>
      <c r="AE23" s="344">
        <f t="shared" ref="AE23" si="134">IFERROR(
IF(AND(LEN(TRIM(B22))&gt;0,LEN(TRIM(C22))&gt;0),
ROUND(IFERROR(AB23,0)-IFERROR(AC23,0)-IFERROR(AD23,0),-2),
0
),
0
)</f>
        <v>0</v>
      </c>
      <c r="AF23" s="347">
        <f>IFERROR(
IF(AND(LEN(TRIM(B22))&gt;0,LEN(TRIM(C22))&gt;0),
IFERROR('Bang TH nop'!AQ23,0)+IFERROR('Bang TH nop'!AT23,0)+IFERROR('Bang TH nop'!BF23,0),
0
),
0
)</f>
        <v>0</v>
      </c>
      <c r="AG23" s="348"/>
      <c r="AH23" s="354"/>
      <c r="AI23" s="355">
        <f t="shared" ref="AI23" si="135">IFERROR(
IF(AND(LEN(TRIM(B22))&gt;0,LEN(TRIM(C22))&gt;0),
AH23/AG23,
0
),
0
)</f>
        <v>0</v>
      </c>
      <c r="AJ23" s="355">
        <f t="shared" ref="AJ23" si="136">IFERROR(
IF(AND(LEN(TRIM(B22))&gt;0,LEN(TRIM(C22))&gt;0),
AL23/AF23,
0
),
0
)</f>
        <v>0</v>
      </c>
      <c r="AK23" s="356">
        <f t="shared" ref="AK23" si="137">IFERROR(
IF(AND(LEN(TRIM(B22))&gt;0,LEN(TRIM(C22))&gt;0),
AJ23/AI23,
0
),
0
)</f>
        <v>0</v>
      </c>
      <c r="AL23" s="357">
        <f t="shared" ref="AL23" si="138">IFERROR(
IF(AND(LEN(TRIM(B22))&gt;0,LEN(TRIM(C22))&gt;0),
AB23/L23,
0
),
0
)</f>
        <v>0</v>
      </c>
    </row>
    <row r="24" spans="1:38" ht="17.100000000000001" customHeight="1">
      <c r="A24" s="424">
        <f t="shared" ref="A24" si="139">A22+1</f>
        <v>9</v>
      </c>
      <c r="B24" s="426">
        <f>'Bang TH nop'!B25</f>
        <v>0</v>
      </c>
      <c r="C24" s="421">
        <f>IFERROR(IF(LEN(TRIM(B24))&gt;0,'Bang TH nop'!C25,""),"")</f>
        <v>0</v>
      </c>
      <c r="D24" s="398">
        <f>IFERROR(IF(AND(LEN(TRIM(B24))&gt;0,LEN(TRIM(C24))&gt;0),'Bang TH nop'!AO25,""),"")</f>
        <v>0</v>
      </c>
      <c r="E24" s="399"/>
      <c r="F24" s="340"/>
      <c r="G24" s="341"/>
      <c r="H24" s="341"/>
      <c r="I24" s="342">
        <f>IFERROR(IF(AND(LEN(TRIM(B24))&gt;0,LEN(TRIM(C24))&gt;0),'Bang TH nop'!BB25,0),0)</f>
        <v>0</v>
      </c>
      <c r="J24" s="342">
        <f>IFERROR(IF(AND(LEN(TRIM(B24))&gt;0,LEN(TRIM(C24))&gt;0),'Bang TH nop'!AV25,0),0)</f>
        <v>0</v>
      </c>
      <c r="K24" s="342">
        <f>IFERROR(IF(AND(LEN(TRIM(B24))&gt;0,LEN(TRIM(C24))&gt;0),'Bang TH nop'!AR25,0),0)</f>
        <v>0</v>
      </c>
      <c r="L24" s="343">
        <f>IFERROR(IF(AND(LEN(TRIM(B24))&gt;0,LEN(TRIM(C24))&gt;0),'Bang TH nop'!AS25,0),0)</f>
        <v>0</v>
      </c>
      <c r="M24" s="342">
        <f>IFERROR(IF(AND(LEN(TRIM(B24))&gt;0,LEN(TRIM(C24))&gt;0),'Bang TH nop'!AT25,0),0)</f>
        <v>0</v>
      </c>
      <c r="N24" s="344">
        <f>IFERROR(IF(AND(LEN(TRIM(B24))&gt;0,LEN(TRIM(C24))&gt;0),'Bang TH nop'!AU25,0),0)</f>
        <v>0</v>
      </c>
      <c r="O24" s="342">
        <f>IFERROR(IF(AND(LEN(TRIM(B24))&gt;0,LEN(TRIM(C24))&gt;0),'Bang TH nop'!BE25,0),0)</f>
        <v>0</v>
      </c>
      <c r="P24" s="345">
        <f>IFERROR(IF(AND(LEN(TRIM(B24))&gt;0,LEN(TRIM(C24))&gt;0),'Bang TH nop'!AZ25,0),0)</f>
        <v>0</v>
      </c>
      <c r="Q24" s="343"/>
      <c r="R24" s="342"/>
      <c r="S24" s="342"/>
      <c r="T24" s="342"/>
      <c r="U24" s="341"/>
      <c r="V24" s="341"/>
      <c r="W24" s="341"/>
      <c r="X24" s="341"/>
      <c r="Y24" s="341"/>
      <c r="Z24" s="341"/>
      <c r="AA24" s="340" t="str">
        <f>IFERROR(
IF(AND(LEN(TRIM(B24))&gt;0,LEN(TRIM(C24))&gt;0),
'Bang TH nop'!AH25,
0
),
0
)</f>
        <v>A</v>
      </c>
      <c r="AB24" s="346"/>
      <c r="AC24" s="346"/>
      <c r="AD24" s="341"/>
      <c r="AE24" s="346"/>
      <c r="AF24" s="347"/>
      <c r="AG24" s="348"/>
      <c r="AH24" s="349"/>
      <c r="AI24" s="350"/>
      <c r="AJ24" s="351"/>
      <c r="AK24" s="350"/>
      <c r="AL24" s="352"/>
    </row>
    <row r="25" spans="1:38" ht="17.100000000000001" customHeight="1">
      <c r="A25" s="425"/>
      <c r="B25" s="426"/>
      <c r="C25" s="422"/>
      <c r="D25" s="397">
        <f>IFERROR(IF(AND(LEN(TRIM(B24))&gt;0,LEN(TRIM(C24))&gt;0),'Bang TH nop'!AP25,""),"")</f>
        <v>0</v>
      </c>
      <c r="E25" s="397"/>
      <c r="F25" s="353">
        <f>IFERROR(IF(AND(LEN(TRIM(B24))&gt;0,LEN(TRIM(C24))&gt;0),'Bang TH nop'!AL25,0),0)</f>
        <v>0</v>
      </c>
      <c r="G25" s="340">
        <f t="shared" ref="G25" si="140">D25*I24/26</f>
        <v>0</v>
      </c>
      <c r="H25" s="340">
        <f t="shared" ref="H25" si="141">D25*J24*150%/(26*8)</f>
        <v>0</v>
      </c>
      <c r="I25" s="340"/>
      <c r="J25" s="340"/>
      <c r="K25" s="344">
        <f t="shared" ref="K25" si="142">IFERROR(
IF(AND(LEN(TRIM(B24))&gt;0,LEN(TRIM(C24))&gt;0),
ROUND(D25/26*K24,0),
0
),
0
)</f>
        <v>0</v>
      </c>
      <c r="L25" s="344">
        <f t="shared" ref="L25" si="143">IFERROR(
IF(AND(LEN(TRIM(B24))&gt;0,LEN(TRIM(C24))&gt;0),
ROUND(D25/26*L24,0),
0
),
0
)</f>
        <v>0</v>
      </c>
      <c r="M25" s="344">
        <f t="shared" ref="M25" si="144">IFERROR(
IF(AND(LEN(TRIM(B24))&gt;0,LEN(TRIM(C24))&gt;0),
ROUND(D25/26*M24,0),
0
),
0
)</f>
        <v>0</v>
      </c>
      <c r="N25" s="344">
        <f t="shared" ref="N25" si="145">IFERROR(
IF(AND(LEN(TRIM(B24))&gt;0,LEN(TRIM(C24))&gt;0),
D25*N24/(26*8),
0
),
0
)</f>
        <v>0</v>
      </c>
      <c r="O25" s="344">
        <f t="shared" ref="O25" si="146">IFERROR(
IF(AND(LEN(TRIM(B24))&gt;0,LEN(TRIM(C24))&gt;0),
D25*O24/(26*8),
0
),
0
)</f>
        <v>0</v>
      </c>
      <c r="P25" s="344">
        <f t="shared" ref="P25" si="147">IFERROR(
IF(AND(LEN(TRIM(B24))&gt;0,LEN(TRIM(C24))&gt;0),
(D25/26/8*P24),
0
),
0
)</f>
        <v>0</v>
      </c>
      <c r="Q25" s="344">
        <f>IFERROR(
IF(AND(LEN(TRIM(B24))&gt;0,LEN(TRIM(C24))&gt;0),
'Bang TH nop'!BC25,
0
),
0
)</f>
        <v>0</v>
      </c>
      <c r="R25" s="340">
        <f>IFERROR(
IF(AND(LEN(TRIM(B24))&gt;0,LEN(TRIM(C24))&gt;0),
'Bang TH nop'!BD25,
0
),
0
)</f>
        <v>0</v>
      </c>
      <c r="S25" s="340">
        <f>IFERROR(
IF(AND(LEN(TRIM(B24))&gt;0,LEN(TRIM(C24))&gt;0),
'Bang TH nop'!BJ25,
0
),
0
)</f>
        <v>0</v>
      </c>
      <c r="T25" s="340">
        <f>IFERROR(
IF(AND(LEN(TRIM(B24))&gt;0,LEN(TRIM(C24))&gt;0),
IFERROR('Bang TH nop'!AW25,0)+IFERROR('Bang TH nop'!BH25,0),
0
),
0
)</f>
        <v>0</v>
      </c>
      <c r="U25" s="344"/>
      <c r="V25" s="344"/>
      <c r="W25" s="344"/>
      <c r="X25" s="340">
        <f t="shared" ref="X25" si="148">+IF(G25-I25&lt;0,0,G25-I25)</f>
        <v>0</v>
      </c>
      <c r="Y25" s="340">
        <f t="shared" ref="Y25" si="149">+IF(H25-J25&lt;0,0, H25-J25)</f>
        <v>0</v>
      </c>
      <c r="Z25" s="340">
        <f t="shared" ref="Z25" si="150">IFERROR(
IF(AND(LEN(TRIM(B24))&gt;0,LEN(TRIM(C24))&gt;0),
(X25+Y25)*25%,
0
),
0
)</f>
        <v>0</v>
      </c>
      <c r="AA25" s="340">
        <f>IFERROR(
IF(AND(LEN(TRIM(B24))&gt;0,LEN(TRIM(C24))&gt;0),
'Bang TH nop'!BG25,
0
),
0
)</f>
        <v>0</v>
      </c>
      <c r="AB25" s="344">
        <f t="shared" ref="AB25" si="151">IFERROR(
IF(AND(LEN(TRIM(B24))&gt;0,LEN(TRIM(C24))&gt;0),
SUM(I25:W25)+IFERROR(Z25,0)+IFERROR(AA25,0),
0
),
0
)</f>
        <v>0</v>
      </c>
      <c r="AC25" s="340">
        <f t="shared" ref="AC25" si="152">IFERROR(
IF(AND(LEN(TRIM(B24))&gt;0,LEN(TRIM(C24))&gt;0),
IF((26-(IFERROR(I24,0)+IFERROR(K24,0)+IFERROR(L24,0)+IFERROR(M24,0)))&gt;12,0,D25*10.5%),
0
),
0
)</f>
        <v>0</v>
      </c>
      <c r="AD25" s="340">
        <f t="shared" ref="AD25" si="153">IFERROR(
IF(AND(LEN(TRIM(B24))&gt;0,LEN(TRIM(C24))&gt;0),
ROUND(IF(D25=4939000,D25*0.5%,0),-2),
0
),
0
)</f>
        <v>0</v>
      </c>
      <c r="AE25" s="344">
        <f t="shared" ref="AE25" si="154">IFERROR(
IF(AND(LEN(TRIM(B24))&gt;0,LEN(TRIM(C24))&gt;0),
ROUND(IFERROR(AB25,0)-IFERROR(AC25,0)-IFERROR(AD25,0),-2),
0
),
0
)</f>
        <v>0</v>
      </c>
      <c r="AF25" s="347">
        <f>IFERROR(
IF(AND(LEN(TRIM(B24))&gt;0,LEN(TRIM(C24))&gt;0),
IFERROR('Bang TH nop'!AQ25,0)+IFERROR('Bang TH nop'!AT25,0)+IFERROR('Bang TH nop'!BF25,0),
0
),
0
)</f>
        <v>0</v>
      </c>
      <c r="AG25" s="348"/>
      <c r="AH25" s="354"/>
      <c r="AI25" s="355">
        <f t="shared" ref="AI25" si="155">IFERROR(
IF(AND(LEN(TRIM(B24))&gt;0,LEN(TRIM(C24))&gt;0),
AH25/AG25,
0
),
0
)</f>
        <v>0</v>
      </c>
      <c r="AJ25" s="355">
        <f t="shared" ref="AJ25" si="156">IFERROR(
IF(AND(LEN(TRIM(B24))&gt;0,LEN(TRIM(C24))&gt;0),
AL25/AF25,
0
),
0
)</f>
        <v>0</v>
      </c>
      <c r="AK25" s="356">
        <f t="shared" ref="AK25" si="157">IFERROR(
IF(AND(LEN(TRIM(B24))&gt;0,LEN(TRIM(C24))&gt;0),
AJ25/AI25,
0
),
0
)</f>
        <v>0</v>
      </c>
      <c r="AL25" s="357">
        <f t="shared" ref="AL25" si="158">IFERROR(
IF(AND(LEN(TRIM(B24))&gt;0,LEN(TRIM(C24))&gt;0),
AB25/L25,
0
),
0
)</f>
        <v>0</v>
      </c>
    </row>
    <row r="26" spans="1:38" ht="17.100000000000001" customHeight="1">
      <c r="A26" s="424">
        <f t="shared" ref="A26" si="159">A24+1</f>
        <v>10</v>
      </c>
      <c r="B26" s="426">
        <f>'Bang TH nop'!B27</f>
        <v>0</v>
      </c>
      <c r="C26" s="421">
        <f>IFERROR(IF(LEN(TRIM(B26))&gt;0,'Bang TH nop'!C27,""),"")</f>
        <v>0</v>
      </c>
      <c r="D26" s="398">
        <f>IFERROR(IF(AND(LEN(TRIM(B26))&gt;0,LEN(TRIM(C26))&gt;0),'Bang TH nop'!AO27,""),"")</f>
        <v>0</v>
      </c>
      <c r="E26" s="399"/>
      <c r="F26" s="340"/>
      <c r="G26" s="341"/>
      <c r="H26" s="341"/>
      <c r="I26" s="342">
        <f>IFERROR(IF(AND(LEN(TRIM(B26))&gt;0,LEN(TRIM(C26))&gt;0),'Bang TH nop'!BB27,0),0)</f>
        <v>0</v>
      </c>
      <c r="J26" s="342">
        <f>IFERROR(IF(AND(LEN(TRIM(B26))&gt;0,LEN(TRIM(C26))&gt;0),'Bang TH nop'!AV27,0),0)</f>
        <v>0</v>
      </c>
      <c r="K26" s="342">
        <f>IFERROR(IF(AND(LEN(TRIM(B26))&gt;0,LEN(TRIM(C26))&gt;0),'Bang TH nop'!AR27,0),0)</f>
        <v>0</v>
      </c>
      <c r="L26" s="343">
        <f>IFERROR(IF(AND(LEN(TRIM(B26))&gt;0,LEN(TRIM(C26))&gt;0),'Bang TH nop'!AS27,0),0)</f>
        <v>0</v>
      </c>
      <c r="M26" s="342">
        <f>IFERROR(IF(AND(LEN(TRIM(B26))&gt;0,LEN(TRIM(C26))&gt;0),'Bang TH nop'!AT27,0),0)</f>
        <v>0</v>
      </c>
      <c r="N26" s="344">
        <f>IFERROR(IF(AND(LEN(TRIM(B26))&gt;0,LEN(TRIM(C26))&gt;0),'Bang TH nop'!AU27,0),0)</f>
        <v>0</v>
      </c>
      <c r="O26" s="342">
        <f>IFERROR(IF(AND(LEN(TRIM(B26))&gt;0,LEN(TRIM(C26))&gt;0),'Bang TH nop'!BE27,0),0)</f>
        <v>0</v>
      </c>
      <c r="P26" s="345">
        <f>IFERROR(IF(AND(LEN(TRIM(B26))&gt;0,LEN(TRIM(C26))&gt;0),'Bang TH nop'!AZ27,0),0)</f>
        <v>0</v>
      </c>
      <c r="Q26" s="343"/>
      <c r="R26" s="342"/>
      <c r="S26" s="342"/>
      <c r="T26" s="342"/>
      <c r="U26" s="341"/>
      <c r="V26" s="341"/>
      <c r="W26" s="341"/>
      <c r="X26" s="341"/>
      <c r="Y26" s="341"/>
      <c r="Z26" s="341"/>
      <c r="AA26" s="340" t="str">
        <f>IFERROR(
IF(AND(LEN(TRIM(B26))&gt;0,LEN(TRIM(C26))&gt;0),
'Bang TH nop'!AH27,
0
),
0
)</f>
        <v>A</v>
      </c>
      <c r="AB26" s="346"/>
      <c r="AC26" s="346"/>
      <c r="AD26" s="341"/>
      <c r="AE26" s="346"/>
      <c r="AF26" s="347"/>
      <c r="AG26" s="348"/>
      <c r="AH26" s="349"/>
      <c r="AI26" s="350"/>
      <c r="AJ26" s="351"/>
      <c r="AK26" s="350"/>
      <c r="AL26" s="352"/>
    </row>
    <row r="27" spans="1:38" ht="17.100000000000001" customHeight="1">
      <c r="A27" s="425"/>
      <c r="B27" s="426"/>
      <c r="C27" s="422"/>
      <c r="D27" s="397">
        <f>IFERROR(IF(AND(LEN(TRIM(B26))&gt;0,LEN(TRIM(C26))&gt;0),'Bang TH nop'!AP27,""),"")</f>
        <v>0</v>
      </c>
      <c r="E27" s="397"/>
      <c r="F27" s="353">
        <f>IFERROR(IF(AND(LEN(TRIM(B26))&gt;0,LEN(TRIM(C26))&gt;0),'Bang TH nop'!AL27,0),0)</f>
        <v>0</v>
      </c>
      <c r="G27" s="340">
        <f t="shared" ref="G27" si="160">D27*I26/26</f>
        <v>0</v>
      </c>
      <c r="H27" s="340">
        <f t="shared" ref="H27" si="161">D27*J26*150%/(26*8)</f>
        <v>0</v>
      </c>
      <c r="I27" s="340"/>
      <c r="J27" s="340"/>
      <c r="K27" s="344">
        <f t="shared" ref="K27" si="162">IFERROR(
IF(AND(LEN(TRIM(B26))&gt;0,LEN(TRIM(C26))&gt;0),
ROUND(D27/26*K26,0),
0
),
0
)</f>
        <v>0</v>
      </c>
      <c r="L27" s="344">
        <f t="shared" ref="L27" si="163">IFERROR(
IF(AND(LEN(TRIM(B26))&gt;0,LEN(TRIM(C26))&gt;0),
ROUND(D27/26*L26,0),
0
),
0
)</f>
        <v>0</v>
      </c>
      <c r="M27" s="344">
        <f t="shared" ref="M27" si="164">IFERROR(
IF(AND(LEN(TRIM(B26))&gt;0,LEN(TRIM(C26))&gt;0),
ROUND(D27/26*M26,0),
0
),
0
)</f>
        <v>0</v>
      </c>
      <c r="N27" s="344">
        <f t="shared" ref="N27" si="165">IFERROR(
IF(AND(LEN(TRIM(B26))&gt;0,LEN(TRIM(C26))&gt;0),
D27*N26/(26*8),
0
),
0
)</f>
        <v>0</v>
      </c>
      <c r="O27" s="344">
        <f t="shared" ref="O27" si="166">IFERROR(
IF(AND(LEN(TRIM(B26))&gt;0,LEN(TRIM(C26))&gt;0),
D27*O26/(26*8),
0
),
0
)</f>
        <v>0</v>
      </c>
      <c r="P27" s="344">
        <f t="shared" ref="P27" si="167">IFERROR(
IF(AND(LEN(TRIM(B26))&gt;0,LEN(TRIM(C26))&gt;0),
(D27/26/8*P26),
0
),
0
)</f>
        <v>0</v>
      </c>
      <c r="Q27" s="344">
        <f>IFERROR(
IF(AND(LEN(TRIM(B26))&gt;0,LEN(TRIM(C26))&gt;0),
'Bang TH nop'!BC27,
0
),
0
)</f>
        <v>0</v>
      </c>
      <c r="R27" s="340">
        <f>IFERROR(
IF(AND(LEN(TRIM(B26))&gt;0,LEN(TRIM(C26))&gt;0),
'Bang TH nop'!BD27,
0
),
0
)</f>
        <v>0</v>
      </c>
      <c r="S27" s="340">
        <f>IFERROR(
IF(AND(LEN(TRIM(B26))&gt;0,LEN(TRIM(C26))&gt;0),
'Bang TH nop'!BJ27,
0
),
0
)</f>
        <v>0</v>
      </c>
      <c r="T27" s="340">
        <f>IFERROR(
IF(AND(LEN(TRIM(B26))&gt;0,LEN(TRIM(C26))&gt;0),
IFERROR('Bang TH nop'!AW27,0)+IFERROR('Bang TH nop'!BH27,0),
0
),
0
)</f>
        <v>0</v>
      </c>
      <c r="U27" s="344"/>
      <c r="V27" s="344"/>
      <c r="W27" s="344"/>
      <c r="X27" s="340">
        <f t="shared" ref="X27" si="168">+IF(G27-I27&lt;0,0,G27-I27)</f>
        <v>0</v>
      </c>
      <c r="Y27" s="340">
        <f t="shared" ref="Y27" si="169">+IF(H27-J27&lt;0,0, H27-J27)</f>
        <v>0</v>
      </c>
      <c r="Z27" s="340">
        <f t="shared" ref="Z27" si="170">IFERROR(
IF(AND(LEN(TRIM(B26))&gt;0,LEN(TRIM(C26))&gt;0),
(X27+Y27)*25%,
0
),
0
)</f>
        <v>0</v>
      </c>
      <c r="AA27" s="340">
        <f>IFERROR(
IF(AND(LEN(TRIM(B26))&gt;0,LEN(TRIM(C26))&gt;0),
'Bang TH nop'!BG27,
0
),
0
)</f>
        <v>0</v>
      </c>
      <c r="AB27" s="344">
        <f t="shared" ref="AB27" si="171">IFERROR(
IF(AND(LEN(TRIM(B26))&gt;0,LEN(TRIM(C26))&gt;0),
SUM(I27:W27)+IFERROR(Z27,0)+IFERROR(AA27,0),
0
),
0
)</f>
        <v>0</v>
      </c>
      <c r="AC27" s="340">
        <f t="shared" ref="AC27" si="172">IFERROR(
IF(AND(LEN(TRIM(B26))&gt;0,LEN(TRIM(C26))&gt;0),
IF((26-(IFERROR(I26,0)+IFERROR(K26,0)+IFERROR(L26,0)+IFERROR(M26,0)))&gt;12,0,D27*10.5%),
0
),
0
)</f>
        <v>0</v>
      </c>
      <c r="AD27" s="340">
        <f t="shared" ref="AD27" si="173">IFERROR(
IF(AND(LEN(TRIM(B26))&gt;0,LEN(TRIM(C26))&gt;0),
ROUND(IF(D27=4939000,D27*0.5%,0),-2),
0
),
0
)</f>
        <v>0</v>
      </c>
      <c r="AE27" s="344">
        <f t="shared" ref="AE27" si="174">IFERROR(
IF(AND(LEN(TRIM(B26))&gt;0,LEN(TRIM(C26))&gt;0),
ROUND(IFERROR(AB27,0)-IFERROR(AC27,0)-IFERROR(AD27,0),-2),
0
),
0
)</f>
        <v>0</v>
      </c>
      <c r="AF27" s="347">
        <f>IFERROR(
IF(AND(LEN(TRIM(B26))&gt;0,LEN(TRIM(C26))&gt;0),
IFERROR('Bang TH nop'!AQ27,0)+IFERROR('Bang TH nop'!AT27,0)+IFERROR('Bang TH nop'!BF27,0),
0
),
0
)</f>
        <v>0</v>
      </c>
      <c r="AG27" s="348"/>
      <c r="AH27" s="354"/>
      <c r="AI27" s="355">
        <f t="shared" ref="AI27" si="175">IFERROR(
IF(AND(LEN(TRIM(B26))&gt;0,LEN(TRIM(C26))&gt;0),
AH27/AG27,
0
),
0
)</f>
        <v>0</v>
      </c>
      <c r="AJ27" s="355">
        <f t="shared" ref="AJ27" si="176">IFERROR(
IF(AND(LEN(TRIM(B26))&gt;0,LEN(TRIM(C26))&gt;0),
AL27/AF27,
0
),
0
)</f>
        <v>0</v>
      </c>
      <c r="AK27" s="356">
        <f t="shared" ref="AK27" si="177">IFERROR(
IF(AND(LEN(TRIM(B26))&gt;0,LEN(TRIM(C26))&gt;0),
AJ27/AI27,
0
),
0
)</f>
        <v>0</v>
      </c>
      <c r="AL27" s="357">
        <f t="shared" ref="AL27" si="178">IFERROR(
IF(AND(LEN(TRIM(B26))&gt;0,LEN(TRIM(C26))&gt;0),
AB27/L27,
0
),
0
)</f>
        <v>0</v>
      </c>
    </row>
    <row r="28" spans="1:38" ht="17.100000000000001" customHeight="1">
      <c r="A28" s="424">
        <f t="shared" ref="A28" si="179">A26+1</f>
        <v>11</v>
      </c>
      <c r="B28" s="426">
        <f>'Bang TH nop'!B29</f>
        <v>0</v>
      </c>
      <c r="C28" s="421">
        <f>IFERROR(IF(LEN(TRIM(B28))&gt;0,'Bang TH nop'!C29,""),"")</f>
        <v>0</v>
      </c>
      <c r="D28" s="398">
        <f>IFERROR(IF(AND(LEN(TRIM(B28))&gt;0,LEN(TRIM(C28))&gt;0),'Bang TH nop'!AO29,""),"")</f>
        <v>0</v>
      </c>
      <c r="E28" s="399"/>
      <c r="F28" s="340"/>
      <c r="G28" s="341"/>
      <c r="H28" s="341"/>
      <c r="I28" s="342">
        <f>IFERROR(IF(AND(LEN(TRIM(B28))&gt;0,LEN(TRIM(C28))&gt;0),'Bang TH nop'!BB29,0),0)</f>
        <v>0</v>
      </c>
      <c r="J28" s="342">
        <f>IFERROR(IF(AND(LEN(TRIM(B28))&gt;0,LEN(TRIM(C28))&gt;0),'Bang TH nop'!AV29,0),0)</f>
        <v>0</v>
      </c>
      <c r="K28" s="342">
        <f>IFERROR(IF(AND(LEN(TRIM(B28))&gt;0,LEN(TRIM(C28))&gt;0),'Bang TH nop'!AR29,0),0)</f>
        <v>0</v>
      </c>
      <c r="L28" s="343">
        <f>IFERROR(IF(AND(LEN(TRIM(B28))&gt;0,LEN(TRIM(C28))&gt;0),'Bang TH nop'!AS29,0),0)</f>
        <v>0</v>
      </c>
      <c r="M28" s="342">
        <f>IFERROR(IF(AND(LEN(TRIM(B28))&gt;0,LEN(TRIM(C28))&gt;0),'Bang TH nop'!AT29,0),0)</f>
        <v>0</v>
      </c>
      <c r="N28" s="344">
        <f>IFERROR(IF(AND(LEN(TRIM(B28))&gt;0,LEN(TRIM(C28))&gt;0),'Bang TH nop'!AU29,0),0)</f>
        <v>0</v>
      </c>
      <c r="O28" s="342">
        <f>IFERROR(IF(AND(LEN(TRIM(B28))&gt;0,LEN(TRIM(C28))&gt;0),'Bang TH nop'!BE29,0),0)</f>
        <v>0</v>
      </c>
      <c r="P28" s="345">
        <f>IFERROR(IF(AND(LEN(TRIM(B28))&gt;0,LEN(TRIM(C28))&gt;0),'Bang TH nop'!AZ29,0),0)</f>
        <v>0</v>
      </c>
      <c r="Q28" s="343"/>
      <c r="R28" s="342"/>
      <c r="S28" s="342"/>
      <c r="T28" s="342"/>
      <c r="U28" s="341"/>
      <c r="V28" s="341"/>
      <c r="W28" s="341"/>
      <c r="X28" s="341"/>
      <c r="Y28" s="341"/>
      <c r="Z28" s="341"/>
      <c r="AA28" s="340" t="str">
        <f>IFERROR(
IF(AND(LEN(TRIM(B28))&gt;0,LEN(TRIM(C28))&gt;0),
'Bang TH nop'!AH29,
0
),
0
)</f>
        <v>A</v>
      </c>
      <c r="AB28" s="346"/>
      <c r="AC28" s="346"/>
      <c r="AD28" s="341"/>
      <c r="AE28" s="346"/>
      <c r="AF28" s="347"/>
      <c r="AG28" s="348"/>
      <c r="AH28" s="349"/>
      <c r="AI28" s="350"/>
      <c r="AJ28" s="351"/>
      <c r="AK28" s="350"/>
      <c r="AL28" s="352"/>
    </row>
    <row r="29" spans="1:38" ht="17.100000000000001" customHeight="1">
      <c r="A29" s="425"/>
      <c r="B29" s="426"/>
      <c r="C29" s="422"/>
      <c r="D29" s="397">
        <f>IFERROR(IF(AND(LEN(TRIM(B28))&gt;0,LEN(TRIM(C28))&gt;0),'Bang TH nop'!AP29,""),"")</f>
        <v>0</v>
      </c>
      <c r="E29" s="397"/>
      <c r="F29" s="353">
        <f>IFERROR(IF(AND(LEN(TRIM(B28))&gt;0,LEN(TRIM(C28))&gt;0),'Bang TH nop'!AL29,0),0)</f>
        <v>0</v>
      </c>
      <c r="G29" s="340">
        <f t="shared" ref="G29" si="180">D29*I28/26</f>
        <v>0</v>
      </c>
      <c r="H29" s="340">
        <f t="shared" ref="H29" si="181">D29*J28*150%/(26*8)</f>
        <v>0</v>
      </c>
      <c r="I29" s="340"/>
      <c r="J29" s="340"/>
      <c r="K29" s="344">
        <f t="shared" ref="K29" si="182">IFERROR(
IF(AND(LEN(TRIM(B28))&gt;0,LEN(TRIM(C28))&gt;0),
ROUND(D29/26*K28,0),
0
),
0
)</f>
        <v>0</v>
      </c>
      <c r="L29" s="344">
        <f t="shared" ref="L29" si="183">IFERROR(
IF(AND(LEN(TRIM(B28))&gt;0,LEN(TRIM(C28))&gt;0),
ROUND(D29/26*L28,0),
0
),
0
)</f>
        <v>0</v>
      </c>
      <c r="M29" s="344">
        <f t="shared" ref="M29" si="184">IFERROR(
IF(AND(LEN(TRIM(B28))&gt;0,LEN(TRIM(C28))&gt;0),
ROUND(D29/26*M28,0),
0
),
0
)</f>
        <v>0</v>
      </c>
      <c r="N29" s="344">
        <f t="shared" ref="N29" si="185">IFERROR(
IF(AND(LEN(TRIM(B28))&gt;0,LEN(TRIM(C28))&gt;0),
D29*N28/(26*8),
0
),
0
)</f>
        <v>0</v>
      </c>
      <c r="O29" s="344">
        <f t="shared" ref="O29" si="186">IFERROR(
IF(AND(LEN(TRIM(B28))&gt;0,LEN(TRIM(C28))&gt;0),
D29*O28/(26*8),
0
),
0
)</f>
        <v>0</v>
      </c>
      <c r="P29" s="344">
        <f t="shared" ref="P29" si="187">IFERROR(
IF(AND(LEN(TRIM(B28))&gt;0,LEN(TRIM(C28))&gt;0),
(D29/26/8*P28),
0
),
0
)</f>
        <v>0</v>
      </c>
      <c r="Q29" s="344">
        <f>IFERROR(
IF(AND(LEN(TRIM(B28))&gt;0,LEN(TRIM(C28))&gt;0),
'Bang TH nop'!BC29,
0
),
0
)</f>
        <v>0</v>
      </c>
      <c r="R29" s="340">
        <f>IFERROR(
IF(AND(LEN(TRIM(B28))&gt;0,LEN(TRIM(C28))&gt;0),
'Bang TH nop'!BD29,
0
),
0
)</f>
        <v>0</v>
      </c>
      <c r="S29" s="340">
        <f>IFERROR(
IF(AND(LEN(TRIM(B28))&gt;0,LEN(TRIM(C28))&gt;0),
'Bang TH nop'!BJ29,
0
),
0
)</f>
        <v>0</v>
      </c>
      <c r="T29" s="340">
        <f>IFERROR(
IF(AND(LEN(TRIM(B28))&gt;0,LEN(TRIM(C28))&gt;0),
IFERROR('Bang TH nop'!AW29,0)+IFERROR('Bang TH nop'!BH29,0),
0
),
0
)</f>
        <v>0</v>
      </c>
      <c r="U29" s="344"/>
      <c r="V29" s="344"/>
      <c r="W29" s="344"/>
      <c r="X29" s="340">
        <f t="shared" ref="X29" si="188">+IF(G29-I29&lt;0,0,G29-I29)</f>
        <v>0</v>
      </c>
      <c r="Y29" s="340">
        <f t="shared" ref="Y29" si="189">+IF(H29-J29&lt;0,0, H29-J29)</f>
        <v>0</v>
      </c>
      <c r="Z29" s="340">
        <f t="shared" ref="Z29" si="190">IFERROR(
IF(AND(LEN(TRIM(B28))&gt;0,LEN(TRIM(C28))&gt;0),
(X29+Y29)*25%,
0
),
0
)</f>
        <v>0</v>
      </c>
      <c r="AA29" s="340">
        <f>IFERROR(
IF(AND(LEN(TRIM(B28))&gt;0,LEN(TRIM(C28))&gt;0),
'Bang TH nop'!BG29,
0
),
0
)</f>
        <v>0</v>
      </c>
      <c r="AB29" s="344">
        <f t="shared" ref="AB29" si="191">IFERROR(
IF(AND(LEN(TRIM(B28))&gt;0,LEN(TRIM(C28))&gt;0),
SUM(I29:W29)+IFERROR(Z29,0)+IFERROR(AA29,0),
0
),
0
)</f>
        <v>0</v>
      </c>
      <c r="AC29" s="340">
        <f t="shared" ref="AC29" si="192">IFERROR(
IF(AND(LEN(TRIM(B28))&gt;0,LEN(TRIM(C28))&gt;0),
IF((26-(IFERROR(I28,0)+IFERROR(K28,0)+IFERROR(L28,0)+IFERROR(M28,0)))&gt;12,0,D29*10.5%),
0
),
0
)</f>
        <v>0</v>
      </c>
      <c r="AD29" s="340">
        <f t="shared" ref="AD29" si="193">IFERROR(
IF(AND(LEN(TRIM(B28))&gt;0,LEN(TRIM(C28))&gt;0),
ROUND(IF(D29=4939000,D29*0.5%,0),-2),
0
),
0
)</f>
        <v>0</v>
      </c>
      <c r="AE29" s="344">
        <f t="shared" ref="AE29" si="194">IFERROR(
IF(AND(LEN(TRIM(B28))&gt;0,LEN(TRIM(C28))&gt;0),
ROUND(IFERROR(AB29,0)-IFERROR(AC29,0)-IFERROR(AD29,0),-2),
0
),
0
)</f>
        <v>0</v>
      </c>
      <c r="AF29" s="347">
        <f>IFERROR(
IF(AND(LEN(TRIM(B28))&gt;0,LEN(TRIM(C28))&gt;0),
IFERROR('Bang TH nop'!AQ29,0)+IFERROR('Bang TH nop'!AT29,0)+IFERROR('Bang TH nop'!BF29,0),
0
),
0
)</f>
        <v>0</v>
      </c>
      <c r="AG29" s="348"/>
      <c r="AH29" s="354"/>
      <c r="AI29" s="355">
        <f t="shared" ref="AI29" si="195">IFERROR(
IF(AND(LEN(TRIM(B28))&gt;0,LEN(TRIM(C28))&gt;0),
AH29/AG29,
0
),
0
)</f>
        <v>0</v>
      </c>
      <c r="AJ29" s="355">
        <f t="shared" ref="AJ29" si="196">IFERROR(
IF(AND(LEN(TRIM(B28))&gt;0,LEN(TRIM(C28))&gt;0),
AL29/AF29,
0
),
0
)</f>
        <v>0</v>
      </c>
      <c r="AK29" s="356">
        <f t="shared" ref="AK29" si="197">IFERROR(
IF(AND(LEN(TRIM(B28))&gt;0,LEN(TRIM(C28))&gt;0),
AJ29/AI29,
0
),
0
)</f>
        <v>0</v>
      </c>
      <c r="AL29" s="357">
        <f t="shared" ref="AL29" si="198">IFERROR(
IF(AND(LEN(TRIM(B28))&gt;0,LEN(TRIM(C28))&gt;0),
AB29/L29,
0
),
0
)</f>
        <v>0</v>
      </c>
    </row>
    <row r="30" spans="1:38" ht="17.100000000000001" customHeight="1">
      <c r="A30" s="424">
        <f t="shared" ref="A30" si="199">A28+1</f>
        <v>12</v>
      </c>
      <c r="B30" s="426">
        <f>'Bang TH nop'!B31</f>
        <v>0</v>
      </c>
      <c r="C30" s="421">
        <f>IFERROR(IF(LEN(TRIM(B30))&gt;0,'Bang TH nop'!C31,""),"")</f>
        <v>0</v>
      </c>
      <c r="D30" s="398">
        <f>IFERROR(IF(AND(LEN(TRIM(B30))&gt;0,LEN(TRIM(C30))&gt;0),'Bang TH nop'!AO31,""),"")</f>
        <v>0</v>
      </c>
      <c r="E30" s="399"/>
      <c r="F30" s="340"/>
      <c r="G30" s="341"/>
      <c r="H30" s="341"/>
      <c r="I30" s="342">
        <f>IFERROR(IF(AND(LEN(TRIM(B30))&gt;0,LEN(TRIM(C30))&gt;0),'Bang TH nop'!BB31,0),0)</f>
        <v>0</v>
      </c>
      <c r="J30" s="342">
        <f>IFERROR(IF(AND(LEN(TRIM(B30))&gt;0,LEN(TRIM(C30))&gt;0),'Bang TH nop'!AV31,0),0)</f>
        <v>0</v>
      </c>
      <c r="K30" s="342">
        <f>IFERROR(IF(AND(LEN(TRIM(B30))&gt;0,LEN(TRIM(C30))&gt;0),'Bang TH nop'!AR31,0),0)</f>
        <v>0</v>
      </c>
      <c r="L30" s="343">
        <f>IFERROR(IF(AND(LEN(TRIM(B30))&gt;0,LEN(TRIM(C30))&gt;0),'Bang TH nop'!AS31,0),0)</f>
        <v>0</v>
      </c>
      <c r="M30" s="342">
        <f>IFERROR(IF(AND(LEN(TRIM(B30))&gt;0,LEN(TRIM(C30))&gt;0),'Bang TH nop'!AT31,0),0)</f>
        <v>0</v>
      </c>
      <c r="N30" s="344">
        <f>IFERROR(IF(AND(LEN(TRIM(B30))&gt;0,LEN(TRIM(C30))&gt;0),'Bang TH nop'!AU31,0),0)</f>
        <v>0</v>
      </c>
      <c r="O30" s="342">
        <f>IFERROR(IF(AND(LEN(TRIM(B30))&gt;0,LEN(TRIM(C30))&gt;0),'Bang TH nop'!BE31,0),0)</f>
        <v>0</v>
      </c>
      <c r="P30" s="345">
        <f>IFERROR(IF(AND(LEN(TRIM(B30))&gt;0,LEN(TRIM(C30))&gt;0),'Bang TH nop'!AZ31,0),0)</f>
        <v>0</v>
      </c>
      <c r="Q30" s="343"/>
      <c r="R30" s="342"/>
      <c r="S30" s="342"/>
      <c r="T30" s="342"/>
      <c r="U30" s="341"/>
      <c r="V30" s="341"/>
      <c r="W30" s="341"/>
      <c r="X30" s="341"/>
      <c r="Y30" s="341"/>
      <c r="Z30" s="341"/>
      <c r="AA30" s="340" t="str">
        <f>IFERROR(
IF(AND(LEN(TRIM(B30))&gt;0,LEN(TRIM(C30))&gt;0),
'Bang TH nop'!AH31,
0
),
0
)</f>
        <v>A</v>
      </c>
      <c r="AB30" s="346"/>
      <c r="AC30" s="346"/>
      <c r="AD30" s="341"/>
      <c r="AE30" s="346"/>
      <c r="AF30" s="347"/>
      <c r="AG30" s="348"/>
      <c r="AH30" s="349"/>
      <c r="AI30" s="350"/>
      <c r="AJ30" s="351"/>
      <c r="AK30" s="350"/>
      <c r="AL30" s="352"/>
    </row>
    <row r="31" spans="1:38" ht="17.100000000000001" customHeight="1">
      <c r="A31" s="425"/>
      <c r="B31" s="426"/>
      <c r="C31" s="422"/>
      <c r="D31" s="397">
        <f>IFERROR(IF(AND(LEN(TRIM(B30))&gt;0,LEN(TRIM(C30))&gt;0),'Bang TH nop'!AP31,""),"")</f>
        <v>0</v>
      </c>
      <c r="E31" s="397"/>
      <c r="F31" s="353">
        <f>IFERROR(IF(AND(LEN(TRIM(B30))&gt;0,LEN(TRIM(C30))&gt;0),'Bang TH nop'!AL31,0),0)</f>
        <v>0</v>
      </c>
      <c r="G31" s="340">
        <f t="shared" ref="G31" si="200">D31*I30/26</f>
        <v>0</v>
      </c>
      <c r="H31" s="340">
        <f t="shared" ref="H31" si="201">D31*J30*150%/(26*8)</f>
        <v>0</v>
      </c>
      <c r="I31" s="340"/>
      <c r="J31" s="340"/>
      <c r="K31" s="344">
        <f t="shared" ref="K31" si="202">IFERROR(
IF(AND(LEN(TRIM(B30))&gt;0,LEN(TRIM(C30))&gt;0),
ROUND(D31/26*K30,0),
0
),
0
)</f>
        <v>0</v>
      </c>
      <c r="L31" s="344">
        <f t="shared" ref="L31" si="203">IFERROR(
IF(AND(LEN(TRIM(B30))&gt;0,LEN(TRIM(C30))&gt;0),
ROUND(D31/26*L30,0),
0
),
0
)</f>
        <v>0</v>
      </c>
      <c r="M31" s="344">
        <f t="shared" ref="M31" si="204">IFERROR(
IF(AND(LEN(TRIM(B30))&gt;0,LEN(TRIM(C30))&gt;0),
ROUND(D31/26*M30,0),
0
),
0
)</f>
        <v>0</v>
      </c>
      <c r="N31" s="344">
        <f t="shared" ref="N31" si="205">IFERROR(
IF(AND(LEN(TRIM(B30))&gt;0,LEN(TRIM(C30))&gt;0),
D31*N30/(26*8),
0
),
0
)</f>
        <v>0</v>
      </c>
      <c r="O31" s="344">
        <f t="shared" ref="O31" si="206">IFERROR(
IF(AND(LEN(TRIM(B30))&gt;0,LEN(TRIM(C30))&gt;0),
D31*O30/(26*8),
0
),
0
)</f>
        <v>0</v>
      </c>
      <c r="P31" s="344">
        <f t="shared" ref="P31" si="207">IFERROR(
IF(AND(LEN(TRIM(B30))&gt;0,LEN(TRIM(C30))&gt;0),
(D31/26/8*P30),
0
),
0
)</f>
        <v>0</v>
      </c>
      <c r="Q31" s="344">
        <f>IFERROR(
IF(AND(LEN(TRIM(B30))&gt;0,LEN(TRIM(C30))&gt;0),
'Bang TH nop'!BC31,
0
),
0
)</f>
        <v>0</v>
      </c>
      <c r="R31" s="340">
        <f>IFERROR(
IF(AND(LEN(TRIM(B30))&gt;0,LEN(TRIM(C30))&gt;0),
'Bang TH nop'!BD31,
0
),
0
)</f>
        <v>0</v>
      </c>
      <c r="S31" s="340">
        <f>IFERROR(
IF(AND(LEN(TRIM(B30))&gt;0,LEN(TRIM(C30))&gt;0),
'Bang TH nop'!BJ31,
0
),
0
)</f>
        <v>0</v>
      </c>
      <c r="T31" s="340">
        <f>IFERROR(
IF(AND(LEN(TRIM(B30))&gt;0,LEN(TRIM(C30))&gt;0),
IFERROR('Bang TH nop'!AW31,0)+IFERROR('Bang TH nop'!BH31,0),
0
),
0
)</f>
        <v>0</v>
      </c>
      <c r="U31" s="344"/>
      <c r="V31" s="344"/>
      <c r="W31" s="344"/>
      <c r="X31" s="340">
        <f t="shared" ref="X31" si="208">+IF(G31-I31&lt;0,0,G31-I31)</f>
        <v>0</v>
      </c>
      <c r="Y31" s="340">
        <f t="shared" ref="Y31" si="209">+IF(H31-J31&lt;0,0, H31-J31)</f>
        <v>0</v>
      </c>
      <c r="Z31" s="340">
        <f t="shared" ref="Z31" si="210">IFERROR(
IF(AND(LEN(TRIM(B30))&gt;0,LEN(TRIM(C30))&gt;0),
(X31+Y31)*25%,
0
),
0
)</f>
        <v>0</v>
      </c>
      <c r="AA31" s="340">
        <f>IFERROR(
IF(AND(LEN(TRIM(B30))&gt;0,LEN(TRIM(C30))&gt;0),
'Bang TH nop'!BG31,
0
),
0
)</f>
        <v>0</v>
      </c>
      <c r="AB31" s="344">
        <f t="shared" ref="AB31" si="211">IFERROR(
IF(AND(LEN(TRIM(B30))&gt;0,LEN(TRIM(C30))&gt;0),
SUM(I31:W31)+IFERROR(Z31,0)+IFERROR(AA31,0),
0
),
0
)</f>
        <v>0</v>
      </c>
      <c r="AC31" s="340">
        <f t="shared" ref="AC31" si="212">IFERROR(
IF(AND(LEN(TRIM(B30))&gt;0,LEN(TRIM(C30))&gt;0),
IF((26-(IFERROR(I30,0)+IFERROR(K30,0)+IFERROR(L30,0)+IFERROR(M30,0)))&gt;12,0,D31*10.5%),
0
),
0
)</f>
        <v>0</v>
      </c>
      <c r="AD31" s="340">
        <f t="shared" ref="AD31" si="213">IFERROR(
IF(AND(LEN(TRIM(B30))&gt;0,LEN(TRIM(C30))&gt;0),
ROUND(IF(D31=4939000,D31*0.5%,0),-2),
0
),
0
)</f>
        <v>0</v>
      </c>
      <c r="AE31" s="344">
        <f t="shared" ref="AE31" si="214">IFERROR(
IF(AND(LEN(TRIM(B30))&gt;0,LEN(TRIM(C30))&gt;0),
ROUND(IFERROR(AB31,0)-IFERROR(AC31,0)-IFERROR(AD31,0),-2),
0
),
0
)</f>
        <v>0</v>
      </c>
      <c r="AF31" s="347">
        <f>IFERROR(
IF(AND(LEN(TRIM(B30))&gt;0,LEN(TRIM(C30))&gt;0),
IFERROR('Bang TH nop'!AQ31,0)+IFERROR('Bang TH nop'!AT31,0)+IFERROR('Bang TH nop'!BF31,0),
0
),
0
)</f>
        <v>0</v>
      </c>
      <c r="AG31" s="348"/>
      <c r="AH31" s="354"/>
      <c r="AI31" s="355">
        <f t="shared" ref="AI31" si="215">IFERROR(
IF(AND(LEN(TRIM(B30))&gt;0,LEN(TRIM(C30))&gt;0),
AH31/AG31,
0
),
0
)</f>
        <v>0</v>
      </c>
      <c r="AJ31" s="355">
        <f t="shared" ref="AJ31" si="216">IFERROR(
IF(AND(LEN(TRIM(B30))&gt;0,LEN(TRIM(C30))&gt;0),
AL31/AF31,
0
),
0
)</f>
        <v>0</v>
      </c>
      <c r="AK31" s="356">
        <f t="shared" ref="AK31" si="217">IFERROR(
IF(AND(LEN(TRIM(B30))&gt;0,LEN(TRIM(C30))&gt;0),
AJ31/AI31,
0
),
0
)</f>
        <v>0</v>
      </c>
      <c r="AL31" s="357">
        <f t="shared" ref="AL31" si="218">IFERROR(
IF(AND(LEN(TRIM(B30))&gt;0,LEN(TRIM(C30))&gt;0),
AB31/L31,
0
),
0
)</f>
        <v>0</v>
      </c>
    </row>
    <row r="32" spans="1:38" ht="17.100000000000001" customHeight="1">
      <c r="A32" s="424">
        <f t="shared" ref="A32" si="219">A30+1</f>
        <v>13</v>
      </c>
      <c r="B32" s="426">
        <f>'Bang TH nop'!B33</f>
        <v>0</v>
      </c>
      <c r="C32" s="421">
        <f>IFERROR(IF(LEN(TRIM(B32))&gt;0,'Bang TH nop'!C33,""),"")</f>
        <v>0</v>
      </c>
      <c r="D32" s="398">
        <f>IFERROR(IF(AND(LEN(TRIM(B32))&gt;0,LEN(TRIM(C32))&gt;0),'Bang TH nop'!AO33,""),"")</f>
        <v>0</v>
      </c>
      <c r="E32" s="399"/>
      <c r="F32" s="340"/>
      <c r="G32" s="341"/>
      <c r="H32" s="341"/>
      <c r="I32" s="342">
        <f>IFERROR(IF(AND(LEN(TRIM(B32))&gt;0,LEN(TRIM(C32))&gt;0),'Bang TH nop'!BB33,0),0)</f>
        <v>0</v>
      </c>
      <c r="J32" s="342">
        <f>IFERROR(IF(AND(LEN(TRIM(B32))&gt;0,LEN(TRIM(C32))&gt;0),'Bang TH nop'!AV33,0),0)</f>
        <v>0</v>
      </c>
      <c r="K32" s="342">
        <f>IFERROR(IF(AND(LEN(TRIM(B32))&gt;0,LEN(TRIM(C32))&gt;0),'Bang TH nop'!AR33,0),0)</f>
        <v>0</v>
      </c>
      <c r="L32" s="343">
        <f>IFERROR(IF(AND(LEN(TRIM(B32))&gt;0,LEN(TRIM(C32))&gt;0),'Bang TH nop'!AS33,0),0)</f>
        <v>0</v>
      </c>
      <c r="M32" s="342">
        <f>IFERROR(IF(AND(LEN(TRIM(B32))&gt;0,LEN(TRIM(C32))&gt;0),'Bang TH nop'!AT33,0),0)</f>
        <v>0</v>
      </c>
      <c r="N32" s="344">
        <f>IFERROR(IF(AND(LEN(TRIM(B32))&gt;0,LEN(TRIM(C32))&gt;0),'Bang TH nop'!AU33,0),0)</f>
        <v>0</v>
      </c>
      <c r="O32" s="342">
        <f>IFERROR(IF(AND(LEN(TRIM(B32))&gt;0,LEN(TRIM(C32))&gt;0),'Bang TH nop'!BE33,0),0)</f>
        <v>0</v>
      </c>
      <c r="P32" s="345">
        <f>IFERROR(IF(AND(LEN(TRIM(B32))&gt;0,LEN(TRIM(C32))&gt;0),'Bang TH nop'!AZ33,0),0)</f>
        <v>0</v>
      </c>
      <c r="Q32" s="343"/>
      <c r="R32" s="342"/>
      <c r="S32" s="342"/>
      <c r="T32" s="342"/>
      <c r="U32" s="341"/>
      <c r="V32" s="341"/>
      <c r="W32" s="341"/>
      <c r="X32" s="341"/>
      <c r="Y32" s="341"/>
      <c r="Z32" s="341"/>
      <c r="AA32" s="340" t="str">
        <f>IFERROR(
IF(AND(LEN(TRIM(B32))&gt;0,LEN(TRIM(C32))&gt;0),
'Bang TH nop'!AH33,
0
),
0
)</f>
        <v>A</v>
      </c>
      <c r="AB32" s="346"/>
      <c r="AC32" s="346"/>
      <c r="AD32" s="341"/>
      <c r="AE32" s="346"/>
      <c r="AF32" s="347"/>
      <c r="AG32" s="348"/>
      <c r="AH32" s="349"/>
      <c r="AI32" s="350"/>
      <c r="AJ32" s="351"/>
      <c r="AK32" s="350"/>
      <c r="AL32" s="352"/>
    </row>
    <row r="33" spans="1:38" ht="17.100000000000001" customHeight="1">
      <c r="A33" s="425"/>
      <c r="B33" s="426"/>
      <c r="C33" s="422"/>
      <c r="D33" s="397">
        <f>IFERROR(IF(AND(LEN(TRIM(B32))&gt;0,LEN(TRIM(C32))&gt;0),'Bang TH nop'!AP33,""),"")</f>
        <v>0</v>
      </c>
      <c r="E33" s="397"/>
      <c r="F33" s="353">
        <f>IFERROR(IF(AND(LEN(TRIM(B32))&gt;0,LEN(TRIM(C32))&gt;0),'Bang TH nop'!AL33,0),0)</f>
        <v>0</v>
      </c>
      <c r="G33" s="340">
        <f t="shared" ref="G33" si="220">D33*I32/26</f>
        <v>0</v>
      </c>
      <c r="H33" s="340">
        <f t="shared" ref="H33" si="221">D33*J32*150%/(26*8)</f>
        <v>0</v>
      </c>
      <c r="I33" s="340"/>
      <c r="J33" s="340"/>
      <c r="K33" s="344">
        <f t="shared" ref="K33" si="222">IFERROR(
IF(AND(LEN(TRIM(B32))&gt;0,LEN(TRIM(C32))&gt;0),
ROUND(D33/26*K32,0),
0
),
0
)</f>
        <v>0</v>
      </c>
      <c r="L33" s="344">
        <f t="shared" ref="L33" si="223">IFERROR(
IF(AND(LEN(TRIM(B32))&gt;0,LEN(TRIM(C32))&gt;0),
ROUND(D33/26*L32,0),
0
),
0
)</f>
        <v>0</v>
      </c>
      <c r="M33" s="344">
        <f t="shared" ref="M33" si="224">IFERROR(
IF(AND(LEN(TRIM(B32))&gt;0,LEN(TRIM(C32))&gt;0),
ROUND(D33/26*M32,0),
0
),
0
)</f>
        <v>0</v>
      </c>
      <c r="N33" s="344">
        <f t="shared" ref="N33" si="225">IFERROR(
IF(AND(LEN(TRIM(B32))&gt;0,LEN(TRIM(C32))&gt;0),
D33*N32/(26*8),
0
),
0
)</f>
        <v>0</v>
      </c>
      <c r="O33" s="344">
        <f t="shared" ref="O33" si="226">IFERROR(
IF(AND(LEN(TRIM(B32))&gt;0,LEN(TRIM(C32))&gt;0),
D33*O32/(26*8),
0
),
0
)</f>
        <v>0</v>
      </c>
      <c r="P33" s="344">
        <f t="shared" ref="P33" si="227">IFERROR(
IF(AND(LEN(TRIM(B32))&gt;0,LEN(TRIM(C32))&gt;0),
(D33/26/8*P32),
0
),
0
)</f>
        <v>0</v>
      </c>
      <c r="Q33" s="344">
        <f>IFERROR(
IF(AND(LEN(TRIM(B32))&gt;0,LEN(TRIM(C32))&gt;0),
'Bang TH nop'!BC33,
0
),
0
)</f>
        <v>0</v>
      </c>
      <c r="R33" s="340">
        <f>IFERROR(
IF(AND(LEN(TRIM(B32))&gt;0,LEN(TRIM(C32))&gt;0),
'Bang TH nop'!BD33,
0
),
0
)</f>
        <v>0</v>
      </c>
      <c r="S33" s="340">
        <f>IFERROR(
IF(AND(LEN(TRIM(B32))&gt;0,LEN(TRIM(C32))&gt;0),
'Bang TH nop'!BJ33,
0
),
0
)</f>
        <v>0</v>
      </c>
      <c r="T33" s="340">
        <f>IFERROR(
IF(AND(LEN(TRIM(B32))&gt;0,LEN(TRIM(C32))&gt;0),
IFERROR('Bang TH nop'!AW33,0)+IFERROR('Bang TH nop'!BH33,0),
0
),
0
)</f>
        <v>0</v>
      </c>
      <c r="U33" s="344"/>
      <c r="V33" s="344"/>
      <c r="W33" s="344"/>
      <c r="X33" s="340">
        <f t="shared" ref="X33" si="228">+IF(G33-I33&lt;0,0,G33-I33)</f>
        <v>0</v>
      </c>
      <c r="Y33" s="340">
        <f t="shared" ref="Y33" si="229">+IF(H33-J33&lt;0,0, H33-J33)</f>
        <v>0</v>
      </c>
      <c r="Z33" s="340">
        <f t="shared" ref="Z33" si="230">IFERROR(
IF(AND(LEN(TRIM(B32))&gt;0,LEN(TRIM(C32))&gt;0),
(X33+Y33)*25%,
0
),
0
)</f>
        <v>0</v>
      </c>
      <c r="AA33" s="340">
        <f>IFERROR(
IF(AND(LEN(TRIM(B32))&gt;0,LEN(TRIM(C32))&gt;0),
'Bang TH nop'!BG33,
0
),
0
)</f>
        <v>0</v>
      </c>
      <c r="AB33" s="344">
        <f t="shared" ref="AB33" si="231">IFERROR(
IF(AND(LEN(TRIM(B32))&gt;0,LEN(TRIM(C32))&gt;0),
SUM(I33:W33)+IFERROR(Z33,0)+IFERROR(AA33,0),
0
),
0
)</f>
        <v>0</v>
      </c>
      <c r="AC33" s="340">
        <f t="shared" ref="AC33" si="232">IFERROR(
IF(AND(LEN(TRIM(B32))&gt;0,LEN(TRIM(C32))&gt;0),
IF((26-(IFERROR(I32,0)+IFERROR(K32,0)+IFERROR(L32,0)+IFERROR(M32,0)))&gt;12,0,D33*10.5%),
0
),
0
)</f>
        <v>0</v>
      </c>
      <c r="AD33" s="340">
        <f t="shared" ref="AD33" si="233">IFERROR(
IF(AND(LEN(TRIM(B32))&gt;0,LEN(TRIM(C32))&gt;0),
ROUND(IF(D33=4939000,D33*0.5%,0),-2),
0
),
0
)</f>
        <v>0</v>
      </c>
      <c r="AE33" s="344">
        <f t="shared" ref="AE33" si="234">IFERROR(
IF(AND(LEN(TRIM(B32))&gt;0,LEN(TRIM(C32))&gt;0),
ROUND(IFERROR(AB33,0)-IFERROR(AC33,0)-IFERROR(AD33,0),-2),
0
),
0
)</f>
        <v>0</v>
      </c>
      <c r="AF33" s="347">
        <f>IFERROR(
IF(AND(LEN(TRIM(B32))&gt;0,LEN(TRIM(C32))&gt;0),
IFERROR('Bang TH nop'!AQ33,0)+IFERROR('Bang TH nop'!AT33,0)+IFERROR('Bang TH nop'!BF33,0),
0
),
0
)</f>
        <v>0</v>
      </c>
      <c r="AG33" s="348"/>
      <c r="AH33" s="354"/>
      <c r="AI33" s="355">
        <f t="shared" ref="AI33" si="235">IFERROR(
IF(AND(LEN(TRIM(B32))&gt;0,LEN(TRIM(C32))&gt;0),
AH33/AG33,
0
),
0
)</f>
        <v>0</v>
      </c>
      <c r="AJ33" s="355">
        <f t="shared" ref="AJ33" si="236">IFERROR(
IF(AND(LEN(TRIM(B32))&gt;0,LEN(TRIM(C32))&gt;0),
AL33/AF33,
0
),
0
)</f>
        <v>0</v>
      </c>
      <c r="AK33" s="356">
        <f t="shared" ref="AK33" si="237">IFERROR(
IF(AND(LEN(TRIM(B32))&gt;0,LEN(TRIM(C32))&gt;0),
AJ33/AI33,
0
),
0
)</f>
        <v>0</v>
      </c>
      <c r="AL33" s="357">
        <f t="shared" ref="AL33" si="238">IFERROR(
IF(AND(LEN(TRIM(B32))&gt;0,LEN(TRIM(C32))&gt;0),
AB33/L33,
0
),
0
)</f>
        <v>0</v>
      </c>
    </row>
    <row r="34" spans="1:38" ht="17.100000000000001" customHeight="1">
      <c r="A34" s="424">
        <f t="shared" ref="A34" si="239">A32+1</f>
        <v>14</v>
      </c>
      <c r="B34" s="426">
        <f>'Bang TH nop'!B35</f>
        <v>0</v>
      </c>
      <c r="C34" s="421">
        <f>IFERROR(IF(LEN(TRIM(B34))&gt;0,'Bang TH nop'!C35,""),"")</f>
        <v>0</v>
      </c>
      <c r="D34" s="398">
        <f>IFERROR(IF(AND(LEN(TRIM(B34))&gt;0,LEN(TRIM(C34))&gt;0),'Bang TH nop'!AO35,""),"")</f>
        <v>0</v>
      </c>
      <c r="E34" s="399"/>
      <c r="F34" s="340"/>
      <c r="G34" s="341"/>
      <c r="H34" s="341"/>
      <c r="I34" s="342">
        <f>IFERROR(IF(AND(LEN(TRIM(B34))&gt;0,LEN(TRIM(C34))&gt;0),'Bang TH nop'!BB35,0),0)</f>
        <v>0</v>
      </c>
      <c r="J34" s="342">
        <f>IFERROR(IF(AND(LEN(TRIM(B34))&gt;0,LEN(TRIM(C34))&gt;0),'Bang TH nop'!AV35,0),0)</f>
        <v>0</v>
      </c>
      <c r="K34" s="342">
        <f>IFERROR(IF(AND(LEN(TRIM(B34))&gt;0,LEN(TRIM(C34))&gt;0),'Bang TH nop'!AR35,0),0)</f>
        <v>0</v>
      </c>
      <c r="L34" s="343">
        <f>IFERROR(IF(AND(LEN(TRIM(B34))&gt;0,LEN(TRIM(C34))&gt;0),'Bang TH nop'!AS35,0),0)</f>
        <v>0</v>
      </c>
      <c r="M34" s="342">
        <f>IFERROR(IF(AND(LEN(TRIM(B34))&gt;0,LEN(TRIM(C34))&gt;0),'Bang TH nop'!AT35,0),0)</f>
        <v>0</v>
      </c>
      <c r="N34" s="344">
        <f>IFERROR(IF(AND(LEN(TRIM(B34))&gt;0,LEN(TRIM(C34))&gt;0),'Bang TH nop'!AU35,0),0)</f>
        <v>0</v>
      </c>
      <c r="O34" s="342">
        <f>IFERROR(IF(AND(LEN(TRIM(B34))&gt;0,LEN(TRIM(C34))&gt;0),'Bang TH nop'!BE35,0),0)</f>
        <v>0</v>
      </c>
      <c r="P34" s="345">
        <f>IFERROR(IF(AND(LEN(TRIM(B34))&gt;0,LEN(TRIM(C34))&gt;0),'Bang TH nop'!AZ35,0),0)</f>
        <v>0</v>
      </c>
      <c r="Q34" s="343"/>
      <c r="R34" s="342"/>
      <c r="S34" s="342"/>
      <c r="T34" s="342"/>
      <c r="U34" s="341"/>
      <c r="V34" s="341"/>
      <c r="W34" s="341"/>
      <c r="X34" s="341"/>
      <c r="Y34" s="341"/>
      <c r="Z34" s="341"/>
      <c r="AA34" s="340" t="str">
        <f>IFERROR(
IF(AND(LEN(TRIM(B34))&gt;0,LEN(TRIM(C34))&gt;0),
'Bang TH nop'!AH35,
0
),
0
)</f>
        <v>A</v>
      </c>
      <c r="AB34" s="346"/>
      <c r="AC34" s="346"/>
      <c r="AD34" s="341"/>
      <c r="AE34" s="346"/>
      <c r="AF34" s="347"/>
      <c r="AG34" s="348"/>
      <c r="AH34" s="349"/>
      <c r="AI34" s="350"/>
      <c r="AJ34" s="351"/>
      <c r="AK34" s="350"/>
      <c r="AL34" s="352"/>
    </row>
    <row r="35" spans="1:38" ht="17.100000000000001" customHeight="1">
      <c r="A35" s="425"/>
      <c r="B35" s="426"/>
      <c r="C35" s="422"/>
      <c r="D35" s="397">
        <f>IFERROR(IF(AND(LEN(TRIM(B34))&gt;0,LEN(TRIM(C34))&gt;0),'Bang TH nop'!AP35,""),"")</f>
        <v>0</v>
      </c>
      <c r="E35" s="397"/>
      <c r="F35" s="353">
        <f>IFERROR(IF(AND(LEN(TRIM(B34))&gt;0,LEN(TRIM(C34))&gt;0),'Bang TH nop'!AL35,0),0)</f>
        <v>0</v>
      </c>
      <c r="G35" s="340">
        <f t="shared" ref="G35" si="240">D35*I34/26</f>
        <v>0</v>
      </c>
      <c r="H35" s="340">
        <f t="shared" ref="H35" si="241">D35*J34*150%/(26*8)</f>
        <v>0</v>
      </c>
      <c r="I35" s="340"/>
      <c r="J35" s="340"/>
      <c r="K35" s="344">
        <f t="shared" ref="K35" si="242">IFERROR(
IF(AND(LEN(TRIM(B34))&gt;0,LEN(TRIM(C34))&gt;0),
ROUND(D35/26*K34,0),
0
),
0
)</f>
        <v>0</v>
      </c>
      <c r="L35" s="344">
        <f t="shared" ref="L35" si="243">IFERROR(
IF(AND(LEN(TRIM(B34))&gt;0,LEN(TRIM(C34))&gt;0),
ROUND(D35/26*L34,0),
0
),
0
)</f>
        <v>0</v>
      </c>
      <c r="M35" s="344">
        <f t="shared" ref="M35" si="244">IFERROR(
IF(AND(LEN(TRIM(B34))&gt;0,LEN(TRIM(C34))&gt;0),
ROUND(D35/26*M34,0),
0
),
0
)</f>
        <v>0</v>
      </c>
      <c r="N35" s="344">
        <f t="shared" ref="N35" si="245">IFERROR(
IF(AND(LEN(TRIM(B34))&gt;0,LEN(TRIM(C34))&gt;0),
D35*N34/(26*8),
0
),
0
)</f>
        <v>0</v>
      </c>
      <c r="O35" s="344">
        <f t="shared" ref="O35" si="246">IFERROR(
IF(AND(LEN(TRIM(B34))&gt;0,LEN(TRIM(C34))&gt;0),
D35*O34/(26*8),
0
),
0
)</f>
        <v>0</v>
      </c>
      <c r="P35" s="344">
        <f t="shared" ref="P35" si="247">IFERROR(
IF(AND(LEN(TRIM(B34))&gt;0,LEN(TRIM(C34))&gt;0),
(D35/26/8*P34),
0
),
0
)</f>
        <v>0</v>
      </c>
      <c r="Q35" s="344">
        <f>IFERROR(
IF(AND(LEN(TRIM(B34))&gt;0,LEN(TRIM(C34))&gt;0),
'Bang TH nop'!BC35,
0
),
0
)</f>
        <v>0</v>
      </c>
      <c r="R35" s="340">
        <f>IFERROR(
IF(AND(LEN(TRIM(B34))&gt;0,LEN(TRIM(C34))&gt;0),
'Bang TH nop'!BD35,
0
),
0
)</f>
        <v>0</v>
      </c>
      <c r="S35" s="340">
        <f>IFERROR(
IF(AND(LEN(TRIM(B34))&gt;0,LEN(TRIM(C34))&gt;0),
'Bang TH nop'!BJ35,
0
),
0
)</f>
        <v>0</v>
      </c>
      <c r="T35" s="340">
        <f>IFERROR(
IF(AND(LEN(TRIM(B34))&gt;0,LEN(TRIM(C34))&gt;0),
IFERROR('Bang TH nop'!AW35,0)+IFERROR('Bang TH nop'!BH35,0),
0
),
0
)</f>
        <v>0</v>
      </c>
      <c r="U35" s="344"/>
      <c r="V35" s="344"/>
      <c r="W35" s="344"/>
      <c r="X35" s="340">
        <f t="shared" ref="X35" si="248">+IF(G35-I35&lt;0,0,G35-I35)</f>
        <v>0</v>
      </c>
      <c r="Y35" s="340">
        <f t="shared" ref="Y35" si="249">+IF(H35-J35&lt;0,0, H35-J35)</f>
        <v>0</v>
      </c>
      <c r="Z35" s="340">
        <f t="shared" ref="Z35" si="250">IFERROR(
IF(AND(LEN(TRIM(B34))&gt;0,LEN(TRIM(C34))&gt;0),
(X35+Y35)*25%,
0
),
0
)</f>
        <v>0</v>
      </c>
      <c r="AA35" s="340">
        <f>IFERROR(
IF(AND(LEN(TRIM(B34))&gt;0,LEN(TRIM(C34))&gt;0),
'Bang TH nop'!BG35,
0
),
0
)</f>
        <v>0</v>
      </c>
      <c r="AB35" s="344">
        <f t="shared" ref="AB35" si="251">IFERROR(
IF(AND(LEN(TRIM(B34))&gt;0,LEN(TRIM(C34))&gt;0),
SUM(I35:W35)+IFERROR(Z35,0)+IFERROR(AA35,0),
0
),
0
)</f>
        <v>0</v>
      </c>
      <c r="AC35" s="340">
        <f t="shared" ref="AC35" si="252">IFERROR(
IF(AND(LEN(TRIM(B34))&gt;0,LEN(TRIM(C34))&gt;0),
IF((26-(IFERROR(I34,0)+IFERROR(K34,0)+IFERROR(L34,0)+IFERROR(M34,0)))&gt;12,0,D35*10.5%),
0
),
0
)</f>
        <v>0</v>
      </c>
      <c r="AD35" s="340">
        <f t="shared" ref="AD35" si="253">IFERROR(
IF(AND(LEN(TRIM(B34))&gt;0,LEN(TRIM(C34))&gt;0),
ROUND(IF(D35=4939000,D35*0.5%,0),-2),
0
),
0
)</f>
        <v>0</v>
      </c>
      <c r="AE35" s="344">
        <f t="shared" ref="AE35" si="254">IFERROR(
IF(AND(LEN(TRIM(B34))&gt;0,LEN(TRIM(C34))&gt;0),
ROUND(IFERROR(AB35,0)-IFERROR(AC35,0)-IFERROR(AD35,0),-2),
0
),
0
)</f>
        <v>0</v>
      </c>
      <c r="AF35" s="347">
        <f>IFERROR(
IF(AND(LEN(TRIM(B34))&gt;0,LEN(TRIM(C34))&gt;0),
IFERROR('Bang TH nop'!AQ35,0)+IFERROR('Bang TH nop'!AT35,0)+IFERROR('Bang TH nop'!BF35,0),
0
),
0
)</f>
        <v>0</v>
      </c>
      <c r="AG35" s="348"/>
      <c r="AH35" s="354"/>
      <c r="AI35" s="355">
        <f t="shared" ref="AI35" si="255">IFERROR(
IF(AND(LEN(TRIM(B34))&gt;0,LEN(TRIM(C34))&gt;0),
AH35/AG35,
0
),
0
)</f>
        <v>0</v>
      </c>
      <c r="AJ35" s="355">
        <f t="shared" ref="AJ35" si="256">IFERROR(
IF(AND(LEN(TRIM(B34))&gt;0,LEN(TRIM(C34))&gt;0),
AL35/AF35,
0
),
0
)</f>
        <v>0</v>
      </c>
      <c r="AK35" s="356">
        <f t="shared" ref="AK35" si="257">IFERROR(
IF(AND(LEN(TRIM(B34))&gt;0,LEN(TRIM(C34))&gt;0),
AJ35/AI35,
0
),
0
)</f>
        <v>0</v>
      </c>
      <c r="AL35" s="357">
        <f t="shared" ref="AL35" si="258">IFERROR(
IF(AND(LEN(TRIM(B34))&gt;0,LEN(TRIM(C34))&gt;0),
AB35/L35,
0
),
0
)</f>
        <v>0</v>
      </c>
    </row>
    <row r="36" spans="1:38" ht="17.100000000000001" customHeight="1">
      <c r="A36" s="424">
        <f t="shared" ref="A36" si="259">A34+1</f>
        <v>15</v>
      </c>
      <c r="B36" s="426">
        <f>'Bang TH nop'!B37</f>
        <v>0</v>
      </c>
      <c r="C36" s="421">
        <f>IFERROR(IF(LEN(TRIM(B36))&gt;0,'Bang TH nop'!C37,""),"")</f>
        <v>0</v>
      </c>
      <c r="D36" s="398">
        <f>IFERROR(IF(AND(LEN(TRIM(B36))&gt;0,LEN(TRIM(C36))&gt;0),'Bang TH nop'!AO37,""),"")</f>
        <v>0</v>
      </c>
      <c r="E36" s="399"/>
      <c r="F36" s="340"/>
      <c r="G36" s="341"/>
      <c r="H36" s="341"/>
      <c r="I36" s="342">
        <f>IFERROR(IF(AND(LEN(TRIM(B36))&gt;0,LEN(TRIM(C36))&gt;0),'Bang TH nop'!BB37,0),0)</f>
        <v>0</v>
      </c>
      <c r="J36" s="342">
        <f>IFERROR(IF(AND(LEN(TRIM(B36))&gt;0,LEN(TRIM(C36))&gt;0),'Bang TH nop'!AV37,0),0)</f>
        <v>0</v>
      </c>
      <c r="K36" s="342">
        <f>IFERROR(IF(AND(LEN(TRIM(B36))&gt;0,LEN(TRIM(C36))&gt;0),'Bang TH nop'!AR37,0),0)</f>
        <v>0</v>
      </c>
      <c r="L36" s="343">
        <f>IFERROR(IF(AND(LEN(TRIM(B36))&gt;0,LEN(TRIM(C36))&gt;0),'Bang TH nop'!AS37,0),0)</f>
        <v>0</v>
      </c>
      <c r="M36" s="342">
        <f>IFERROR(IF(AND(LEN(TRIM(B36))&gt;0,LEN(TRIM(C36))&gt;0),'Bang TH nop'!AT37,0),0)</f>
        <v>0</v>
      </c>
      <c r="N36" s="344">
        <f>IFERROR(IF(AND(LEN(TRIM(B36))&gt;0,LEN(TRIM(C36))&gt;0),'Bang TH nop'!AU37,0),0)</f>
        <v>0</v>
      </c>
      <c r="O36" s="342">
        <f>IFERROR(IF(AND(LEN(TRIM(B36))&gt;0,LEN(TRIM(C36))&gt;0),'Bang TH nop'!BE37,0),0)</f>
        <v>0</v>
      </c>
      <c r="P36" s="345">
        <f>IFERROR(IF(AND(LEN(TRIM(B36))&gt;0,LEN(TRIM(C36))&gt;0),'Bang TH nop'!AZ37,0),0)</f>
        <v>0</v>
      </c>
      <c r="Q36" s="343"/>
      <c r="R36" s="342"/>
      <c r="S36" s="342"/>
      <c r="T36" s="342"/>
      <c r="U36" s="341"/>
      <c r="V36" s="341"/>
      <c r="W36" s="341"/>
      <c r="X36" s="341"/>
      <c r="Y36" s="341"/>
      <c r="Z36" s="341"/>
      <c r="AA36" s="340" t="str">
        <f>IFERROR(
IF(AND(LEN(TRIM(B36))&gt;0,LEN(TRIM(C36))&gt;0),
'Bang TH nop'!AH37,
0
),
0
)</f>
        <v>A</v>
      </c>
      <c r="AB36" s="346"/>
      <c r="AC36" s="346"/>
      <c r="AD36" s="341"/>
      <c r="AE36" s="346"/>
      <c r="AF36" s="347"/>
      <c r="AG36" s="348"/>
      <c r="AH36" s="349"/>
      <c r="AI36" s="350"/>
      <c r="AJ36" s="351"/>
      <c r="AK36" s="350"/>
      <c r="AL36" s="352"/>
    </row>
    <row r="37" spans="1:38" ht="17.100000000000001" customHeight="1">
      <c r="A37" s="425"/>
      <c r="B37" s="426"/>
      <c r="C37" s="422"/>
      <c r="D37" s="397">
        <f>IFERROR(IF(AND(LEN(TRIM(B36))&gt;0,LEN(TRIM(C36))&gt;0),'Bang TH nop'!AP37,""),"")</f>
        <v>0</v>
      </c>
      <c r="E37" s="397"/>
      <c r="F37" s="353">
        <f>IFERROR(IF(AND(LEN(TRIM(B36))&gt;0,LEN(TRIM(C36))&gt;0),'Bang TH nop'!AL37,0),0)</f>
        <v>0</v>
      </c>
      <c r="G37" s="340">
        <f t="shared" ref="G37" si="260">D37*I36/26</f>
        <v>0</v>
      </c>
      <c r="H37" s="340">
        <f t="shared" ref="H37" si="261">D37*J36*150%/(26*8)</f>
        <v>0</v>
      </c>
      <c r="I37" s="340"/>
      <c r="J37" s="340"/>
      <c r="K37" s="344">
        <f t="shared" ref="K37" si="262">IFERROR(
IF(AND(LEN(TRIM(B36))&gt;0,LEN(TRIM(C36))&gt;0),
ROUND(D37/26*K36,0),
0
),
0
)</f>
        <v>0</v>
      </c>
      <c r="L37" s="344">
        <f t="shared" ref="L37" si="263">IFERROR(
IF(AND(LEN(TRIM(B36))&gt;0,LEN(TRIM(C36))&gt;0),
ROUND(D37/26*L36,0),
0
),
0
)</f>
        <v>0</v>
      </c>
      <c r="M37" s="344">
        <f t="shared" ref="M37" si="264">IFERROR(
IF(AND(LEN(TRIM(B36))&gt;0,LEN(TRIM(C36))&gt;0),
ROUND(D37/26*M36,0),
0
),
0
)</f>
        <v>0</v>
      </c>
      <c r="N37" s="344">
        <f t="shared" ref="N37" si="265">IFERROR(
IF(AND(LEN(TRIM(B36))&gt;0,LEN(TRIM(C36))&gt;0),
D37*N36/(26*8),
0
),
0
)</f>
        <v>0</v>
      </c>
      <c r="O37" s="344">
        <f t="shared" ref="O37" si="266">IFERROR(
IF(AND(LEN(TRIM(B36))&gt;0,LEN(TRIM(C36))&gt;0),
D37*O36/(26*8),
0
),
0
)</f>
        <v>0</v>
      </c>
      <c r="P37" s="344">
        <f t="shared" ref="P37" si="267">IFERROR(
IF(AND(LEN(TRIM(B36))&gt;0,LEN(TRIM(C36))&gt;0),
(D37/26/8*P36),
0
),
0
)</f>
        <v>0</v>
      </c>
      <c r="Q37" s="344">
        <f>IFERROR(
IF(AND(LEN(TRIM(B36))&gt;0,LEN(TRIM(C36))&gt;0),
'Bang TH nop'!BC37,
0
),
0
)</f>
        <v>0</v>
      </c>
      <c r="R37" s="340">
        <f>IFERROR(
IF(AND(LEN(TRIM(B36))&gt;0,LEN(TRIM(C36))&gt;0),
'Bang TH nop'!BD37,
0
),
0
)</f>
        <v>0</v>
      </c>
      <c r="S37" s="340">
        <f>IFERROR(
IF(AND(LEN(TRIM(B36))&gt;0,LEN(TRIM(C36))&gt;0),
'Bang TH nop'!BJ37,
0
),
0
)</f>
        <v>0</v>
      </c>
      <c r="T37" s="340">
        <f>IFERROR(
IF(AND(LEN(TRIM(B36))&gt;0,LEN(TRIM(C36))&gt;0),
IFERROR('Bang TH nop'!AW37,0)+IFERROR('Bang TH nop'!BH37,0),
0
),
0
)</f>
        <v>0</v>
      </c>
      <c r="U37" s="344"/>
      <c r="V37" s="344"/>
      <c r="W37" s="344"/>
      <c r="X37" s="340">
        <f t="shared" ref="X37" si="268">+IF(G37-I37&lt;0,0,G37-I37)</f>
        <v>0</v>
      </c>
      <c r="Y37" s="340">
        <f t="shared" ref="Y37" si="269">+IF(H37-J37&lt;0,0, H37-J37)</f>
        <v>0</v>
      </c>
      <c r="Z37" s="340">
        <f t="shared" ref="Z37" si="270">IFERROR(
IF(AND(LEN(TRIM(B36))&gt;0,LEN(TRIM(C36))&gt;0),
(X37+Y37)*25%,
0
),
0
)</f>
        <v>0</v>
      </c>
      <c r="AA37" s="340">
        <f>IFERROR(
IF(AND(LEN(TRIM(B36))&gt;0,LEN(TRIM(C36))&gt;0),
'Bang TH nop'!BG37,
0
),
0
)</f>
        <v>0</v>
      </c>
      <c r="AB37" s="344">
        <f t="shared" ref="AB37" si="271">IFERROR(
IF(AND(LEN(TRIM(B36))&gt;0,LEN(TRIM(C36))&gt;0),
SUM(I37:W37)+IFERROR(Z37,0)+IFERROR(AA37,0),
0
),
0
)</f>
        <v>0</v>
      </c>
      <c r="AC37" s="340">
        <f t="shared" ref="AC37" si="272">IFERROR(
IF(AND(LEN(TRIM(B36))&gt;0,LEN(TRIM(C36))&gt;0),
IF((26-(IFERROR(I36,0)+IFERROR(K36,0)+IFERROR(L36,0)+IFERROR(M36,0)))&gt;12,0,D37*10.5%),
0
),
0
)</f>
        <v>0</v>
      </c>
      <c r="AD37" s="340">
        <f t="shared" ref="AD37" si="273">IFERROR(
IF(AND(LEN(TRIM(B36))&gt;0,LEN(TRIM(C36))&gt;0),
ROUND(IF(D37=4939000,D37*0.5%,0),-2),
0
),
0
)</f>
        <v>0</v>
      </c>
      <c r="AE37" s="344">
        <f t="shared" ref="AE37" si="274">IFERROR(
IF(AND(LEN(TRIM(B36))&gt;0,LEN(TRIM(C36))&gt;0),
ROUND(IFERROR(AB37,0)-IFERROR(AC37,0)-IFERROR(AD37,0),-2),
0
),
0
)</f>
        <v>0</v>
      </c>
      <c r="AF37" s="347">
        <f>IFERROR(
IF(AND(LEN(TRIM(B36))&gt;0,LEN(TRIM(C36))&gt;0),
IFERROR('Bang TH nop'!AQ37,0)+IFERROR('Bang TH nop'!AT37,0)+IFERROR('Bang TH nop'!BF37,0),
0
),
0
)</f>
        <v>0</v>
      </c>
      <c r="AG37" s="348"/>
      <c r="AH37" s="354"/>
      <c r="AI37" s="355">
        <f t="shared" ref="AI37" si="275">IFERROR(
IF(AND(LEN(TRIM(B36))&gt;0,LEN(TRIM(C36))&gt;0),
AH37/AG37,
0
),
0
)</f>
        <v>0</v>
      </c>
      <c r="AJ37" s="355">
        <f t="shared" ref="AJ37" si="276">IFERROR(
IF(AND(LEN(TRIM(B36))&gt;0,LEN(TRIM(C36))&gt;0),
AL37/AF37,
0
),
0
)</f>
        <v>0</v>
      </c>
      <c r="AK37" s="356">
        <f t="shared" ref="AK37" si="277">IFERROR(
IF(AND(LEN(TRIM(B36))&gt;0,LEN(TRIM(C36))&gt;0),
AJ37/AI37,
0
),
0
)</f>
        <v>0</v>
      </c>
      <c r="AL37" s="357">
        <f t="shared" ref="AL37" si="278">IFERROR(
IF(AND(LEN(TRIM(B36))&gt;0,LEN(TRIM(C36))&gt;0),
AB37/L37,
0
),
0
)</f>
        <v>0</v>
      </c>
    </row>
    <row r="38" spans="1:38" ht="17.100000000000001" customHeight="1">
      <c r="A38" s="424">
        <f t="shared" ref="A38" si="279">A36+1</f>
        <v>16</v>
      </c>
      <c r="B38" s="426">
        <f>'Bang TH nop'!B39</f>
        <v>0</v>
      </c>
      <c r="C38" s="421">
        <f>IFERROR(IF(LEN(TRIM(B38))&gt;0,'Bang TH nop'!C39,""),"")</f>
        <v>0</v>
      </c>
      <c r="D38" s="398">
        <f>IFERROR(IF(AND(LEN(TRIM(B38))&gt;0,LEN(TRIM(C38))&gt;0),'Bang TH nop'!AO39,""),"")</f>
        <v>0</v>
      </c>
      <c r="E38" s="399"/>
      <c r="F38" s="340"/>
      <c r="G38" s="341"/>
      <c r="H38" s="341"/>
      <c r="I38" s="342">
        <f>IFERROR(IF(AND(LEN(TRIM(B38))&gt;0,LEN(TRIM(C38))&gt;0),'Bang TH nop'!BB39,0),0)</f>
        <v>0</v>
      </c>
      <c r="J38" s="342">
        <f>IFERROR(IF(AND(LEN(TRIM(B38))&gt;0,LEN(TRIM(C38))&gt;0),'Bang TH nop'!AV39,0),0)</f>
        <v>0</v>
      </c>
      <c r="K38" s="342">
        <f>IFERROR(IF(AND(LEN(TRIM(B38))&gt;0,LEN(TRIM(C38))&gt;0),'Bang TH nop'!AR39,0),0)</f>
        <v>0</v>
      </c>
      <c r="L38" s="343">
        <f>IFERROR(IF(AND(LEN(TRIM(B38))&gt;0,LEN(TRIM(C38))&gt;0),'Bang TH nop'!AS39,0),0)</f>
        <v>0</v>
      </c>
      <c r="M38" s="342">
        <f>IFERROR(IF(AND(LEN(TRIM(B38))&gt;0,LEN(TRIM(C38))&gt;0),'Bang TH nop'!AT39,0),0)</f>
        <v>0</v>
      </c>
      <c r="N38" s="344">
        <f>IFERROR(IF(AND(LEN(TRIM(B38))&gt;0,LEN(TRIM(C38))&gt;0),'Bang TH nop'!AU39,0),0)</f>
        <v>0</v>
      </c>
      <c r="O38" s="342">
        <f>IFERROR(IF(AND(LEN(TRIM(B38))&gt;0,LEN(TRIM(C38))&gt;0),'Bang TH nop'!BE39,0),0)</f>
        <v>0</v>
      </c>
      <c r="P38" s="345">
        <f>IFERROR(IF(AND(LEN(TRIM(B38))&gt;0,LEN(TRIM(C38))&gt;0),'Bang TH nop'!AZ39,0),0)</f>
        <v>0</v>
      </c>
      <c r="Q38" s="343"/>
      <c r="R38" s="342"/>
      <c r="S38" s="342"/>
      <c r="T38" s="342"/>
      <c r="U38" s="341"/>
      <c r="V38" s="341"/>
      <c r="W38" s="341"/>
      <c r="X38" s="341"/>
      <c r="Y38" s="341"/>
      <c r="Z38" s="341"/>
      <c r="AA38" s="340" t="str">
        <f>IFERROR(
IF(AND(LEN(TRIM(B38))&gt;0,LEN(TRIM(C38))&gt;0),
'Bang TH nop'!AH39,
0
),
0
)</f>
        <v>A</v>
      </c>
      <c r="AB38" s="346"/>
      <c r="AC38" s="346"/>
      <c r="AD38" s="341"/>
      <c r="AE38" s="346"/>
      <c r="AF38" s="347"/>
      <c r="AG38" s="348"/>
      <c r="AH38" s="349"/>
      <c r="AI38" s="350"/>
      <c r="AJ38" s="351"/>
      <c r="AK38" s="350"/>
      <c r="AL38" s="352"/>
    </row>
    <row r="39" spans="1:38" ht="17.100000000000001" customHeight="1">
      <c r="A39" s="425"/>
      <c r="B39" s="426"/>
      <c r="C39" s="422"/>
      <c r="D39" s="397">
        <f>IFERROR(IF(AND(LEN(TRIM(B38))&gt;0,LEN(TRIM(C38))&gt;0),'Bang TH nop'!AP39,""),"")</f>
        <v>0</v>
      </c>
      <c r="E39" s="397"/>
      <c r="F39" s="353">
        <f>IFERROR(IF(AND(LEN(TRIM(B38))&gt;0,LEN(TRIM(C38))&gt;0),'Bang TH nop'!AL39,0),0)</f>
        <v>0</v>
      </c>
      <c r="G39" s="340">
        <f t="shared" ref="G39" si="280">D39*I38/26</f>
        <v>0</v>
      </c>
      <c r="H39" s="340">
        <f t="shared" ref="H39" si="281">D39*J38*150%/(26*8)</f>
        <v>0</v>
      </c>
      <c r="I39" s="340"/>
      <c r="J39" s="340"/>
      <c r="K39" s="344">
        <f t="shared" ref="K39" si="282">IFERROR(
IF(AND(LEN(TRIM(B38))&gt;0,LEN(TRIM(C38))&gt;0),
ROUND(D39/26*K38,0),
0
),
0
)</f>
        <v>0</v>
      </c>
      <c r="L39" s="344">
        <f t="shared" ref="L39" si="283">IFERROR(
IF(AND(LEN(TRIM(B38))&gt;0,LEN(TRIM(C38))&gt;0),
ROUND(D39/26*L38,0),
0
),
0
)</f>
        <v>0</v>
      </c>
      <c r="M39" s="344">
        <f t="shared" ref="M39" si="284">IFERROR(
IF(AND(LEN(TRIM(B38))&gt;0,LEN(TRIM(C38))&gt;0),
ROUND(D39/26*M38,0),
0
),
0
)</f>
        <v>0</v>
      </c>
      <c r="N39" s="344">
        <f t="shared" ref="N39" si="285">IFERROR(
IF(AND(LEN(TRIM(B38))&gt;0,LEN(TRIM(C38))&gt;0),
D39*N38/(26*8),
0
),
0
)</f>
        <v>0</v>
      </c>
      <c r="O39" s="344">
        <f t="shared" ref="O39" si="286">IFERROR(
IF(AND(LEN(TRIM(B38))&gt;0,LEN(TRIM(C38))&gt;0),
D39*O38/(26*8),
0
),
0
)</f>
        <v>0</v>
      </c>
      <c r="P39" s="344">
        <f t="shared" ref="P39" si="287">IFERROR(
IF(AND(LEN(TRIM(B38))&gt;0,LEN(TRIM(C38))&gt;0),
(D39/26/8*P38),
0
),
0
)</f>
        <v>0</v>
      </c>
      <c r="Q39" s="344">
        <f>IFERROR(
IF(AND(LEN(TRIM(B38))&gt;0,LEN(TRIM(C38))&gt;0),
'Bang TH nop'!BC39,
0
),
0
)</f>
        <v>0</v>
      </c>
      <c r="R39" s="340">
        <f>IFERROR(
IF(AND(LEN(TRIM(B38))&gt;0,LEN(TRIM(C38))&gt;0),
'Bang TH nop'!BD39,
0
),
0
)</f>
        <v>0</v>
      </c>
      <c r="S39" s="340">
        <f>IFERROR(
IF(AND(LEN(TRIM(B38))&gt;0,LEN(TRIM(C38))&gt;0),
'Bang TH nop'!BJ39,
0
),
0
)</f>
        <v>0</v>
      </c>
      <c r="T39" s="340">
        <f>IFERROR(
IF(AND(LEN(TRIM(B38))&gt;0,LEN(TRIM(C38))&gt;0),
IFERROR('Bang TH nop'!AW39,0)+IFERROR('Bang TH nop'!BH39,0),
0
),
0
)</f>
        <v>0</v>
      </c>
      <c r="U39" s="344"/>
      <c r="V39" s="344"/>
      <c r="W39" s="344"/>
      <c r="X39" s="340">
        <f t="shared" ref="X39" si="288">+IF(G39-I39&lt;0,0,G39-I39)</f>
        <v>0</v>
      </c>
      <c r="Y39" s="340">
        <f t="shared" ref="Y39" si="289">+IF(H39-J39&lt;0,0, H39-J39)</f>
        <v>0</v>
      </c>
      <c r="Z39" s="340">
        <f t="shared" ref="Z39" si="290">IFERROR(
IF(AND(LEN(TRIM(B38))&gt;0,LEN(TRIM(C38))&gt;0),
(X39+Y39)*25%,
0
),
0
)</f>
        <v>0</v>
      </c>
      <c r="AA39" s="340">
        <f>IFERROR(
IF(AND(LEN(TRIM(B38))&gt;0,LEN(TRIM(C38))&gt;0),
'Bang TH nop'!BG39,
0
),
0
)</f>
        <v>0</v>
      </c>
      <c r="AB39" s="344">
        <f t="shared" ref="AB39" si="291">IFERROR(
IF(AND(LEN(TRIM(B38))&gt;0,LEN(TRIM(C38))&gt;0),
SUM(I39:W39)+IFERROR(Z39,0)+IFERROR(AA39,0),
0
),
0
)</f>
        <v>0</v>
      </c>
      <c r="AC39" s="340">
        <f t="shared" ref="AC39" si="292">IFERROR(
IF(AND(LEN(TRIM(B38))&gt;0,LEN(TRIM(C38))&gt;0),
IF((26-(IFERROR(I38,0)+IFERROR(K38,0)+IFERROR(L38,0)+IFERROR(M38,0)))&gt;12,0,D39*10.5%),
0
),
0
)</f>
        <v>0</v>
      </c>
      <c r="AD39" s="340">
        <f t="shared" ref="AD39" si="293">IFERROR(
IF(AND(LEN(TRIM(B38))&gt;0,LEN(TRIM(C38))&gt;0),
ROUND(IF(D39=4939000,D39*0.5%,0),-2),
0
),
0
)</f>
        <v>0</v>
      </c>
      <c r="AE39" s="344">
        <f t="shared" ref="AE39" si="294">IFERROR(
IF(AND(LEN(TRIM(B38))&gt;0,LEN(TRIM(C38))&gt;0),
ROUND(IFERROR(AB39,0)-IFERROR(AC39,0)-IFERROR(AD39,0),-2),
0
),
0
)</f>
        <v>0</v>
      </c>
      <c r="AF39" s="347">
        <f>IFERROR(
IF(AND(LEN(TRIM(B38))&gt;0,LEN(TRIM(C38))&gt;0),
IFERROR('Bang TH nop'!AQ39,0)+IFERROR('Bang TH nop'!AT39,0)+IFERROR('Bang TH nop'!BF39,0),
0
),
0
)</f>
        <v>0</v>
      </c>
      <c r="AG39" s="348"/>
      <c r="AH39" s="354"/>
      <c r="AI39" s="355">
        <f t="shared" ref="AI39" si="295">IFERROR(
IF(AND(LEN(TRIM(B38))&gt;0,LEN(TRIM(C38))&gt;0),
AH39/AG39,
0
),
0
)</f>
        <v>0</v>
      </c>
      <c r="AJ39" s="355">
        <f t="shared" ref="AJ39" si="296">IFERROR(
IF(AND(LEN(TRIM(B38))&gt;0,LEN(TRIM(C38))&gt;0),
AL39/AF39,
0
),
0
)</f>
        <v>0</v>
      </c>
      <c r="AK39" s="356">
        <f t="shared" ref="AK39" si="297">IFERROR(
IF(AND(LEN(TRIM(B38))&gt;0,LEN(TRIM(C38))&gt;0),
AJ39/AI39,
0
),
0
)</f>
        <v>0</v>
      </c>
      <c r="AL39" s="357">
        <f t="shared" ref="AL39" si="298">IFERROR(
IF(AND(LEN(TRIM(B38))&gt;0,LEN(TRIM(C38))&gt;0),
AB39/L39,
0
),
0
)</f>
        <v>0</v>
      </c>
    </row>
    <row r="40" spans="1:38" ht="17.100000000000001" customHeight="1">
      <c r="A40" s="424">
        <f t="shared" ref="A40" si="299">A38+1</f>
        <v>17</v>
      </c>
      <c r="B40" s="426">
        <f>'Bang TH nop'!B41</f>
        <v>0</v>
      </c>
      <c r="C40" s="421">
        <f>IFERROR(IF(LEN(TRIM(B40))&gt;0,'Bang TH nop'!C41,""),"")</f>
        <v>0</v>
      </c>
      <c r="D40" s="398">
        <f>IFERROR(IF(AND(LEN(TRIM(B40))&gt;0,LEN(TRIM(C40))&gt;0),'Bang TH nop'!AO41,""),"")</f>
        <v>0</v>
      </c>
      <c r="E40" s="399"/>
      <c r="F40" s="340"/>
      <c r="G40" s="341"/>
      <c r="H40" s="341"/>
      <c r="I40" s="342">
        <f>IFERROR(IF(AND(LEN(TRIM(B40))&gt;0,LEN(TRIM(C40))&gt;0),'Bang TH nop'!BB41,0),0)</f>
        <v>0</v>
      </c>
      <c r="J40" s="342">
        <f>IFERROR(IF(AND(LEN(TRIM(B40))&gt;0,LEN(TRIM(C40))&gt;0),'Bang TH nop'!AV41,0),0)</f>
        <v>0</v>
      </c>
      <c r="K40" s="342">
        <f>IFERROR(IF(AND(LEN(TRIM(B40))&gt;0,LEN(TRIM(C40))&gt;0),'Bang TH nop'!AR41,0),0)</f>
        <v>0</v>
      </c>
      <c r="L40" s="343">
        <f>IFERROR(IF(AND(LEN(TRIM(B40))&gt;0,LEN(TRIM(C40))&gt;0),'Bang TH nop'!AS41,0),0)</f>
        <v>0</v>
      </c>
      <c r="M40" s="342">
        <f>IFERROR(IF(AND(LEN(TRIM(B40))&gt;0,LEN(TRIM(C40))&gt;0),'Bang TH nop'!AT41,0),0)</f>
        <v>0</v>
      </c>
      <c r="N40" s="344">
        <f>IFERROR(IF(AND(LEN(TRIM(B40))&gt;0,LEN(TRIM(C40))&gt;0),'Bang TH nop'!AU41,0),0)</f>
        <v>0</v>
      </c>
      <c r="O40" s="342">
        <f>IFERROR(IF(AND(LEN(TRIM(B40))&gt;0,LEN(TRIM(C40))&gt;0),'Bang TH nop'!BE41,0),0)</f>
        <v>0</v>
      </c>
      <c r="P40" s="345">
        <f>IFERROR(IF(AND(LEN(TRIM(B40))&gt;0,LEN(TRIM(C40))&gt;0),'Bang TH nop'!AZ41,0),0)</f>
        <v>0</v>
      </c>
      <c r="Q40" s="343"/>
      <c r="R40" s="342"/>
      <c r="S40" s="342"/>
      <c r="T40" s="342"/>
      <c r="U40" s="341"/>
      <c r="V40" s="341"/>
      <c r="W40" s="341"/>
      <c r="X40" s="341"/>
      <c r="Y40" s="341"/>
      <c r="Z40" s="341"/>
      <c r="AA40" s="340" t="str">
        <f>IFERROR(
IF(AND(LEN(TRIM(B40))&gt;0,LEN(TRIM(C40))&gt;0),
'Bang TH nop'!AH41,
0
),
0
)</f>
        <v>A</v>
      </c>
      <c r="AB40" s="346"/>
      <c r="AC40" s="346"/>
      <c r="AD40" s="341"/>
      <c r="AE40" s="346"/>
      <c r="AF40" s="347"/>
      <c r="AG40" s="348"/>
      <c r="AH40" s="349"/>
      <c r="AI40" s="350"/>
      <c r="AJ40" s="351"/>
      <c r="AK40" s="350"/>
      <c r="AL40" s="352"/>
    </row>
    <row r="41" spans="1:38" ht="17.100000000000001" customHeight="1">
      <c r="A41" s="425"/>
      <c r="B41" s="426"/>
      <c r="C41" s="422"/>
      <c r="D41" s="397">
        <f>IFERROR(IF(AND(LEN(TRIM(B40))&gt;0,LEN(TRIM(C40))&gt;0),'Bang TH nop'!AP41,""),"")</f>
        <v>0</v>
      </c>
      <c r="E41" s="397"/>
      <c r="F41" s="353">
        <f>IFERROR(IF(AND(LEN(TRIM(B40))&gt;0,LEN(TRIM(C40))&gt;0),'Bang TH nop'!AL41,0),0)</f>
        <v>0</v>
      </c>
      <c r="G41" s="340">
        <f t="shared" ref="G41" si="300">D41*I40/26</f>
        <v>0</v>
      </c>
      <c r="H41" s="340">
        <f t="shared" ref="H41" si="301">D41*J40*150%/(26*8)</f>
        <v>0</v>
      </c>
      <c r="I41" s="340"/>
      <c r="J41" s="340"/>
      <c r="K41" s="344">
        <f t="shared" ref="K41" si="302">IFERROR(
IF(AND(LEN(TRIM(B40))&gt;0,LEN(TRIM(C40))&gt;0),
ROUND(D41/26*K40,0),
0
),
0
)</f>
        <v>0</v>
      </c>
      <c r="L41" s="344">
        <f t="shared" ref="L41" si="303">IFERROR(
IF(AND(LEN(TRIM(B40))&gt;0,LEN(TRIM(C40))&gt;0),
ROUND(D41/26*L40,0),
0
),
0
)</f>
        <v>0</v>
      </c>
      <c r="M41" s="344">
        <f t="shared" ref="M41" si="304">IFERROR(
IF(AND(LEN(TRIM(B40))&gt;0,LEN(TRIM(C40))&gt;0),
ROUND(D41/26*M40,0),
0
),
0
)</f>
        <v>0</v>
      </c>
      <c r="N41" s="344">
        <f t="shared" ref="N41" si="305">IFERROR(
IF(AND(LEN(TRIM(B40))&gt;0,LEN(TRIM(C40))&gt;0),
D41*N40/(26*8),
0
),
0
)</f>
        <v>0</v>
      </c>
      <c r="O41" s="344">
        <f t="shared" ref="O41" si="306">IFERROR(
IF(AND(LEN(TRIM(B40))&gt;0,LEN(TRIM(C40))&gt;0),
D41*O40/(26*8),
0
),
0
)</f>
        <v>0</v>
      </c>
      <c r="P41" s="344">
        <f t="shared" ref="P41" si="307">IFERROR(
IF(AND(LEN(TRIM(B40))&gt;0,LEN(TRIM(C40))&gt;0),
(D41/26/8*P40),
0
),
0
)</f>
        <v>0</v>
      </c>
      <c r="Q41" s="344">
        <f>IFERROR(
IF(AND(LEN(TRIM(B40))&gt;0,LEN(TRIM(C40))&gt;0),
'Bang TH nop'!BC41,
0
),
0
)</f>
        <v>0</v>
      </c>
      <c r="R41" s="340">
        <f>IFERROR(
IF(AND(LEN(TRIM(B40))&gt;0,LEN(TRIM(C40))&gt;0),
'Bang TH nop'!BD41,
0
),
0
)</f>
        <v>0</v>
      </c>
      <c r="S41" s="340">
        <f>IFERROR(
IF(AND(LEN(TRIM(B40))&gt;0,LEN(TRIM(C40))&gt;0),
'Bang TH nop'!BJ41,
0
),
0
)</f>
        <v>0</v>
      </c>
      <c r="T41" s="340">
        <f>IFERROR(
IF(AND(LEN(TRIM(B40))&gt;0,LEN(TRIM(C40))&gt;0),
IFERROR('Bang TH nop'!AW41,0)+IFERROR('Bang TH nop'!BH41,0),
0
),
0
)</f>
        <v>0</v>
      </c>
      <c r="U41" s="344"/>
      <c r="V41" s="344"/>
      <c r="W41" s="344"/>
      <c r="X41" s="340">
        <f t="shared" ref="X41" si="308">+IF(G41-I41&lt;0,0,G41-I41)</f>
        <v>0</v>
      </c>
      <c r="Y41" s="340">
        <f t="shared" ref="Y41" si="309">+IF(H41-J41&lt;0,0, H41-J41)</f>
        <v>0</v>
      </c>
      <c r="Z41" s="340">
        <f t="shared" ref="Z41" si="310">IFERROR(
IF(AND(LEN(TRIM(B40))&gt;0,LEN(TRIM(C40))&gt;0),
(X41+Y41)*25%,
0
),
0
)</f>
        <v>0</v>
      </c>
      <c r="AA41" s="340">
        <f>IFERROR(
IF(AND(LEN(TRIM(B40))&gt;0,LEN(TRIM(C40))&gt;0),
'Bang TH nop'!BG41,
0
),
0
)</f>
        <v>0</v>
      </c>
      <c r="AB41" s="344">
        <f t="shared" ref="AB41" si="311">IFERROR(
IF(AND(LEN(TRIM(B40))&gt;0,LEN(TRIM(C40))&gt;0),
SUM(I41:W41)+IFERROR(Z41,0)+IFERROR(AA41,0),
0
),
0
)</f>
        <v>0</v>
      </c>
      <c r="AC41" s="340">
        <f t="shared" ref="AC41" si="312">IFERROR(
IF(AND(LEN(TRIM(B40))&gt;0,LEN(TRIM(C40))&gt;0),
IF((26-(IFERROR(I40,0)+IFERROR(K40,0)+IFERROR(L40,0)+IFERROR(M40,0)))&gt;12,0,D41*10.5%),
0
),
0
)</f>
        <v>0</v>
      </c>
      <c r="AD41" s="340">
        <f t="shared" ref="AD41" si="313">IFERROR(
IF(AND(LEN(TRIM(B40))&gt;0,LEN(TRIM(C40))&gt;0),
ROUND(IF(D41=4939000,D41*0.5%,0),-2),
0
),
0
)</f>
        <v>0</v>
      </c>
      <c r="AE41" s="344">
        <f t="shared" ref="AE41" si="314">IFERROR(
IF(AND(LEN(TRIM(B40))&gt;0,LEN(TRIM(C40))&gt;0),
ROUND(IFERROR(AB41,0)-IFERROR(AC41,0)-IFERROR(AD41,0),-2),
0
),
0
)</f>
        <v>0</v>
      </c>
      <c r="AF41" s="347">
        <f>IFERROR(
IF(AND(LEN(TRIM(B40))&gt;0,LEN(TRIM(C40))&gt;0),
IFERROR('Bang TH nop'!AQ41,0)+IFERROR('Bang TH nop'!AT41,0)+IFERROR('Bang TH nop'!BF41,0),
0
),
0
)</f>
        <v>0</v>
      </c>
      <c r="AG41" s="348"/>
      <c r="AH41" s="354"/>
      <c r="AI41" s="355">
        <f t="shared" ref="AI41" si="315">IFERROR(
IF(AND(LEN(TRIM(B40))&gt;0,LEN(TRIM(C40))&gt;0),
AH41/AG41,
0
),
0
)</f>
        <v>0</v>
      </c>
      <c r="AJ41" s="355">
        <f t="shared" ref="AJ41" si="316">IFERROR(
IF(AND(LEN(TRIM(B40))&gt;0,LEN(TRIM(C40))&gt;0),
AL41/AF41,
0
),
0
)</f>
        <v>0</v>
      </c>
      <c r="AK41" s="356">
        <f t="shared" ref="AK41" si="317">IFERROR(
IF(AND(LEN(TRIM(B40))&gt;0,LEN(TRIM(C40))&gt;0),
AJ41/AI41,
0
),
0
)</f>
        <v>0</v>
      </c>
      <c r="AL41" s="357">
        <f t="shared" ref="AL41" si="318">IFERROR(
IF(AND(LEN(TRIM(B40))&gt;0,LEN(TRIM(C40))&gt;0),
AB41/L41,
0
),
0
)</f>
        <v>0</v>
      </c>
    </row>
    <row r="42" spans="1:38" ht="17.100000000000001" customHeight="1">
      <c r="A42" s="424">
        <f t="shared" ref="A42" si="319">A40+1</f>
        <v>18</v>
      </c>
      <c r="B42" s="426">
        <f>'Bang TH nop'!B43</f>
        <v>0</v>
      </c>
      <c r="C42" s="421">
        <f>IFERROR(IF(LEN(TRIM(B42))&gt;0,'Bang TH nop'!C43,""),"")</f>
        <v>0</v>
      </c>
      <c r="D42" s="398">
        <f>IFERROR(IF(AND(LEN(TRIM(B42))&gt;0,LEN(TRIM(C42))&gt;0),'Bang TH nop'!AO43,""),"")</f>
        <v>0</v>
      </c>
      <c r="E42" s="399"/>
      <c r="F42" s="340"/>
      <c r="G42" s="341"/>
      <c r="H42" s="341"/>
      <c r="I42" s="342">
        <f>IFERROR(IF(AND(LEN(TRIM(B42))&gt;0,LEN(TRIM(C42))&gt;0),'Bang TH nop'!BB43,0),0)</f>
        <v>0</v>
      </c>
      <c r="J42" s="342">
        <f>IFERROR(IF(AND(LEN(TRIM(B42))&gt;0,LEN(TRIM(C42))&gt;0),'Bang TH nop'!AV43,0),0)</f>
        <v>0</v>
      </c>
      <c r="K42" s="342">
        <f>IFERROR(IF(AND(LEN(TRIM(B42))&gt;0,LEN(TRIM(C42))&gt;0),'Bang TH nop'!AR43,0),0)</f>
        <v>0</v>
      </c>
      <c r="L42" s="343">
        <f>IFERROR(IF(AND(LEN(TRIM(B42))&gt;0,LEN(TRIM(C42))&gt;0),'Bang TH nop'!AS43,0),0)</f>
        <v>0</v>
      </c>
      <c r="M42" s="342">
        <f>IFERROR(IF(AND(LEN(TRIM(B42))&gt;0,LEN(TRIM(C42))&gt;0),'Bang TH nop'!AT43,0),0)</f>
        <v>0</v>
      </c>
      <c r="N42" s="344">
        <f>IFERROR(IF(AND(LEN(TRIM(B42))&gt;0,LEN(TRIM(C42))&gt;0),'Bang TH nop'!AU43,0),0)</f>
        <v>0</v>
      </c>
      <c r="O42" s="342">
        <f>IFERROR(IF(AND(LEN(TRIM(B42))&gt;0,LEN(TRIM(C42))&gt;0),'Bang TH nop'!BE43,0),0)</f>
        <v>0</v>
      </c>
      <c r="P42" s="345">
        <f>IFERROR(IF(AND(LEN(TRIM(B42))&gt;0,LEN(TRIM(C42))&gt;0),'Bang TH nop'!AZ43,0),0)</f>
        <v>0</v>
      </c>
      <c r="Q42" s="343"/>
      <c r="R42" s="342"/>
      <c r="S42" s="342"/>
      <c r="T42" s="342"/>
      <c r="U42" s="341"/>
      <c r="V42" s="341"/>
      <c r="W42" s="341"/>
      <c r="X42" s="341"/>
      <c r="Y42" s="341"/>
      <c r="Z42" s="341"/>
      <c r="AA42" s="340" t="str">
        <f>IFERROR(
IF(AND(LEN(TRIM(B42))&gt;0,LEN(TRIM(C42))&gt;0),
'Bang TH nop'!AH43,
0
),
0
)</f>
        <v>A</v>
      </c>
      <c r="AB42" s="346"/>
      <c r="AC42" s="346"/>
      <c r="AD42" s="341"/>
      <c r="AE42" s="346"/>
      <c r="AF42" s="347"/>
      <c r="AG42" s="348"/>
      <c r="AH42" s="349"/>
      <c r="AI42" s="350"/>
      <c r="AJ42" s="351"/>
      <c r="AK42" s="350"/>
      <c r="AL42" s="352"/>
    </row>
    <row r="43" spans="1:38" ht="17.100000000000001" customHeight="1">
      <c r="A43" s="425"/>
      <c r="B43" s="426"/>
      <c r="C43" s="422"/>
      <c r="D43" s="397">
        <f>IFERROR(IF(AND(LEN(TRIM(B42))&gt;0,LEN(TRIM(C42))&gt;0),'Bang TH nop'!AP43,""),"")</f>
        <v>0</v>
      </c>
      <c r="E43" s="397"/>
      <c r="F43" s="353">
        <f>IFERROR(IF(AND(LEN(TRIM(B42))&gt;0,LEN(TRIM(C42))&gt;0),'Bang TH nop'!AL43,0),0)</f>
        <v>0</v>
      </c>
      <c r="G43" s="340">
        <f t="shared" ref="G43" si="320">D43*I42/26</f>
        <v>0</v>
      </c>
      <c r="H43" s="340">
        <f t="shared" ref="H43" si="321">D43*J42*150%/(26*8)</f>
        <v>0</v>
      </c>
      <c r="I43" s="340"/>
      <c r="J43" s="340"/>
      <c r="K43" s="344">
        <f t="shared" ref="K43" si="322">IFERROR(
IF(AND(LEN(TRIM(B42))&gt;0,LEN(TRIM(C42))&gt;0),
ROUND(D43/26*K42,0),
0
),
0
)</f>
        <v>0</v>
      </c>
      <c r="L43" s="344">
        <f t="shared" ref="L43" si="323">IFERROR(
IF(AND(LEN(TRIM(B42))&gt;0,LEN(TRIM(C42))&gt;0),
ROUND(D43/26*L42,0),
0
),
0
)</f>
        <v>0</v>
      </c>
      <c r="M43" s="344">
        <f t="shared" ref="M43" si="324">IFERROR(
IF(AND(LEN(TRIM(B42))&gt;0,LEN(TRIM(C42))&gt;0),
ROUND(D43/26*M42,0),
0
),
0
)</f>
        <v>0</v>
      </c>
      <c r="N43" s="344">
        <f t="shared" ref="N43" si="325">IFERROR(
IF(AND(LEN(TRIM(B42))&gt;0,LEN(TRIM(C42))&gt;0),
D43*N42/(26*8),
0
),
0
)</f>
        <v>0</v>
      </c>
      <c r="O43" s="344">
        <f t="shared" ref="O43" si="326">IFERROR(
IF(AND(LEN(TRIM(B42))&gt;0,LEN(TRIM(C42))&gt;0),
D43*O42/(26*8),
0
),
0
)</f>
        <v>0</v>
      </c>
      <c r="P43" s="344">
        <f t="shared" ref="P43" si="327">IFERROR(
IF(AND(LEN(TRIM(B42))&gt;0,LEN(TRIM(C42))&gt;0),
(D43/26/8*P42),
0
),
0
)</f>
        <v>0</v>
      </c>
      <c r="Q43" s="344">
        <f>IFERROR(
IF(AND(LEN(TRIM(B42))&gt;0,LEN(TRIM(C42))&gt;0),
'Bang TH nop'!BC43,
0
),
0
)</f>
        <v>0</v>
      </c>
      <c r="R43" s="340">
        <f>IFERROR(
IF(AND(LEN(TRIM(B42))&gt;0,LEN(TRIM(C42))&gt;0),
'Bang TH nop'!BD43,
0
),
0
)</f>
        <v>0</v>
      </c>
      <c r="S43" s="340">
        <f>IFERROR(
IF(AND(LEN(TRIM(B42))&gt;0,LEN(TRIM(C42))&gt;0),
'Bang TH nop'!BJ43,
0
),
0
)</f>
        <v>0</v>
      </c>
      <c r="T43" s="340">
        <f>IFERROR(
IF(AND(LEN(TRIM(B42))&gt;0,LEN(TRIM(C42))&gt;0),
IFERROR('Bang TH nop'!AW43,0)+IFERROR('Bang TH nop'!BH43,0),
0
),
0
)</f>
        <v>0</v>
      </c>
      <c r="U43" s="344"/>
      <c r="V43" s="344"/>
      <c r="W43" s="344"/>
      <c r="X43" s="340">
        <f t="shared" ref="X43" si="328">+IF(G43-I43&lt;0,0,G43-I43)</f>
        <v>0</v>
      </c>
      <c r="Y43" s="340">
        <f t="shared" ref="Y43" si="329">+IF(H43-J43&lt;0,0, H43-J43)</f>
        <v>0</v>
      </c>
      <c r="Z43" s="340">
        <f t="shared" ref="Z43" si="330">IFERROR(
IF(AND(LEN(TRIM(B42))&gt;0,LEN(TRIM(C42))&gt;0),
(X43+Y43)*25%,
0
),
0
)</f>
        <v>0</v>
      </c>
      <c r="AA43" s="340">
        <f>IFERROR(
IF(AND(LEN(TRIM(B42))&gt;0,LEN(TRIM(C42))&gt;0),
'Bang TH nop'!BG43,
0
),
0
)</f>
        <v>0</v>
      </c>
      <c r="AB43" s="344">
        <f t="shared" ref="AB43" si="331">IFERROR(
IF(AND(LEN(TRIM(B42))&gt;0,LEN(TRIM(C42))&gt;0),
SUM(I43:W43)+IFERROR(Z43,0)+IFERROR(AA43,0),
0
),
0
)</f>
        <v>0</v>
      </c>
      <c r="AC43" s="340">
        <f t="shared" ref="AC43" si="332">IFERROR(
IF(AND(LEN(TRIM(B42))&gt;0,LEN(TRIM(C42))&gt;0),
IF((26-(IFERROR(I42,0)+IFERROR(K42,0)+IFERROR(L42,0)+IFERROR(M42,0)))&gt;12,0,D43*10.5%),
0
),
0
)</f>
        <v>0</v>
      </c>
      <c r="AD43" s="340">
        <f t="shared" ref="AD43" si="333">IFERROR(
IF(AND(LEN(TRIM(B42))&gt;0,LEN(TRIM(C42))&gt;0),
ROUND(IF(D43=4939000,D43*0.5%,0),-2),
0
),
0
)</f>
        <v>0</v>
      </c>
      <c r="AE43" s="344">
        <f t="shared" ref="AE43" si="334">IFERROR(
IF(AND(LEN(TRIM(B42))&gt;0,LEN(TRIM(C42))&gt;0),
ROUND(IFERROR(AB43,0)-IFERROR(AC43,0)-IFERROR(AD43,0),-2),
0
),
0
)</f>
        <v>0</v>
      </c>
      <c r="AF43" s="347">
        <f>IFERROR(
IF(AND(LEN(TRIM(B42))&gt;0,LEN(TRIM(C42))&gt;0),
IFERROR('Bang TH nop'!AQ43,0)+IFERROR('Bang TH nop'!AT43,0)+IFERROR('Bang TH nop'!BF43,0),
0
),
0
)</f>
        <v>0</v>
      </c>
      <c r="AG43" s="348"/>
      <c r="AH43" s="354"/>
      <c r="AI43" s="355">
        <f t="shared" ref="AI43" si="335">IFERROR(
IF(AND(LEN(TRIM(B42))&gt;0,LEN(TRIM(C42))&gt;0),
AH43/AG43,
0
),
0
)</f>
        <v>0</v>
      </c>
      <c r="AJ43" s="355">
        <f t="shared" ref="AJ43" si="336">IFERROR(
IF(AND(LEN(TRIM(B42))&gt;0,LEN(TRIM(C42))&gt;0),
AL43/AF43,
0
),
0
)</f>
        <v>0</v>
      </c>
      <c r="AK43" s="356">
        <f t="shared" ref="AK43" si="337">IFERROR(
IF(AND(LEN(TRIM(B42))&gt;0,LEN(TRIM(C42))&gt;0),
AJ43/AI43,
0
),
0
)</f>
        <v>0</v>
      </c>
      <c r="AL43" s="357">
        <f t="shared" ref="AL43" si="338">IFERROR(
IF(AND(LEN(TRIM(B42))&gt;0,LEN(TRIM(C42))&gt;0),
AB43/L43,
0
),
0
)</f>
        <v>0</v>
      </c>
    </row>
    <row r="44" spans="1:38" ht="17.100000000000001" customHeight="1">
      <c r="A44" s="424">
        <f t="shared" ref="A44" si="339">A42+1</f>
        <v>19</v>
      </c>
      <c r="B44" s="426">
        <f>'Bang TH nop'!B45</f>
        <v>0</v>
      </c>
      <c r="C44" s="421">
        <f>IFERROR(IF(LEN(TRIM(B44))&gt;0,'Bang TH nop'!C45,""),"")</f>
        <v>0</v>
      </c>
      <c r="D44" s="398">
        <f>IFERROR(IF(AND(LEN(TRIM(B44))&gt;0,LEN(TRIM(C44))&gt;0),'Bang TH nop'!AO45,""),"")</f>
        <v>0</v>
      </c>
      <c r="E44" s="399"/>
      <c r="F44" s="340"/>
      <c r="G44" s="341"/>
      <c r="H44" s="341"/>
      <c r="I44" s="342">
        <f>IFERROR(IF(AND(LEN(TRIM(B44))&gt;0,LEN(TRIM(C44))&gt;0),'Bang TH nop'!BB45,0),0)</f>
        <v>0</v>
      </c>
      <c r="J44" s="342">
        <f>IFERROR(IF(AND(LEN(TRIM(B44))&gt;0,LEN(TRIM(C44))&gt;0),'Bang TH nop'!AV45,0),0)</f>
        <v>0</v>
      </c>
      <c r="K44" s="342">
        <f>IFERROR(IF(AND(LEN(TRIM(B44))&gt;0,LEN(TRIM(C44))&gt;0),'Bang TH nop'!AR45,0),0)</f>
        <v>0</v>
      </c>
      <c r="L44" s="343">
        <f>IFERROR(IF(AND(LEN(TRIM(B44))&gt;0,LEN(TRIM(C44))&gt;0),'Bang TH nop'!AS45,0),0)</f>
        <v>0</v>
      </c>
      <c r="M44" s="342">
        <f>IFERROR(IF(AND(LEN(TRIM(B44))&gt;0,LEN(TRIM(C44))&gt;0),'Bang TH nop'!AT45,0),0)</f>
        <v>0</v>
      </c>
      <c r="N44" s="344">
        <f>IFERROR(IF(AND(LEN(TRIM(B44))&gt;0,LEN(TRIM(C44))&gt;0),'Bang TH nop'!AU45,0),0)</f>
        <v>0</v>
      </c>
      <c r="O44" s="342">
        <f>IFERROR(IF(AND(LEN(TRIM(B44))&gt;0,LEN(TRIM(C44))&gt;0),'Bang TH nop'!BE45,0),0)</f>
        <v>0</v>
      </c>
      <c r="P44" s="345">
        <f>IFERROR(IF(AND(LEN(TRIM(B44))&gt;0,LEN(TRIM(C44))&gt;0),'Bang TH nop'!AZ45,0),0)</f>
        <v>0</v>
      </c>
      <c r="Q44" s="343"/>
      <c r="R44" s="342"/>
      <c r="S44" s="342"/>
      <c r="T44" s="342"/>
      <c r="U44" s="341"/>
      <c r="V44" s="341"/>
      <c r="W44" s="341"/>
      <c r="X44" s="341"/>
      <c r="Y44" s="341"/>
      <c r="Z44" s="341"/>
      <c r="AA44" s="340" t="str">
        <f>IFERROR(
IF(AND(LEN(TRIM(B44))&gt;0,LEN(TRIM(C44))&gt;0),
'Bang TH nop'!AH45,
0
),
0
)</f>
        <v>A</v>
      </c>
      <c r="AB44" s="346"/>
      <c r="AC44" s="346"/>
      <c r="AD44" s="341"/>
      <c r="AE44" s="346"/>
      <c r="AF44" s="347"/>
      <c r="AG44" s="348"/>
      <c r="AH44" s="349"/>
      <c r="AI44" s="350"/>
      <c r="AJ44" s="351"/>
      <c r="AK44" s="350"/>
      <c r="AL44" s="352"/>
    </row>
    <row r="45" spans="1:38" ht="17.100000000000001" customHeight="1">
      <c r="A45" s="425"/>
      <c r="B45" s="426"/>
      <c r="C45" s="422"/>
      <c r="D45" s="397">
        <f>IFERROR(IF(AND(LEN(TRIM(B44))&gt;0,LEN(TRIM(C44))&gt;0),'Bang TH nop'!AP45,""),"")</f>
        <v>0</v>
      </c>
      <c r="E45" s="397"/>
      <c r="F45" s="353">
        <f>IFERROR(IF(AND(LEN(TRIM(B44))&gt;0,LEN(TRIM(C44))&gt;0),'Bang TH nop'!AL45,0),0)</f>
        <v>0</v>
      </c>
      <c r="G45" s="340">
        <f t="shared" ref="G45" si="340">D45*I44/26</f>
        <v>0</v>
      </c>
      <c r="H45" s="340">
        <f t="shared" ref="H45" si="341">D45*J44*150%/(26*8)</f>
        <v>0</v>
      </c>
      <c r="I45" s="340"/>
      <c r="J45" s="340"/>
      <c r="K45" s="344">
        <f t="shared" ref="K45" si="342">IFERROR(
IF(AND(LEN(TRIM(B44))&gt;0,LEN(TRIM(C44))&gt;0),
ROUND(D45/26*K44,0),
0
),
0
)</f>
        <v>0</v>
      </c>
      <c r="L45" s="344">
        <f t="shared" ref="L45" si="343">IFERROR(
IF(AND(LEN(TRIM(B44))&gt;0,LEN(TRIM(C44))&gt;0),
ROUND(D45/26*L44,0),
0
),
0
)</f>
        <v>0</v>
      </c>
      <c r="M45" s="344">
        <f t="shared" ref="M45" si="344">IFERROR(
IF(AND(LEN(TRIM(B44))&gt;0,LEN(TRIM(C44))&gt;0),
ROUND(D45/26*M44,0),
0
),
0
)</f>
        <v>0</v>
      </c>
      <c r="N45" s="344">
        <f t="shared" ref="N45" si="345">IFERROR(
IF(AND(LEN(TRIM(B44))&gt;0,LEN(TRIM(C44))&gt;0),
D45*N44/(26*8),
0
),
0
)</f>
        <v>0</v>
      </c>
      <c r="O45" s="344">
        <f t="shared" ref="O45" si="346">IFERROR(
IF(AND(LEN(TRIM(B44))&gt;0,LEN(TRIM(C44))&gt;0),
D45*O44/(26*8),
0
),
0
)</f>
        <v>0</v>
      </c>
      <c r="P45" s="344">
        <f t="shared" ref="P45" si="347">IFERROR(
IF(AND(LEN(TRIM(B44))&gt;0,LEN(TRIM(C44))&gt;0),
(D45/26/8*P44),
0
),
0
)</f>
        <v>0</v>
      </c>
      <c r="Q45" s="344">
        <f>IFERROR(
IF(AND(LEN(TRIM(B44))&gt;0,LEN(TRIM(C44))&gt;0),
'Bang TH nop'!BC45,
0
),
0
)</f>
        <v>0</v>
      </c>
      <c r="R45" s="340">
        <f>IFERROR(
IF(AND(LEN(TRIM(B44))&gt;0,LEN(TRIM(C44))&gt;0),
'Bang TH nop'!BD45,
0
),
0
)</f>
        <v>0</v>
      </c>
      <c r="S45" s="340">
        <f>IFERROR(
IF(AND(LEN(TRIM(B44))&gt;0,LEN(TRIM(C44))&gt;0),
'Bang TH nop'!BJ45,
0
),
0
)</f>
        <v>0</v>
      </c>
      <c r="T45" s="340">
        <f>IFERROR(
IF(AND(LEN(TRIM(B44))&gt;0,LEN(TRIM(C44))&gt;0),
IFERROR('Bang TH nop'!AW45,0)+IFERROR('Bang TH nop'!BH45,0),
0
),
0
)</f>
        <v>0</v>
      </c>
      <c r="U45" s="344"/>
      <c r="V45" s="344"/>
      <c r="W45" s="344"/>
      <c r="X45" s="340">
        <f t="shared" ref="X45" si="348">+IF(G45-I45&lt;0,0,G45-I45)</f>
        <v>0</v>
      </c>
      <c r="Y45" s="340">
        <f t="shared" ref="Y45" si="349">+IF(H45-J45&lt;0,0, H45-J45)</f>
        <v>0</v>
      </c>
      <c r="Z45" s="340">
        <f t="shared" ref="Z45" si="350">IFERROR(
IF(AND(LEN(TRIM(B44))&gt;0,LEN(TRIM(C44))&gt;0),
(X45+Y45)*25%,
0
),
0
)</f>
        <v>0</v>
      </c>
      <c r="AA45" s="340">
        <f>IFERROR(
IF(AND(LEN(TRIM(B44))&gt;0,LEN(TRIM(C44))&gt;0),
'Bang TH nop'!BG45,
0
),
0
)</f>
        <v>0</v>
      </c>
      <c r="AB45" s="344">
        <f t="shared" ref="AB45" si="351">IFERROR(
IF(AND(LEN(TRIM(B44))&gt;0,LEN(TRIM(C44))&gt;0),
SUM(I45:W45)+IFERROR(Z45,0)+IFERROR(AA45,0),
0
),
0
)</f>
        <v>0</v>
      </c>
      <c r="AC45" s="340">
        <f t="shared" ref="AC45" si="352">IFERROR(
IF(AND(LEN(TRIM(B44))&gt;0,LEN(TRIM(C44))&gt;0),
IF((26-(IFERROR(I44,0)+IFERROR(K44,0)+IFERROR(L44,0)+IFERROR(M44,0)))&gt;12,0,D45*10.5%),
0
),
0
)</f>
        <v>0</v>
      </c>
      <c r="AD45" s="340">
        <f t="shared" ref="AD45" si="353">IFERROR(
IF(AND(LEN(TRIM(B44))&gt;0,LEN(TRIM(C44))&gt;0),
ROUND(IF(D45=4939000,D45*0.5%,0),-2),
0
),
0
)</f>
        <v>0</v>
      </c>
      <c r="AE45" s="344">
        <f t="shared" ref="AE45" si="354">IFERROR(
IF(AND(LEN(TRIM(B44))&gt;0,LEN(TRIM(C44))&gt;0),
ROUND(IFERROR(AB45,0)-IFERROR(AC45,0)-IFERROR(AD45,0),-2),
0
),
0
)</f>
        <v>0</v>
      </c>
      <c r="AF45" s="347">
        <f>IFERROR(
IF(AND(LEN(TRIM(B44))&gt;0,LEN(TRIM(C44))&gt;0),
IFERROR('Bang TH nop'!AQ45,0)+IFERROR('Bang TH nop'!AT45,0)+IFERROR('Bang TH nop'!BF45,0),
0
),
0
)</f>
        <v>0</v>
      </c>
      <c r="AG45" s="348"/>
      <c r="AH45" s="354"/>
      <c r="AI45" s="355">
        <f t="shared" ref="AI45" si="355">IFERROR(
IF(AND(LEN(TRIM(B44))&gt;0,LEN(TRIM(C44))&gt;0),
AH45/AG45,
0
),
0
)</f>
        <v>0</v>
      </c>
      <c r="AJ45" s="355">
        <f t="shared" ref="AJ45" si="356">IFERROR(
IF(AND(LEN(TRIM(B44))&gt;0,LEN(TRIM(C44))&gt;0),
AL45/AF45,
0
),
0
)</f>
        <v>0</v>
      </c>
      <c r="AK45" s="356">
        <f t="shared" ref="AK45" si="357">IFERROR(
IF(AND(LEN(TRIM(B44))&gt;0,LEN(TRIM(C44))&gt;0),
AJ45/AI45,
0
),
0
)</f>
        <v>0</v>
      </c>
      <c r="AL45" s="357">
        <f t="shared" ref="AL45" si="358">IFERROR(
IF(AND(LEN(TRIM(B44))&gt;0,LEN(TRIM(C44))&gt;0),
AB45/L45,
0
),
0
)</f>
        <v>0</v>
      </c>
    </row>
    <row r="46" spans="1:38" ht="17.100000000000001" customHeight="1">
      <c r="A46" s="424">
        <f t="shared" ref="A46" si="359">A44+1</f>
        <v>20</v>
      </c>
      <c r="B46" s="426">
        <f>'Bang TH nop'!B47</f>
        <v>0</v>
      </c>
      <c r="C46" s="421">
        <f>IFERROR(IF(LEN(TRIM(B46))&gt;0,'Bang TH nop'!C47,""),"")</f>
        <v>0</v>
      </c>
      <c r="D46" s="398">
        <f>IFERROR(IF(AND(LEN(TRIM(B46))&gt;0,LEN(TRIM(C46))&gt;0),'Bang TH nop'!AO47,""),"")</f>
        <v>0</v>
      </c>
      <c r="E46" s="399"/>
      <c r="F46" s="340"/>
      <c r="G46" s="341"/>
      <c r="H46" s="341"/>
      <c r="I46" s="342">
        <f>IFERROR(IF(AND(LEN(TRIM(B46))&gt;0,LEN(TRIM(C46))&gt;0),'Bang TH nop'!BB47,0),0)</f>
        <v>0</v>
      </c>
      <c r="J46" s="342">
        <f>IFERROR(IF(AND(LEN(TRIM(B46))&gt;0,LEN(TRIM(C46))&gt;0),'Bang TH nop'!AV47,0),0)</f>
        <v>0</v>
      </c>
      <c r="K46" s="342">
        <f>IFERROR(IF(AND(LEN(TRIM(B46))&gt;0,LEN(TRIM(C46))&gt;0),'Bang TH nop'!AR47,0),0)</f>
        <v>0</v>
      </c>
      <c r="L46" s="343">
        <f>IFERROR(IF(AND(LEN(TRIM(B46))&gt;0,LEN(TRIM(C46))&gt;0),'Bang TH nop'!AS47,0),0)</f>
        <v>0</v>
      </c>
      <c r="M46" s="342">
        <f>IFERROR(IF(AND(LEN(TRIM(B46))&gt;0,LEN(TRIM(C46))&gt;0),'Bang TH nop'!AT47,0),0)</f>
        <v>0</v>
      </c>
      <c r="N46" s="344">
        <f>IFERROR(IF(AND(LEN(TRIM(B46))&gt;0,LEN(TRIM(C46))&gt;0),'Bang TH nop'!AU47,0),0)</f>
        <v>0</v>
      </c>
      <c r="O46" s="342">
        <f>IFERROR(IF(AND(LEN(TRIM(B46))&gt;0,LEN(TRIM(C46))&gt;0),'Bang TH nop'!BE47,0),0)</f>
        <v>0</v>
      </c>
      <c r="P46" s="345">
        <f>IFERROR(IF(AND(LEN(TRIM(B46))&gt;0,LEN(TRIM(C46))&gt;0),'Bang TH nop'!AZ47,0),0)</f>
        <v>0</v>
      </c>
      <c r="Q46" s="343"/>
      <c r="R46" s="342"/>
      <c r="S46" s="342"/>
      <c r="T46" s="342"/>
      <c r="U46" s="341"/>
      <c r="V46" s="341"/>
      <c r="W46" s="341"/>
      <c r="X46" s="341"/>
      <c r="Y46" s="341"/>
      <c r="Z46" s="341"/>
      <c r="AA46" s="340" t="str">
        <f>IFERROR(
IF(AND(LEN(TRIM(B46))&gt;0,LEN(TRIM(C46))&gt;0),
'Bang TH nop'!AH47,
0
),
0
)</f>
        <v>A</v>
      </c>
      <c r="AB46" s="346"/>
      <c r="AC46" s="346"/>
      <c r="AD46" s="341"/>
      <c r="AE46" s="346"/>
      <c r="AF46" s="347"/>
      <c r="AG46" s="348"/>
      <c r="AH46" s="349"/>
      <c r="AI46" s="350"/>
      <c r="AJ46" s="351"/>
      <c r="AK46" s="350"/>
      <c r="AL46" s="352"/>
    </row>
    <row r="47" spans="1:38" ht="17.100000000000001" customHeight="1">
      <c r="A47" s="425"/>
      <c r="B47" s="426"/>
      <c r="C47" s="422"/>
      <c r="D47" s="397">
        <f>IFERROR(IF(AND(LEN(TRIM(B46))&gt;0,LEN(TRIM(C46))&gt;0),'Bang TH nop'!AP47,""),"")</f>
        <v>0</v>
      </c>
      <c r="E47" s="397"/>
      <c r="F47" s="353">
        <f>IFERROR(IF(AND(LEN(TRIM(B46))&gt;0,LEN(TRIM(C46))&gt;0),'Bang TH nop'!AL47,0),0)</f>
        <v>0</v>
      </c>
      <c r="G47" s="340">
        <f t="shared" ref="G47" si="360">D47*I46/26</f>
        <v>0</v>
      </c>
      <c r="H47" s="340">
        <f t="shared" ref="H47" si="361">D47*J46*150%/(26*8)</f>
        <v>0</v>
      </c>
      <c r="I47" s="340"/>
      <c r="J47" s="340"/>
      <c r="K47" s="344">
        <f t="shared" ref="K47" si="362">IFERROR(
IF(AND(LEN(TRIM(B46))&gt;0,LEN(TRIM(C46))&gt;0),
ROUND(D47/26*K46,0),
0
),
0
)</f>
        <v>0</v>
      </c>
      <c r="L47" s="344">
        <f t="shared" ref="L47" si="363">IFERROR(
IF(AND(LEN(TRIM(B46))&gt;0,LEN(TRIM(C46))&gt;0),
ROUND(D47/26*L46,0),
0
),
0
)</f>
        <v>0</v>
      </c>
      <c r="M47" s="344">
        <f t="shared" ref="M47" si="364">IFERROR(
IF(AND(LEN(TRIM(B46))&gt;0,LEN(TRIM(C46))&gt;0),
ROUND(D47/26*M46,0),
0
),
0
)</f>
        <v>0</v>
      </c>
      <c r="N47" s="344">
        <f t="shared" ref="N47" si="365">IFERROR(
IF(AND(LEN(TRIM(B46))&gt;0,LEN(TRIM(C46))&gt;0),
D47*N46/(26*8),
0
),
0
)</f>
        <v>0</v>
      </c>
      <c r="O47" s="344">
        <f t="shared" ref="O47" si="366">IFERROR(
IF(AND(LEN(TRIM(B46))&gt;0,LEN(TRIM(C46))&gt;0),
D47*O46/(26*8),
0
),
0
)</f>
        <v>0</v>
      </c>
      <c r="P47" s="344">
        <f t="shared" ref="P47" si="367">IFERROR(
IF(AND(LEN(TRIM(B46))&gt;0,LEN(TRIM(C46))&gt;0),
(D47/26/8*P46),
0
),
0
)</f>
        <v>0</v>
      </c>
      <c r="Q47" s="344">
        <f>IFERROR(
IF(AND(LEN(TRIM(B46))&gt;0,LEN(TRIM(C46))&gt;0),
'Bang TH nop'!BC47,
0
),
0
)</f>
        <v>0</v>
      </c>
      <c r="R47" s="340">
        <f>IFERROR(
IF(AND(LEN(TRIM(B46))&gt;0,LEN(TRIM(C46))&gt;0),
'Bang TH nop'!BD47,
0
),
0
)</f>
        <v>0</v>
      </c>
      <c r="S47" s="340">
        <f>IFERROR(
IF(AND(LEN(TRIM(B46))&gt;0,LEN(TRIM(C46))&gt;0),
'Bang TH nop'!BJ47,
0
),
0
)</f>
        <v>0</v>
      </c>
      <c r="T47" s="340">
        <f>IFERROR(
IF(AND(LEN(TRIM(B46))&gt;0,LEN(TRIM(C46))&gt;0),
IFERROR('Bang TH nop'!AW47,0)+IFERROR('Bang TH nop'!BH47,0),
0
),
0
)</f>
        <v>0</v>
      </c>
      <c r="U47" s="344"/>
      <c r="V47" s="344"/>
      <c r="W47" s="344"/>
      <c r="X47" s="340">
        <f t="shared" ref="X47" si="368">+IF(G47-I47&lt;0,0,G47-I47)</f>
        <v>0</v>
      </c>
      <c r="Y47" s="340">
        <f t="shared" ref="Y47" si="369">+IF(H47-J47&lt;0,0, H47-J47)</f>
        <v>0</v>
      </c>
      <c r="Z47" s="340">
        <f t="shared" ref="Z47" si="370">IFERROR(
IF(AND(LEN(TRIM(B46))&gt;0,LEN(TRIM(C46))&gt;0),
(X47+Y47)*25%,
0
),
0
)</f>
        <v>0</v>
      </c>
      <c r="AA47" s="340">
        <f>IFERROR(
IF(AND(LEN(TRIM(B46))&gt;0,LEN(TRIM(C46))&gt;0),
'Bang TH nop'!BG47,
0
),
0
)</f>
        <v>0</v>
      </c>
      <c r="AB47" s="344">
        <f t="shared" ref="AB47" si="371">IFERROR(
IF(AND(LEN(TRIM(B46))&gt;0,LEN(TRIM(C46))&gt;0),
SUM(I47:W47)+IFERROR(Z47,0)+IFERROR(AA47,0),
0
),
0
)</f>
        <v>0</v>
      </c>
      <c r="AC47" s="340">
        <f t="shared" ref="AC47" si="372">IFERROR(
IF(AND(LEN(TRIM(B46))&gt;0,LEN(TRIM(C46))&gt;0),
IF((26-(IFERROR(I46,0)+IFERROR(K46,0)+IFERROR(L46,0)+IFERROR(M46,0)))&gt;12,0,D47*10.5%),
0
),
0
)</f>
        <v>0</v>
      </c>
      <c r="AD47" s="340">
        <f t="shared" ref="AD47" si="373">IFERROR(
IF(AND(LEN(TRIM(B46))&gt;0,LEN(TRIM(C46))&gt;0),
ROUND(IF(D47=4939000,D47*0.5%,0),-2),
0
),
0
)</f>
        <v>0</v>
      </c>
      <c r="AE47" s="344">
        <f t="shared" ref="AE47" si="374">IFERROR(
IF(AND(LEN(TRIM(B46))&gt;0,LEN(TRIM(C46))&gt;0),
ROUND(IFERROR(AB47,0)-IFERROR(AC47,0)-IFERROR(AD47,0),-2),
0
),
0
)</f>
        <v>0</v>
      </c>
      <c r="AF47" s="347">
        <f>IFERROR(
IF(AND(LEN(TRIM(B46))&gt;0,LEN(TRIM(C46))&gt;0),
IFERROR('Bang TH nop'!AQ47,0)+IFERROR('Bang TH nop'!AT47,0)+IFERROR('Bang TH nop'!BF47,0),
0
),
0
)</f>
        <v>0</v>
      </c>
      <c r="AG47" s="348"/>
      <c r="AH47" s="354"/>
      <c r="AI47" s="355">
        <f t="shared" ref="AI47" si="375">IFERROR(
IF(AND(LEN(TRIM(B46))&gt;0,LEN(TRIM(C46))&gt;0),
AH47/AG47,
0
),
0
)</f>
        <v>0</v>
      </c>
      <c r="AJ47" s="355">
        <f t="shared" ref="AJ47" si="376">IFERROR(
IF(AND(LEN(TRIM(B46))&gt;0,LEN(TRIM(C46))&gt;0),
AL47/AF47,
0
),
0
)</f>
        <v>0</v>
      </c>
      <c r="AK47" s="356">
        <f t="shared" ref="AK47" si="377">IFERROR(
IF(AND(LEN(TRIM(B46))&gt;0,LEN(TRIM(C46))&gt;0),
AJ47/AI47,
0
),
0
)</f>
        <v>0</v>
      </c>
      <c r="AL47" s="357">
        <f t="shared" ref="AL47" si="378">IFERROR(
IF(AND(LEN(TRIM(B46))&gt;0,LEN(TRIM(C46))&gt;0),
AB47/L47,
0
),
0
)</f>
        <v>0</v>
      </c>
    </row>
    <row r="48" spans="1:38" ht="17.100000000000001" customHeight="1">
      <c r="A48" s="424">
        <f t="shared" ref="A48" si="379">A46+1</f>
        <v>21</v>
      </c>
      <c r="B48" s="426">
        <f>'Bang TH nop'!B49</f>
        <v>0</v>
      </c>
      <c r="C48" s="421">
        <f>IFERROR(IF(LEN(TRIM(B48))&gt;0,'Bang TH nop'!C49,""),"")</f>
        <v>0</v>
      </c>
      <c r="D48" s="398">
        <f>IFERROR(IF(AND(LEN(TRIM(B48))&gt;0,LEN(TRIM(C48))&gt;0),'Bang TH nop'!AO49,""),"")</f>
        <v>0</v>
      </c>
      <c r="E48" s="399"/>
      <c r="F48" s="340"/>
      <c r="G48" s="341"/>
      <c r="H48" s="341"/>
      <c r="I48" s="342">
        <f>IFERROR(IF(AND(LEN(TRIM(B48))&gt;0,LEN(TRIM(C48))&gt;0),'Bang TH nop'!BB49,0),0)</f>
        <v>0</v>
      </c>
      <c r="J48" s="342">
        <f>IFERROR(IF(AND(LEN(TRIM(B48))&gt;0,LEN(TRIM(C48))&gt;0),'Bang TH nop'!AV49,0),0)</f>
        <v>0</v>
      </c>
      <c r="K48" s="342">
        <f>IFERROR(IF(AND(LEN(TRIM(B48))&gt;0,LEN(TRIM(C48))&gt;0),'Bang TH nop'!AR49,0),0)</f>
        <v>0</v>
      </c>
      <c r="L48" s="343">
        <f>IFERROR(IF(AND(LEN(TRIM(B48))&gt;0,LEN(TRIM(C48))&gt;0),'Bang TH nop'!AS49,0),0)</f>
        <v>0</v>
      </c>
      <c r="M48" s="342">
        <f>IFERROR(IF(AND(LEN(TRIM(B48))&gt;0,LEN(TRIM(C48))&gt;0),'Bang TH nop'!AT49,0),0)</f>
        <v>0</v>
      </c>
      <c r="N48" s="344">
        <f>IFERROR(IF(AND(LEN(TRIM(B48))&gt;0,LEN(TRIM(C48))&gt;0),'Bang TH nop'!AU49,0),0)</f>
        <v>0</v>
      </c>
      <c r="O48" s="342">
        <f>IFERROR(IF(AND(LEN(TRIM(B48))&gt;0,LEN(TRIM(C48))&gt;0),'Bang TH nop'!BE49,0),0)</f>
        <v>0</v>
      </c>
      <c r="P48" s="345">
        <f>IFERROR(IF(AND(LEN(TRIM(B48))&gt;0,LEN(TRIM(C48))&gt;0),'Bang TH nop'!AZ49,0),0)</f>
        <v>0</v>
      </c>
      <c r="Q48" s="343"/>
      <c r="R48" s="342"/>
      <c r="S48" s="342"/>
      <c r="T48" s="342"/>
      <c r="U48" s="341"/>
      <c r="V48" s="341"/>
      <c r="W48" s="341"/>
      <c r="X48" s="341"/>
      <c r="Y48" s="341"/>
      <c r="Z48" s="341"/>
      <c r="AA48" s="340" t="str">
        <f>IFERROR(
IF(AND(LEN(TRIM(B48))&gt;0,LEN(TRIM(C48))&gt;0),
'Bang TH nop'!AH49,
0
),
0
)</f>
        <v>A</v>
      </c>
      <c r="AB48" s="346"/>
      <c r="AC48" s="346"/>
      <c r="AD48" s="341"/>
      <c r="AE48" s="346"/>
      <c r="AF48" s="347"/>
      <c r="AG48" s="348"/>
      <c r="AH48" s="349"/>
      <c r="AI48" s="350"/>
      <c r="AJ48" s="351"/>
      <c r="AK48" s="350"/>
      <c r="AL48" s="352"/>
    </row>
    <row r="49" spans="1:38" ht="17.100000000000001" customHeight="1">
      <c r="A49" s="425"/>
      <c r="B49" s="426"/>
      <c r="C49" s="422"/>
      <c r="D49" s="397">
        <f>IFERROR(IF(AND(LEN(TRIM(B48))&gt;0,LEN(TRIM(C48))&gt;0),'Bang TH nop'!AP49,""),"")</f>
        <v>0</v>
      </c>
      <c r="E49" s="397"/>
      <c r="F49" s="353">
        <f>IFERROR(IF(AND(LEN(TRIM(B48))&gt;0,LEN(TRIM(C48))&gt;0),'Bang TH nop'!AL49,0),0)</f>
        <v>0</v>
      </c>
      <c r="G49" s="340">
        <f t="shared" ref="G49" si="380">D49*I48/26</f>
        <v>0</v>
      </c>
      <c r="H49" s="340">
        <f t="shared" ref="H49" si="381">D49*J48*150%/(26*8)</f>
        <v>0</v>
      </c>
      <c r="I49" s="340"/>
      <c r="J49" s="340"/>
      <c r="K49" s="344">
        <f t="shared" ref="K49" si="382">IFERROR(
IF(AND(LEN(TRIM(B48))&gt;0,LEN(TRIM(C48))&gt;0),
ROUND(D49/26*K48,0),
0
),
0
)</f>
        <v>0</v>
      </c>
      <c r="L49" s="344">
        <f t="shared" ref="L49" si="383">IFERROR(
IF(AND(LEN(TRIM(B48))&gt;0,LEN(TRIM(C48))&gt;0),
ROUND(D49/26*L48,0),
0
),
0
)</f>
        <v>0</v>
      </c>
      <c r="M49" s="344">
        <f t="shared" ref="M49" si="384">IFERROR(
IF(AND(LEN(TRIM(B48))&gt;0,LEN(TRIM(C48))&gt;0),
ROUND(D49/26*M48,0),
0
),
0
)</f>
        <v>0</v>
      </c>
      <c r="N49" s="344">
        <f t="shared" ref="N49" si="385">IFERROR(
IF(AND(LEN(TRIM(B48))&gt;0,LEN(TRIM(C48))&gt;0),
D49*N48/(26*8),
0
),
0
)</f>
        <v>0</v>
      </c>
      <c r="O49" s="344">
        <f t="shared" ref="O49" si="386">IFERROR(
IF(AND(LEN(TRIM(B48))&gt;0,LEN(TRIM(C48))&gt;0),
D49*O48/(26*8),
0
),
0
)</f>
        <v>0</v>
      </c>
      <c r="P49" s="344">
        <f t="shared" ref="P49" si="387">IFERROR(
IF(AND(LEN(TRIM(B48))&gt;0,LEN(TRIM(C48))&gt;0),
(D49/26/8*P48),
0
),
0
)</f>
        <v>0</v>
      </c>
      <c r="Q49" s="344">
        <f>IFERROR(
IF(AND(LEN(TRIM(B48))&gt;0,LEN(TRIM(C48))&gt;0),
'Bang TH nop'!BC49,
0
),
0
)</f>
        <v>0</v>
      </c>
      <c r="R49" s="340">
        <f>IFERROR(
IF(AND(LEN(TRIM(B48))&gt;0,LEN(TRIM(C48))&gt;0),
'Bang TH nop'!BD49,
0
),
0
)</f>
        <v>0</v>
      </c>
      <c r="S49" s="340">
        <f>IFERROR(
IF(AND(LEN(TRIM(B48))&gt;0,LEN(TRIM(C48))&gt;0),
'Bang TH nop'!BJ49,
0
),
0
)</f>
        <v>0</v>
      </c>
      <c r="T49" s="340">
        <f>IFERROR(
IF(AND(LEN(TRIM(B48))&gt;0,LEN(TRIM(C48))&gt;0),
IFERROR('Bang TH nop'!AW49,0)+IFERROR('Bang TH nop'!BH49,0),
0
),
0
)</f>
        <v>0</v>
      </c>
      <c r="U49" s="344"/>
      <c r="V49" s="344"/>
      <c r="W49" s="344"/>
      <c r="X49" s="340">
        <f t="shared" ref="X49" si="388">+IF(G49-I49&lt;0,0,G49-I49)</f>
        <v>0</v>
      </c>
      <c r="Y49" s="340">
        <f t="shared" ref="Y49" si="389">+IF(H49-J49&lt;0,0, H49-J49)</f>
        <v>0</v>
      </c>
      <c r="Z49" s="340">
        <f t="shared" ref="Z49" si="390">IFERROR(
IF(AND(LEN(TRIM(B48))&gt;0,LEN(TRIM(C48))&gt;0),
(X49+Y49)*25%,
0
),
0
)</f>
        <v>0</v>
      </c>
      <c r="AA49" s="340">
        <f>IFERROR(
IF(AND(LEN(TRIM(B48))&gt;0,LEN(TRIM(C48))&gt;0),
'Bang TH nop'!BG49,
0
),
0
)</f>
        <v>0</v>
      </c>
      <c r="AB49" s="344">
        <f t="shared" ref="AB49" si="391">IFERROR(
IF(AND(LEN(TRIM(B48))&gt;0,LEN(TRIM(C48))&gt;0),
SUM(I49:W49)+IFERROR(Z49,0)+IFERROR(AA49,0),
0
),
0
)</f>
        <v>0</v>
      </c>
      <c r="AC49" s="340">
        <f t="shared" ref="AC49" si="392">IFERROR(
IF(AND(LEN(TRIM(B48))&gt;0,LEN(TRIM(C48))&gt;0),
IF((26-(IFERROR(I48,0)+IFERROR(K48,0)+IFERROR(L48,0)+IFERROR(M48,0)))&gt;12,0,D49*10.5%),
0
),
0
)</f>
        <v>0</v>
      </c>
      <c r="AD49" s="340">
        <f t="shared" ref="AD49" si="393">IFERROR(
IF(AND(LEN(TRIM(B48))&gt;0,LEN(TRIM(C48))&gt;0),
ROUND(IF(D49=4939000,D49*0.5%,0),-2),
0
),
0
)</f>
        <v>0</v>
      </c>
      <c r="AE49" s="344">
        <f t="shared" ref="AE49" si="394">IFERROR(
IF(AND(LEN(TRIM(B48))&gt;0,LEN(TRIM(C48))&gt;0),
ROUND(IFERROR(AB49,0)-IFERROR(AC49,0)-IFERROR(AD49,0),-2),
0
),
0
)</f>
        <v>0</v>
      </c>
      <c r="AF49" s="347">
        <f>IFERROR(
IF(AND(LEN(TRIM(B48))&gt;0,LEN(TRIM(C48))&gt;0),
IFERROR('Bang TH nop'!AQ49,0)+IFERROR('Bang TH nop'!AT49,0)+IFERROR('Bang TH nop'!BF49,0),
0
),
0
)</f>
        <v>0</v>
      </c>
      <c r="AG49" s="348"/>
      <c r="AH49" s="354"/>
      <c r="AI49" s="355">
        <f t="shared" ref="AI49" si="395">IFERROR(
IF(AND(LEN(TRIM(B48))&gt;0,LEN(TRIM(C48))&gt;0),
AH49/AG49,
0
),
0
)</f>
        <v>0</v>
      </c>
      <c r="AJ49" s="355">
        <f t="shared" ref="AJ49" si="396">IFERROR(
IF(AND(LEN(TRIM(B48))&gt;0,LEN(TRIM(C48))&gt;0),
AL49/AF49,
0
),
0
)</f>
        <v>0</v>
      </c>
      <c r="AK49" s="356">
        <f t="shared" ref="AK49" si="397">IFERROR(
IF(AND(LEN(TRIM(B48))&gt;0,LEN(TRIM(C48))&gt;0),
AJ49/AI49,
0
),
0
)</f>
        <v>0</v>
      </c>
      <c r="AL49" s="357">
        <f t="shared" ref="AL49" si="398">IFERROR(
IF(AND(LEN(TRIM(B48))&gt;0,LEN(TRIM(C48))&gt;0),
AB49/L49,
0
),
0
)</f>
        <v>0</v>
      </c>
    </row>
    <row r="50" spans="1:38" ht="17.100000000000001" customHeight="1">
      <c r="A50" s="424">
        <f t="shared" ref="A50" si="399">A48+1</f>
        <v>22</v>
      </c>
      <c r="B50" s="426">
        <f>'Bang TH nop'!B51</f>
        <v>0</v>
      </c>
      <c r="C50" s="421">
        <f>IFERROR(IF(LEN(TRIM(B50))&gt;0,'Bang TH nop'!C51,""),"")</f>
        <v>0</v>
      </c>
      <c r="D50" s="398">
        <f>IFERROR(IF(AND(LEN(TRIM(B50))&gt;0,LEN(TRIM(C50))&gt;0),'Bang TH nop'!AO51,""),"")</f>
        <v>0</v>
      </c>
      <c r="E50" s="399"/>
      <c r="F50" s="340"/>
      <c r="G50" s="341"/>
      <c r="H50" s="341"/>
      <c r="I50" s="342">
        <f>IFERROR(IF(AND(LEN(TRIM(B50))&gt;0,LEN(TRIM(C50))&gt;0),'Bang TH nop'!BB51,0),0)</f>
        <v>0</v>
      </c>
      <c r="J50" s="342">
        <f>IFERROR(IF(AND(LEN(TRIM(B50))&gt;0,LEN(TRIM(C50))&gt;0),'Bang TH nop'!AV51,0),0)</f>
        <v>0</v>
      </c>
      <c r="K50" s="342">
        <f>IFERROR(IF(AND(LEN(TRIM(B50))&gt;0,LEN(TRIM(C50))&gt;0),'Bang TH nop'!AR51,0),0)</f>
        <v>0</v>
      </c>
      <c r="L50" s="343">
        <f>IFERROR(IF(AND(LEN(TRIM(B50))&gt;0,LEN(TRIM(C50))&gt;0),'Bang TH nop'!AS51,0),0)</f>
        <v>0</v>
      </c>
      <c r="M50" s="342">
        <f>IFERROR(IF(AND(LEN(TRIM(B50))&gt;0,LEN(TRIM(C50))&gt;0),'Bang TH nop'!AT51,0),0)</f>
        <v>0</v>
      </c>
      <c r="N50" s="344">
        <f>IFERROR(IF(AND(LEN(TRIM(B50))&gt;0,LEN(TRIM(C50))&gt;0),'Bang TH nop'!AU51,0),0)</f>
        <v>0</v>
      </c>
      <c r="O50" s="342">
        <f>IFERROR(IF(AND(LEN(TRIM(B50))&gt;0,LEN(TRIM(C50))&gt;0),'Bang TH nop'!BE51,0),0)</f>
        <v>0</v>
      </c>
      <c r="P50" s="345">
        <f>IFERROR(IF(AND(LEN(TRIM(B50))&gt;0,LEN(TRIM(C50))&gt;0),'Bang TH nop'!AZ51,0),0)</f>
        <v>0</v>
      </c>
      <c r="Q50" s="343"/>
      <c r="R50" s="342"/>
      <c r="S50" s="342"/>
      <c r="T50" s="342"/>
      <c r="U50" s="341"/>
      <c r="V50" s="341"/>
      <c r="W50" s="341"/>
      <c r="X50" s="341"/>
      <c r="Y50" s="341"/>
      <c r="Z50" s="341"/>
      <c r="AA50" s="340" t="str">
        <f>IFERROR(
IF(AND(LEN(TRIM(B50))&gt;0,LEN(TRIM(C50))&gt;0),
'Bang TH nop'!AH51,
0
),
0
)</f>
        <v>A</v>
      </c>
      <c r="AB50" s="346"/>
      <c r="AC50" s="346"/>
      <c r="AD50" s="341"/>
      <c r="AE50" s="346"/>
      <c r="AF50" s="347"/>
      <c r="AG50" s="348"/>
      <c r="AH50" s="349"/>
      <c r="AI50" s="350"/>
      <c r="AJ50" s="351"/>
      <c r="AK50" s="350"/>
      <c r="AL50" s="352"/>
    </row>
    <row r="51" spans="1:38" ht="17.100000000000001" customHeight="1">
      <c r="A51" s="425"/>
      <c r="B51" s="426"/>
      <c r="C51" s="422"/>
      <c r="D51" s="397">
        <f>IFERROR(IF(AND(LEN(TRIM(B50))&gt;0,LEN(TRIM(C50))&gt;0),'Bang TH nop'!AP51,""),"")</f>
        <v>0</v>
      </c>
      <c r="E51" s="397"/>
      <c r="F51" s="353">
        <f>IFERROR(IF(AND(LEN(TRIM(B50))&gt;0,LEN(TRIM(C50))&gt;0),'Bang TH nop'!AL51,0),0)</f>
        <v>0</v>
      </c>
      <c r="G51" s="340">
        <f t="shared" ref="G51" si="400">D51*I50/26</f>
        <v>0</v>
      </c>
      <c r="H51" s="340">
        <f t="shared" ref="H51" si="401">D51*J50*150%/(26*8)</f>
        <v>0</v>
      </c>
      <c r="I51" s="340"/>
      <c r="J51" s="340"/>
      <c r="K51" s="344">
        <f t="shared" ref="K51" si="402">IFERROR(
IF(AND(LEN(TRIM(B50))&gt;0,LEN(TRIM(C50))&gt;0),
ROUND(D51/26*K50,0),
0
),
0
)</f>
        <v>0</v>
      </c>
      <c r="L51" s="344">
        <f t="shared" ref="L51" si="403">IFERROR(
IF(AND(LEN(TRIM(B50))&gt;0,LEN(TRIM(C50))&gt;0),
ROUND(D51/26*L50,0),
0
),
0
)</f>
        <v>0</v>
      </c>
      <c r="M51" s="344">
        <f t="shared" ref="M51" si="404">IFERROR(
IF(AND(LEN(TRIM(B50))&gt;0,LEN(TRIM(C50))&gt;0),
ROUND(D51/26*M50,0),
0
),
0
)</f>
        <v>0</v>
      </c>
      <c r="N51" s="344">
        <f t="shared" ref="N51" si="405">IFERROR(
IF(AND(LEN(TRIM(B50))&gt;0,LEN(TRIM(C50))&gt;0),
D51*N50/(26*8),
0
),
0
)</f>
        <v>0</v>
      </c>
      <c r="O51" s="344">
        <f t="shared" ref="O51" si="406">IFERROR(
IF(AND(LEN(TRIM(B50))&gt;0,LEN(TRIM(C50))&gt;0),
D51*O50/(26*8),
0
),
0
)</f>
        <v>0</v>
      </c>
      <c r="P51" s="344">
        <f t="shared" ref="P51" si="407">IFERROR(
IF(AND(LEN(TRIM(B50))&gt;0,LEN(TRIM(C50))&gt;0),
(D51/26/8*P50),
0
),
0
)</f>
        <v>0</v>
      </c>
      <c r="Q51" s="344">
        <f>IFERROR(
IF(AND(LEN(TRIM(B50))&gt;0,LEN(TRIM(C50))&gt;0),
'Bang TH nop'!BC51,
0
),
0
)</f>
        <v>0</v>
      </c>
      <c r="R51" s="340">
        <f>IFERROR(
IF(AND(LEN(TRIM(B50))&gt;0,LEN(TRIM(C50))&gt;0),
'Bang TH nop'!BD51,
0
),
0
)</f>
        <v>0</v>
      </c>
      <c r="S51" s="340">
        <f>IFERROR(
IF(AND(LEN(TRIM(B50))&gt;0,LEN(TRIM(C50))&gt;0),
'Bang TH nop'!BJ51,
0
),
0
)</f>
        <v>0</v>
      </c>
      <c r="T51" s="340">
        <f>IFERROR(
IF(AND(LEN(TRIM(B50))&gt;0,LEN(TRIM(C50))&gt;0),
IFERROR('Bang TH nop'!AW51,0)+IFERROR('Bang TH nop'!BH51,0),
0
),
0
)</f>
        <v>0</v>
      </c>
      <c r="U51" s="344"/>
      <c r="V51" s="344"/>
      <c r="W51" s="344"/>
      <c r="X51" s="340">
        <f t="shared" ref="X51" si="408">+IF(G51-I51&lt;0,0,G51-I51)</f>
        <v>0</v>
      </c>
      <c r="Y51" s="340">
        <f t="shared" ref="Y51" si="409">+IF(H51-J51&lt;0,0, H51-J51)</f>
        <v>0</v>
      </c>
      <c r="Z51" s="340">
        <f t="shared" ref="Z51" si="410">IFERROR(
IF(AND(LEN(TRIM(B50))&gt;0,LEN(TRIM(C50))&gt;0),
(X51+Y51)*25%,
0
),
0
)</f>
        <v>0</v>
      </c>
      <c r="AA51" s="340">
        <f>IFERROR(
IF(AND(LEN(TRIM(B50))&gt;0,LEN(TRIM(C50))&gt;0),
'Bang TH nop'!BG51,
0
),
0
)</f>
        <v>0</v>
      </c>
      <c r="AB51" s="344">
        <f t="shared" ref="AB51" si="411">IFERROR(
IF(AND(LEN(TRIM(B50))&gt;0,LEN(TRIM(C50))&gt;0),
SUM(I51:W51)+IFERROR(Z51,0)+IFERROR(AA51,0),
0
),
0
)</f>
        <v>0</v>
      </c>
      <c r="AC51" s="340">
        <f t="shared" ref="AC51" si="412">IFERROR(
IF(AND(LEN(TRIM(B50))&gt;0,LEN(TRIM(C50))&gt;0),
IF((26-(IFERROR(I50,0)+IFERROR(K50,0)+IFERROR(L50,0)+IFERROR(M50,0)))&gt;12,0,D51*10.5%),
0
),
0
)</f>
        <v>0</v>
      </c>
      <c r="AD51" s="340">
        <f t="shared" ref="AD51" si="413">IFERROR(
IF(AND(LEN(TRIM(B50))&gt;0,LEN(TRIM(C50))&gt;0),
ROUND(IF(D51=4939000,D51*0.5%,0),-2),
0
),
0
)</f>
        <v>0</v>
      </c>
      <c r="AE51" s="344">
        <f t="shared" ref="AE51" si="414">IFERROR(
IF(AND(LEN(TRIM(B50))&gt;0,LEN(TRIM(C50))&gt;0),
ROUND(IFERROR(AB51,0)-IFERROR(AC51,0)-IFERROR(AD51,0),-2),
0
),
0
)</f>
        <v>0</v>
      </c>
      <c r="AF51" s="347">
        <f>IFERROR(
IF(AND(LEN(TRIM(B50))&gt;0,LEN(TRIM(C50))&gt;0),
IFERROR('Bang TH nop'!AQ51,0)+IFERROR('Bang TH nop'!AT51,0)+IFERROR('Bang TH nop'!BF51,0),
0
),
0
)</f>
        <v>0</v>
      </c>
      <c r="AG51" s="348"/>
      <c r="AH51" s="354"/>
      <c r="AI51" s="355">
        <f t="shared" ref="AI51" si="415">IFERROR(
IF(AND(LEN(TRIM(B50))&gt;0,LEN(TRIM(C50))&gt;0),
AH51/AG51,
0
),
0
)</f>
        <v>0</v>
      </c>
      <c r="AJ51" s="355">
        <f t="shared" ref="AJ51" si="416">IFERROR(
IF(AND(LEN(TRIM(B50))&gt;0,LEN(TRIM(C50))&gt;0),
AL51/AF51,
0
),
0
)</f>
        <v>0</v>
      </c>
      <c r="AK51" s="356">
        <f t="shared" ref="AK51" si="417">IFERROR(
IF(AND(LEN(TRIM(B50))&gt;0,LEN(TRIM(C50))&gt;0),
AJ51/AI51,
0
),
0
)</f>
        <v>0</v>
      </c>
      <c r="AL51" s="357">
        <f t="shared" ref="AL51" si="418">IFERROR(
IF(AND(LEN(TRIM(B50))&gt;0,LEN(TRIM(C50))&gt;0),
AB51/L51,
0
),
0
)</f>
        <v>0</v>
      </c>
    </row>
    <row r="52" spans="1:38" ht="17.100000000000001" customHeight="1">
      <c r="A52" s="424">
        <f t="shared" ref="A52" si="419">A50+1</f>
        <v>23</v>
      </c>
      <c r="B52" s="426">
        <f>'Bang TH nop'!B53</f>
        <v>0</v>
      </c>
      <c r="C52" s="421">
        <f>IFERROR(IF(LEN(TRIM(B52))&gt;0,'Bang TH nop'!C53,""),"")</f>
        <v>0</v>
      </c>
      <c r="D52" s="398">
        <f>IFERROR(IF(AND(LEN(TRIM(B52))&gt;0,LEN(TRIM(C52))&gt;0),'Bang TH nop'!AO53,""),"")</f>
        <v>0</v>
      </c>
      <c r="E52" s="399"/>
      <c r="F52" s="340"/>
      <c r="G52" s="341"/>
      <c r="H52" s="341"/>
      <c r="I52" s="342">
        <f>IFERROR(IF(AND(LEN(TRIM(B52))&gt;0,LEN(TRIM(C52))&gt;0),'Bang TH nop'!BB53,0),0)</f>
        <v>0</v>
      </c>
      <c r="J52" s="342">
        <f>IFERROR(IF(AND(LEN(TRIM(B52))&gt;0,LEN(TRIM(C52))&gt;0),'Bang TH nop'!AV53,0),0)</f>
        <v>0</v>
      </c>
      <c r="K52" s="342">
        <f>IFERROR(IF(AND(LEN(TRIM(B52))&gt;0,LEN(TRIM(C52))&gt;0),'Bang TH nop'!AR53,0),0)</f>
        <v>0</v>
      </c>
      <c r="L52" s="343">
        <f>IFERROR(IF(AND(LEN(TRIM(B52))&gt;0,LEN(TRIM(C52))&gt;0),'Bang TH nop'!AS53,0),0)</f>
        <v>0</v>
      </c>
      <c r="M52" s="342">
        <f>IFERROR(IF(AND(LEN(TRIM(B52))&gt;0,LEN(TRIM(C52))&gt;0),'Bang TH nop'!AT53,0),0)</f>
        <v>0</v>
      </c>
      <c r="N52" s="344">
        <f>IFERROR(IF(AND(LEN(TRIM(B52))&gt;0,LEN(TRIM(C52))&gt;0),'Bang TH nop'!AU53,0),0)</f>
        <v>0</v>
      </c>
      <c r="O52" s="342">
        <f>IFERROR(IF(AND(LEN(TRIM(B52))&gt;0,LEN(TRIM(C52))&gt;0),'Bang TH nop'!BE53,0),0)</f>
        <v>0</v>
      </c>
      <c r="P52" s="345">
        <f>IFERROR(IF(AND(LEN(TRIM(B52))&gt;0,LEN(TRIM(C52))&gt;0),'Bang TH nop'!AZ53,0),0)</f>
        <v>0</v>
      </c>
      <c r="Q52" s="343"/>
      <c r="R52" s="342"/>
      <c r="S52" s="342"/>
      <c r="T52" s="342"/>
      <c r="U52" s="341"/>
      <c r="V52" s="341"/>
      <c r="W52" s="341"/>
      <c r="X52" s="341"/>
      <c r="Y52" s="341"/>
      <c r="Z52" s="341"/>
      <c r="AA52" s="340" t="str">
        <f>IFERROR(
IF(AND(LEN(TRIM(B52))&gt;0,LEN(TRIM(C52))&gt;0),
'Bang TH nop'!AH53,
0
),
0
)</f>
        <v>A</v>
      </c>
      <c r="AB52" s="346"/>
      <c r="AC52" s="346"/>
      <c r="AD52" s="341"/>
      <c r="AE52" s="346"/>
      <c r="AF52" s="347"/>
      <c r="AG52" s="348"/>
      <c r="AH52" s="349"/>
      <c r="AI52" s="350"/>
      <c r="AJ52" s="351"/>
      <c r="AK52" s="350"/>
      <c r="AL52" s="352"/>
    </row>
    <row r="53" spans="1:38" ht="17.100000000000001" customHeight="1">
      <c r="A53" s="425"/>
      <c r="B53" s="426"/>
      <c r="C53" s="422"/>
      <c r="D53" s="397">
        <f>IFERROR(IF(AND(LEN(TRIM(B52))&gt;0,LEN(TRIM(C52))&gt;0),'Bang TH nop'!AP53,""),"")</f>
        <v>0</v>
      </c>
      <c r="E53" s="397"/>
      <c r="F53" s="353">
        <f>IFERROR(IF(AND(LEN(TRIM(B52))&gt;0,LEN(TRIM(C52))&gt;0),'Bang TH nop'!AL53,0),0)</f>
        <v>0</v>
      </c>
      <c r="G53" s="340">
        <f t="shared" ref="G53" si="420">D53*I52/26</f>
        <v>0</v>
      </c>
      <c r="H53" s="340">
        <f t="shared" ref="H53" si="421">D53*J52*150%/(26*8)</f>
        <v>0</v>
      </c>
      <c r="I53" s="340"/>
      <c r="J53" s="340"/>
      <c r="K53" s="344">
        <f t="shared" ref="K53" si="422">IFERROR(
IF(AND(LEN(TRIM(B52))&gt;0,LEN(TRIM(C52))&gt;0),
ROUND(D53/26*K52,0),
0
),
0
)</f>
        <v>0</v>
      </c>
      <c r="L53" s="344">
        <f t="shared" ref="L53" si="423">IFERROR(
IF(AND(LEN(TRIM(B52))&gt;0,LEN(TRIM(C52))&gt;0),
ROUND(D53/26*L52,0),
0
),
0
)</f>
        <v>0</v>
      </c>
      <c r="M53" s="344">
        <f t="shared" ref="M53" si="424">IFERROR(
IF(AND(LEN(TRIM(B52))&gt;0,LEN(TRIM(C52))&gt;0),
ROUND(D53/26*M52,0),
0
),
0
)</f>
        <v>0</v>
      </c>
      <c r="N53" s="344">
        <f t="shared" ref="N53" si="425">IFERROR(
IF(AND(LEN(TRIM(B52))&gt;0,LEN(TRIM(C52))&gt;0),
D53*N52/(26*8),
0
),
0
)</f>
        <v>0</v>
      </c>
      <c r="O53" s="344">
        <f t="shared" ref="O53" si="426">IFERROR(
IF(AND(LEN(TRIM(B52))&gt;0,LEN(TRIM(C52))&gt;0),
D53*O52/(26*8),
0
),
0
)</f>
        <v>0</v>
      </c>
      <c r="P53" s="344">
        <f t="shared" ref="P53" si="427">IFERROR(
IF(AND(LEN(TRIM(B52))&gt;0,LEN(TRIM(C52))&gt;0),
(D53/26/8*P52),
0
),
0
)</f>
        <v>0</v>
      </c>
      <c r="Q53" s="344">
        <f>IFERROR(
IF(AND(LEN(TRIM(B52))&gt;0,LEN(TRIM(C52))&gt;0),
'Bang TH nop'!BC53,
0
),
0
)</f>
        <v>0</v>
      </c>
      <c r="R53" s="340">
        <f>IFERROR(
IF(AND(LEN(TRIM(B52))&gt;0,LEN(TRIM(C52))&gt;0),
'Bang TH nop'!BD53,
0
),
0
)</f>
        <v>0</v>
      </c>
      <c r="S53" s="340">
        <f>IFERROR(
IF(AND(LEN(TRIM(B52))&gt;0,LEN(TRIM(C52))&gt;0),
'Bang TH nop'!BJ53,
0
),
0
)</f>
        <v>0</v>
      </c>
      <c r="T53" s="340">
        <f>IFERROR(
IF(AND(LEN(TRIM(B52))&gt;0,LEN(TRIM(C52))&gt;0),
IFERROR('Bang TH nop'!AW53,0)+IFERROR('Bang TH nop'!BH53,0),
0
),
0
)</f>
        <v>0</v>
      </c>
      <c r="U53" s="344"/>
      <c r="V53" s="344"/>
      <c r="W53" s="344"/>
      <c r="X53" s="340">
        <f t="shared" ref="X53" si="428">+IF(G53-I53&lt;0,0,G53-I53)</f>
        <v>0</v>
      </c>
      <c r="Y53" s="340">
        <f t="shared" ref="Y53" si="429">+IF(H53-J53&lt;0,0, H53-J53)</f>
        <v>0</v>
      </c>
      <c r="Z53" s="340">
        <f t="shared" ref="Z53" si="430">IFERROR(
IF(AND(LEN(TRIM(B52))&gt;0,LEN(TRIM(C52))&gt;0),
(X53+Y53)*25%,
0
),
0
)</f>
        <v>0</v>
      </c>
      <c r="AA53" s="340">
        <f>IFERROR(
IF(AND(LEN(TRIM(B52))&gt;0,LEN(TRIM(C52))&gt;0),
'Bang TH nop'!BG53,
0
),
0
)</f>
        <v>0</v>
      </c>
      <c r="AB53" s="344">
        <f t="shared" ref="AB53" si="431">IFERROR(
IF(AND(LEN(TRIM(B52))&gt;0,LEN(TRIM(C52))&gt;0),
SUM(I53:W53)+IFERROR(Z53,0)+IFERROR(AA53,0),
0
),
0
)</f>
        <v>0</v>
      </c>
      <c r="AC53" s="340">
        <f t="shared" ref="AC53" si="432">IFERROR(
IF(AND(LEN(TRIM(B52))&gt;0,LEN(TRIM(C52))&gt;0),
IF((26-(IFERROR(I52,0)+IFERROR(K52,0)+IFERROR(L52,0)+IFERROR(M52,0)))&gt;12,0,D53*10.5%),
0
),
0
)</f>
        <v>0</v>
      </c>
      <c r="AD53" s="340">
        <f t="shared" ref="AD53" si="433">IFERROR(
IF(AND(LEN(TRIM(B52))&gt;0,LEN(TRIM(C52))&gt;0),
ROUND(IF(D53=4939000,D53*0.5%,0),-2),
0
),
0
)</f>
        <v>0</v>
      </c>
      <c r="AE53" s="344">
        <f t="shared" ref="AE53" si="434">IFERROR(
IF(AND(LEN(TRIM(B52))&gt;0,LEN(TRIM(C52))&gt;0),
ROUND(IFERROR(AB53,0)-IFERROR(AC53,0)-IFERROR(AD53,0),-2),
0
),
0
)</f>
        <v>0</v>
      </c>
      <c r="AF53" s="347">
        <f>IFERROR(
IF(AND(LEN(TRIM(B52))&gt;0,LEN(TRIM(C52))&gt;0),
IFERROR('Bang TH nop'!AQ53,0)+IFERROR('Bang TH nop'!AT53,0)+IFERROR('Bang TH nop'!BF53,0),
0
),
0
)</f>
        <v>0</v>
      </c>
      <c r="AG53" s="348"/>
      <c r="AH53" s="354"/>
      <c r="AI53" s="355">
        <f t="shared" ref="AI53" si="435">IFERROR(
IF(AND(LEN(TRIM(B52))&gt;0,LEN(TRIM(C52))&gt;0),
AH53/AG53,
0
),
0
)</f>
        <v>0</v>
      </c>
      <c r="AJ53" s="355">
        <f t="shared" ref="AJ53" si="436">IFERROR(
IF(AND(LEN(TRIM(B52))&gt;0,LEN(TRIM(C52))&gt;0),
AL53/AF53,
0
),
0
)</f>
        <v>0</v>
      </c>
      <c r="AK53" s="356">
        <f t="shared" ref="AK53" si="437">IFERROR(
IF(AND(LEN(TRIM(B52))&gt;0,LEN(TRIM(C52))&gt;0),
AJ53/AI53,
0
),
0
)</f>
        <v>0</v>
      </c>
      <c r="AL53" s="357">
        <f t="shared" ref="AL53" si="438">IFERROR(
IF(AND(LEN(TRIM(B52))&gt;0,LEN(TRIM(C52))&gt;0),
AB53/L53,
0
),
0
)</f>
        <v>0</v>
      </c>
    </row>
    <row r="54" spans="1:38" ht="17.100000000000001" customHeight="1">
      <c r="A54" s="424">
        <f t="shared" ref="A54" si="439">A52+1</f>
        <v>24</v>
      </c>
      <c r="B54" s="426">
        <f>'Bang TH nop'!B55</f>
        <v>0</v>
      </c>
      <c r="C54" s="421">
        <f>IFERROR(IF(LEN(TRIM(B54))&gt;0,'Bang TH nop'!C55,""),"")</f>
        <v>0</v>
      </c>
      <c r="D54" s="398">
        <f>IFERROR(IF(AND(LEN(TRIM(B54))&gt;0,LEN(TRIM(C54))&gt;0),'Bang TH nop'!AO55,""),"")</f>
        <v>0</v>
      </c>
      <c r="E54" s="399"/>
      <c r="F54" s="340"/>
      <c r="G54" s="341"/>
      <c r="H54" s="341"/>
      <c r="I54" s="342">
        <f>IFERROR(IF(AND(LEN(TRIM(B54))&gt;0,LEN(TRIM(C54))&gt;0),'Bang TH nop'!BB55,0),0)</f>
        <v>0</v>
      </c>
      <c r="J54" s="342">
        <f>IFERROR(IF(AND(LEN(TRIM(B54))&gt;0,LEN(TRIM(C54))&gt;0),'Bang TH nop'!AV55,0),0)</f>
        <v>0</v>
      </c>
      <c r="K54" s="342">
        <f>IFERROR(IF(AND(LEN(TRIM(B54))&gt;0,LEN(TRIM(C54))&gt;0),'Bang TH nop'!AR55,0),0)</f>
        <v>0</v>
      </c>
      <c r="L54" s="343">
        <f>IFERROR(IF(AND(LEN(TRIM(B54))&gt;0,LEN(TRIM(C54))&gt;0),'Bang TH nop'!AS55,0),0)</f>
        <v>0</v>
      </c>
      <c r="M54" s="342">
        <f>IFERROR(IF(AND(LEN(TRIM(B54))&gt;0,LEN(TRIM(C54))&gt;0),'Bang TH nop'!AT55,0),0)</f>
        <v>0</v>
      </c>
      <c r="N54" s="344">
        <f>IFERROR(IF(AND(LEN(TRIM(B54))&gt;0,LEN(TRIM(C54))&gt;0),'Bang TH nop'!AU55,0),0)</f>
        <v>0</v>
      </c>
      <c r="O54" s="342">
        <f>IFERROR(IF(AND(LEN(TRIM(B54))&gt;0,LEN(TRIM(C54))&gt;0),'Bang TH nop'!BE55,0),0)</f>
        <v>0</v>
      </c>
      <c r="P54" s="345">
        <f>IFERROR(IF(AND(LEN(TRIM(B54))&gt;0,LEN(TRIM(C54))&gt;0),'Bang TH nop'!AZ55,0),0)</f>
        <v>0</v>
      </c>
      <c r="Q54" s="343"/>
      <c r="R54" s="342"/>
      <c r="S54" s="342"/>
      <c r="T54" s="342"/>
      <c r="U54" s="341"/>
      <c r="V54" s="341"/>
      <c r="W54" s="341"/>
      <c r="X54" s="341"/>
      <c r="Y54" s="341"/>
      <c r="Z54" s="341"/>
      <c r="AA54" s="340" t="str">
        <f>IFERROR(
IF(AND(LEN(TRIM(B54))&gt;0,LEN(TRIM(C54))&gt;0),
'Bang TH nop'!AH55,
0
),
0
)</f>
        <v>A</v>
      </c>
      <c r="AB54" s="346"/>
      <c r="AC54" s="346"/>
      <c r="AD54" s="341"/>
      <c r="AE54" s="346"/>
      <c r="AF54" s="347"/>
      <c r="AG54" s="348"/>
      <c r="AH54" s="349"/>
      <c r="AI54" s="350"/>
      <c r="AJ54" s="351"/>
      <c r="AK54" s="350"/>
      <c r="AL54" s="352"/>
    </row>
    <row r="55" spans="1:38" ht="17.100000000000001" customHeight="1">
      <c r="A55" s="425"/>
      <c r="B55" s="426"/>
      <c r="C55" s="422"/>
      <c r="D55" s="397">
        <f>IFERROR(IF(AND(LEN(TRIM(B54))&gt;0,LEN(TRIM(C54))&gt;0),'Bang TH nop'!AP55,""),"")</f>
        <v>0</v>
      </c>
      <c r="E55" s="397"/>
      <c r="F55" s="353">
        <f>IFERROR(IF(AND(LEN(TRIM(B54))&gt;0,LEN(TRIM(C54))&gt;0),'Bang TH nop'!AL55,0),0)</f>
        <v>0</v>
      </c>
      <c r="G55" s="340">
        <f t="shared" ref="G55" si="440">D55*I54/26</f>
        <v>0</v>
      </c>
      <c r="H55" s="340">
        <f t="shared" ref="H55" si="441">D55*J54*150%/(26*8)</f>
        <v>0</v>
      </c>
      <c r="I55" s="340"/>
      <c r="J55" s="340"/>
      <c r="K55" s="344">
        <f t="shared" ref="K55" si="442">IFERROR(
IF(AND(LEN(TRIM(B54))&gt;0,LEN(TRIM(C54))&gt;0),
ROUND(D55/26*K54,0),
0
),
0
)</f>
        <v>0</v>
      </c>
      <c r="L55" s="344">
        <f t="shared" ref="L55" si="443">IFERROR(
IF(AND(LEN(TRIM(B54))&gt;0,LEN(TRIM(C54))&gt;0),
ROUND(D55/26*L54,0),
0
),
0
)</f>
        <v>0</v>
      </c>
      <c r="M55" s="344">
        <f t="shared" ref="M55" si="444">IFERROR(
IF(AND(LEN(TRIM(B54))&gt;0,LEN(TRIM(C54))&gt;0),
ROUND(D55/26*M54,0),
0
),
0
)</f>
        <v>0</v>
      </c>
      <c r="N55" s="344">
        <f t="shared" ref="N55" si="445">IFERROR(
IF(AND(LEN(TRIM(B54))&gt;0,LEN(TRIM(C54))&gt;0),
D55*N54/(26*8),
0
),
0
)</f>
        <v>0</v>
      </c>
      <c r="O55" s="344">
        <f t="shared" ref="O55" si="446">IFERROR(
IF(AND(LEN(TRIM(B54))&gt;0,LEN(TRIM(C54))&gt;0),
D55*O54/(26*8),
0
),
0
)</f>
        <v>0</v>
      </c>
      <c r="P55" s="344">
        <f t="shared" ref="P55" si="447">IFERROR(
IF(AND(LEN(TRIM(B54))&gt;0,LEN(TRIM(C54))&gt;0),
(D55/26/8*P54),
0
),
0
)</f>
        <v>0</v>
      </c>
      <c r="Q55" s="344">
        <f>IFERROR(
IF(AND(LEN(TRIM(B54))&gt;0,LEN(TRIM(C54))&gt;0),
'Bang TH nop'!BC55,
0
),
0
)</f>
        <v>0</v>
      </c>
      <c r="R55" s="340">
        <f>IFERROR(
IF(AND(LEN(TRIM(B54))&gt;0,LEN(TRIM(C54))&gt;0),
'Bang TH nop'!BD55,
0
),
0
)</f>
        <v>0</v>
      </c>
      <c r="S55" s="340">
        <f>IFERROR(
IF(AND(LEN(TRIM(B54))&gt;0,LEN(TRIM(C54))&gt;0),
'Bang TH nop'!BJ55,
0
),
0
)</f>
        <v>0</v>
      </c>
      <c r="T55" s="340">
        <f>IFERROR(
IF(AND(LEN(TRIM(B54))&gt;0,LEN(TRIM(C54))&gt;0),
IFERROR('Bang TH nop'!AW55,0)+IFERROR('Bang TH nop'!BH55,0),
0
),
0
)</f>
        <v>0</v>
      </c>
      <c r="U55" s="344"/>
      <c r="V55" s="344"/>
      <c r="W55" s="344"/>
      <c r="X55" s="340">
        <f t="shared" ref="X55" si="448">+IF(G55-I55&lt;0,0,G55-I55)</f>
        <v>0</v>
      </c>
      <c r="Y55" s="340">
        <f t="shared" ref="Y55" si="449">+IF(H55-J55&lt;0,0, H55-J55)</f>
        <v>0</v>
      </c>
      <c r="Z55" s="340">
        <f t="shared" ref="Z55" si="450">IFERROR(
IF(AND(LEN(TRIM(B54))&gt;0,LEN(TRIM(C54))&gt;0),
(X55+Y55)*25%,
0
),
0
)</f>
        <v>0</v>
      </c>
      <c r="AA55" s="340">
        <f>IFERROR(
IF(AND(LEN(TRIM(B54))&gt;0,LEN(TRIM(C54))&gt;0),
'Bang TH nop'!BG55,
0
),
0
)</f>
        <v>0</v>
      </c>
      <c r="AB55" s="344">
        <f t="shared" ref="AB55" si="451">IFERROR(
IF(AND(LEN(TRIM(B54))&gt;0,LEN(TRIM(C54))&gt;0),
SUM(I55:W55)+IFERROR(Z55,0)+IFERROR(AA55,0),
0
),
0
)</f>
        <v>0</v>
      </c>
      <c r="AC55" s="340">
        <f t="shared" ref="AC55" si="452">IFERROR(
IF(AND(LEN(TRIM(B54))&gt;0,LEN(TRIM(C54))&gt;0),
IF((26-(IFERROR(I54,0)+IFERROR(K54,0)+IFERROR(L54,0)+IFERROR(M54,0)))&gt;12,0,D55*10.5%),
0
),
0
)</f>
        <v>0</v>
      </c>
      <c r="AD55" s="340">
        <f t="shared" ref="AD55" si="453">IFERROR(
IF(AND(LEN(TRIM(B54))&gt;0,LEN(TRIM(C54))&gt;0),
ROUND(IF(D55=4939000,D55*0.5%,0),-2),
0
),
0
)</f>
        <v>0</v>
      </c>
      <c r="AE55" s="344">
        <f t="shared" ref="AE55" si="454">IFERROR(
IF(AND(LEN(TRIM(B54))&gt;0,LEN(TRIM(C54))&gt;0),
ROUND(IFERROR(AB55,0)-IFERROR(AC55,0)-IFERROR(AD55,0),-2),
0
),
0
)</f>
        <v>0</v>
      </c>
      <c r="AF55" s="347">
        <f>IFERROR(
IF(AND(LEN(TRIM(B54))&gt;0,LEN(TRIM(C54))&gt;0),
IFERROR('Bang TH nop'!AQ55,0)+IFERROR('Bang TH nop'!AT55,0)+IFERROR('Bang TH nop'!BF55,0),
0
),
0
)</f>
        <v>0</v>
      </c>
      <c r="AG55" s="348"/>
      <c r="AH55" s="354"/>
      <c r="AI55" s="355">
        <f t="shared" ref="AI55" si="455">IFERROR(
IF(AND(LEN(TRIM(B54))&gt;0,LEN(TRIM(C54))&gt;0),
AH55/AG55,
0
),
0
)</f>
        <v>0</v>
      </c>
      <c r="AJ55" s="355">
        <f t="shared" ref="AJ55" si="456">IFERROR(
IF(AND(LEN(TRIM(B54))&gt;0,LEN(TRIM(C54))&gt;0),
AL55/AF55,
0
),
0
)</f>
        <v>0</v>
      </c>
      <c r="AK55" s="356">
        <f t="shared" ref="AK55" si="457">IFERROR(
IF(AND(LEN(TRIM(B54))&gt;0,LEN(TRIM(C54))&gt;0),
AJ55/AI55,
0
),
0
)</f>
        <v>0</v>
      </c>
      <c r="AL55" s="357">
        <f t="shared" ref="AL55" si="458">IFERROR(
IF(AND(LEN(TRIM(B54))&gt;0,LEN(TRIM(C54))&gt;0),
AB55/L55,
0
),
0
)</f>
        <v>0</v>
      </c>
    </row>
    <row r="56" spans="1:38" ht="17.100000000000001" customHeight="1">
      <c r="A56" s="424">
        <f t="shared" ref="A56" si="459">A54+1</f>
        <v>25</v>
      </c>
      <c r="B56" s="426">
        <f>'Bang TH nop'!B57</f>
        <v>0</v>
      </c>
      <c r="C56" s="421">
        <f>IFERROR(IF(LEN(TRIM(B56))&gt;0,'Bang TH nop'!C57,""),"")</f>
        <v>0</v>
      </c>
      <c r="D56" s="398">
        <f>IFERROR(IF(AND(LEN(TRIM(B56))&gt;0,LEN(TRIM(C56))&gt;0),'Bang TH nop'!AO57,""),"")</f>
        <v>0</v>
      </c>
      <c r="E56" s="399"/>
      <c r="F56" s="340"/>
      <c r="G56" s="341"/>
      <c r="H56" s="341"/>
      <c r="I56" s="342">
        <f>IFERROR(IF(AND(LEN(TRIM(B56))&gt;0,LEN(TRIM(C56))&gt;0),'Bang TH nop'!BB57,0),0)</f>
        <v>0</v>
      </c>
      <c r="J56" s="342">
        <f>IFERROR(IF(AND(LEN(TRIM(B56))&gt;0,LEN(TRIM(C56))&gt;0),'Bang TH nop'!AV57,0),0)</f>
        <v>0</v>
      </c>
      <c r="K56" s="342">
        <f>IFERROR(IF(AND(LEN(TRIM(B56))&gt;0,LEN(TRIM(C56))&gt;0),'Bang TH nop'!AR57,0),0)</f>
        <v>0</v>
      </c>
      <c r="L56" s="343">
        <f>IFERROR(IF(AND(LEN(TRIM(B56))&gt;0,LEN(TRIM(C56))&gt;0),'Bang TH nop'!AS57,0),0)</f>
        <v>0</v>
      </c>
      <c r="M56" s="342">
        <f>IFERROR(IF(AND(LEN(TRIM(B56))&gt;0,LEN(TRIM(C56))&gt;0),'Bang TH nop'!AT57,0),0)</f>
        <v>0</v>
      </c>
      <c r="N56" s="344">
        <f>IFERROR(IF(AND(LEN(TRIM(B56))&gt;0,LEN(TRIM(C56))&gt;0),'Bang TH nop'!AU57,0),0)</f>
        <v>0</v>
      </c>
      <c r="O56" s="342">
        <f>IFERROR(IF(AND(LEN(TRIM(B56))&gt;0,LEN(TRIM(C56))&gt;0),'Bang TH nop'!BE57,0),0)</f>
        <v>0</v>
      </c>
      <c r="P56" s="345">
        <f>IFERROR(IF(AND(LEN(TRIM(B56))&gt;0,LEN(TRIM(C56))&gt;0),'Bang TH nop'!AZ57,0),0)</f>
        <v>0</v>
      </c>
      <c r="Q56" s="343"/>
      <c r="R56" s="342"/>
      <c r="S56" s="342"/>
      <c r="T56" s="342"/>
      <c r="U56" s="341"/>
      <c r="V56" s="341"/>
      <c r="W56" s="341"/>
      <c r="X56" s="341"/>
      <c r="Y56" s="341"/>
      <c r="Z56" s="341"/>
      <c r="AA56" s="340" t="str">
        <f>IFERROR(
IF(AND(LEN(TRIM(B56))&gt;0,LEN(TRIM(C56))&gt;0),
'Bang TH nop'!AH57,
0
),
0
)</f>
        <v>A</v>
      </c>
      <c r="AB56" s="346"/>
      <c r="AC56" s="346"/>
      <c r="AD56" s="341"/>
      <c r="AE56" s="346"/>
      <c r="AF56" s="347"/>
      <c r="AG56" s="348"/>
      <c r="AH56" s="349"/>
      <c r="AI56" s="350"/>
      <c r="AJ56" s="351"/>
      <c r="AK56" s="350"/>
      <c r="AL56" s="352"/>
    </row>
    <row r="57" spans="1:38" ht="17.100000000000001" customHeight="1">
      <c r="A57" s="425"/>
      <c r="B57" s="426"/>
      <c r="C57" s="422"/>
      <c r="D57" s="397">
        <f>IFERROR(IF(AND(LEN(TRIM(B56))&gt;0,LEN(TRIM(C56))&gt;0),'Bang TH nop'!AP57,""),"")</f>
        <v>0</v>
      </c>
      <c r="E57" s="397"/>
      <c r="F57" s="353">
        <f>IFERROR(IF(AND(LEN(TRIM(B56))&gt;0,LEN(TRIM(C56))&gt;0),'Bang TH nop'!AL57,0),0)</f>
        <v>0</v>
      </c>
      <c r="G57" s="340">
        <f t="shared" ref="G57" si="460">D57*I56/26</f>
        <v>0</v>
      </c>
      <c r="H57" s="340">
        <f t="shared" ref="H57" si="461">D57*J56*150%/(26*8)</f>
        <v>0</v>
      </c>
      <c r="I57" s="340"/>
      <c r="J57" s="340"/>
      <c r="K57" s="344">
        <f t="shared" ref="K57" si="462">IFERROR(
IF(AND(LEN(TRIM(B56))&gt;0,LEN(TRIM(C56))&gt;0),
ROUND(D57/26*K56,0),
0
),
0
)</f>
        <v>0</v>
      </c>
      <c r="L57" s="344">
        <f t="shared" ref="L57" si="463">IFERROR(
IF(AND(LEN(TRIM(B56))&gt;0,LEN(TRIM(C56))&gt;0),
ROUND(D57/26*L56,0),
0
),
0
)</f>
        <v>0</v>
      </c>
      <c r="M57" s="344">
        <f t="shared" ref="M57" si="464">IFERROR(
IF(AND(LEN(TRIM(B56))&gt;0,LEN(TRIM(C56))&gt;0),
ROUND(D57/26*M56,0),
0
),
0
)</f>
        <v>0</v>
      </c>
      <c r="N57" s="344">
        <f t="shared" ref="N57" si="465">IFERROR(
IF(AND(LEN(TRIM(B56))&gt;0,LEN(TRIM(C56))&gt;0),
D57*N56/(26*8),
0
),
0
)</f>
        <v>0</v>
      </c>
      <c r="O57" s="344">
        <f t="shared" ref="O57" si="466">IFERROR(
IF(AND(LEN(TRIM(B56))&gt;0,LEN(TRIM(C56))&gt;0),
D57*O56/(26*8),
0
),
0
)</f>
        <v>0</v>
      </c>
      <c r="P57" s="344">
        <f t="shared" ref="P57" si="467">IFERROR(
IF(AND(LEN(TRIM(B56))&gt;0,LEN(TRIM(C56))&gt;0),
(D57/26/8*P56),
0
),
0
)</f>
        <v>0</v>
      </c>
      <c r="Q57" s="344">
        <f>IFERROR(
IF(AND(LEN(TRIM(B56))&gt;0,LEN(TRIM(C56))&gt;0),
'Bang TH nop'!BC57,
0
),
0
)</f>
        <v>0</v>
      </c>
      <c r="R57" s="340">
        <f>IFERROR(
IF(AND(LEN(TRIM(B56))&gt;0,LEN(TRIM(C56))&gt;0),
'Bang TH nop'!BD57,
0
),
0
)</f>
        <v>0</v>
      </c>
      <c r="S57" s="340">
        <f>IFERROR(
IF(AND(LEN(TRIM(B56))&gt;0,LEN(TRIM(C56))&gt;0),
'Bang TH nop'!BJ57,
0
),
0
)</f>
        <v>0</v>
      </c>
      <c r="T57" s="340">
        <f>IFERROR(
IF(AND(LEN(TRIM(B56))&gt;0,LEN(TRIM(C56))&gt;0),
IFERROR('Bang TH nop'!AW57,0)+IFERROR('Bang TH nop'!BH57,0),
0
),
0
)</f>
        <v>0</v>
      </c>
      <c r="U57" s="344"/>
      <c r="V57" s="344"/>
      <c r="W57" s="344"/>
      <c r="X57" s="340">
        <f t="shared" ref="X57" si="468">+IF(G57-I57&lt;0,0,G57-I57)</f>
        <v>0</v>
      </c>
      <c r="Y57" s="340">
        <f t="shared" ref="Y57" si="469">+IF(H57-J57&lt;0,0, H57-J57)</f>
        <v>0</v>
      </c>
      <c r="Z57" s="340">
        <f t="shared" ref="Z57" si="470">IFERROR(
IF(AND(LEN(TRIM(B56))&gt;0,LEN(TRIM(C56))&gt;0),
(X57+Y57)*25%,
0
),
0
)</f>
        <v>0</v>
      </c>
      <c r="AA57" s="340">
        <f>IFERROR(
IF(AND(LEN(TRIM(B56))&gt;0,LEN(TRIM(C56))&gt;0),
'Bang TH nop'!BG57,
0
),
0
)</f>
        <v>0</v>
      </c>
      <c r="AB57" s="344">
        <f t="shared" ref="AB57" si="471">IFERROR(
IF(AND(LEN(TRIM(B56))&gt;0,LEN(TRIM(C56))&gt;0),
SUM(I57:W57)+IFERROR(Z57,0)+IFERROR(AA57,0),
0
),
0
)</f>
        <v>0</v>
      </c>
      <c r="AC57" s="340">
        <f t="shared" ref="AC57" si="472">IFERROR(
IF(AND(LEN(TRIM(B56))&gt;0,LEN(TRIM(C56))&gt;0),
IF((26-(IFERROR(I56,0)+IFERROR(K56,0)+IFERROR(L56,0)+IFERROR(M56,0)))&gt;12,0,D57*10.5%),
0
),
0
)</f>
        <v>0</v>
      </c>
      <c r="AD57" s="340">
        <f t="shared" ref="AD57" si="473">IFERROR(
IF(AND(LEN(TRIM(B56))&gt;0,LEN(TRIM(C56))&gt;0),
ROUND(IF(D57=4939000,D57*0.5%,0),-2),
0
),
0
)</f>
        <v>0</v>
      </c>
      <c r="AE57" s="344">
        <f t="shared" ref="AE57" si="474">IFERROR(
IF(AND(LEN(TRIM(B56))&gt;0,LEN(TRIM(C56))&gt;0),
ROUND(IFERROR(AB57,0)-IFERROR(AC57,0)-IFERROR(AD57,0),-2),
0
),
0
)</f>
        <v>0</v>
      </c>
      <c r="AF57" s="347">
        <f>IFERROR(
IF(AND(LEN(TRIM(B56))&gt;0,LEN(TRIM(C56))&gt;0),
IFERROR('Bang TH nop'!AQ57,0)+IFERROR('Bang TH nop'!AT57,0)+IFERROR('Bang TH nop'!BF57,0),
0
),
0
)</f>
        <v>0</v>
      </c>
      <c r="AG57" s="348"/>
      <c r="AH57" s="354"/>
      <c r="AI57" s="355">
        <f t="shared" ref="AI57" si="475">IFERROR(
IF(AND(LEN(TRIM(B56))&gt;0,LEN(TRIM(C56))&gt;0),
AH57/AG57,
0
),
0
)</f>
        <v>0</v>
      </c>
      <c r="AJ57" s="355">
        <f t="shared" ref="AJ57" si="476">IFERROR(
IF(AND(LEN(TRIM(B56))&gt;0,LEN(TRIM(C56))&gt;0),
AL57/AF57,
0
),
0
)</f>
        <v>0</v>
      </c>
      <c r="AK57" s="356">
        <f t="shared" ref="AK57" si="477">IFERROR(
IF(AND(LEN(TRIM(B56))&gt;0,LEN(TRIM(C56))&gt;0),
AJ57/AI57,
0
),
0
)</f>
        <v>0</v>
      </c>
      <c r="AL57" s="357">
        <f t="shared" ref="AL57" si="478">IFERROR(
IF(AND(LEN(TRIM(B56))&gt;0,LEN(TRIM(C56))&gt;0),
AB57/L57,
0
),
0
)</f>
        <v>0</v>
      </c>
    </row>
    <row r="58" spans="1:38" ht="17.100000000000001" customHeight="1">
      <c r="A58" s="424">
        <f t="shared" ref="A58" si="479">A56+1</f>
        <v>26</v>
      </c>
      <c r="B58" s="426">
        <f>'Bang TH nop'!B59</f>
        <v>0</v>
      </c>
      <c r="C58" s="421">
        <f>IFERROR(IF(LEN(TRIM(B58))&gt;0,'Bang TH nop'!C59,""),"")</f>
        <v>0</v>
      </c>
      <c r="D58" s="398">
        <f>IFERROR(IF(AND(LEN(TRIM(B58))&gt;0,LEN(TRIM(C58))&gt;0),'Bang TH nop'!AO59,""),"")</f>
        <v>0</v>
      </c>
      <c r="E58" s="399"/>
      <c r="F58" s="340"/>
      <c r="G58" s="341"/>
      <c r="H58" s="341"/>
      <c r="I58" s="342">
        <f>IFERROR(IF(AND(LEN(TRIM(B58))&gt;0,LEN(TRIM(C58))&gt;0),'Bang TH nop'!BB59,0),0)</f>
        <v>0</v>
      </c>
      <c r="J58" s="342">
        <f>IFERROR(IF(AND(LEN(TRIM(B58))&gt;0,LEN(TRIM(C58))&gt;0),'Bang TH nop'!AV59,0),0)</f>
        <v>0</v>
      </c>
      <c r="K58" s="342">
        <f>IFERROR(IF(AND(LEN(TRIM(B58))&gt;0,LEN(TRIM(C58))&gt;0),'Bang TH nop'!AR59,0),0)</f>
        <v>0</v>
      </c>
      <c r="L58" s="343">
        <f>IFERROR(IF(AND(LEN(TRIM(B58))&gt;0,LEN(TRIM(C58))&gt;0),'Bang TH nop'!AS59,0),0)</f>
        <v>0</v>
      </c>
      <c r="M58" s="342">
        <f>IFERROR(IF(AND(LEN(TRIM(B58))&gt;0,LEN(TRIM(C58))&gt;0),'Bang TH nop'!AT59,0),0)</f>
        <v>0</v>
      </c>
      <c r="N58" s="344">
        <f>IFERROR(IF(AND(LEN(TRIM(B58))&gt;0,LEN(TRIM(C58))&gt;0),'Bang TH nop'!AU59,0),0)</f>
        <v>0</v>
      </c>
      <c r="O58" s="342">
        <f>IFERROR(IF(AND(LEN(TRIM(B58))&gt;0,LEN(TRIM(C58))&gt;0),'Bang TH nop'!BE59,0),0)</f>
        <v>0</v>
      </c>
      <c r="P58" s="345">
        <f>IFERROR(IF(AND(LEN(TRIM(B58))&gt;0,LEN(TRIM(C58))&gt;0),'Bang TH nop'!AZ59,0),0)</f>
        <v>0</v>
      </c>
      <c r="Q58" s="343"/>
      <c r="R58" s="342"/>
      <c r="S58" s="342"/>
      <c r="T58" s="342"/>
      <c r="U58" s="341"/>
      <c r="V58" s="341"/>
      <c r="W58" s="341"/>
      <c r="X58" s="341"/>
      <c r="Y58" s="341"/>
      <c r="Z58" s="341"/>
      <c r="AA58" s="340" t="str">
        <f>IFERROR(
IF(AND(LEN(TRIM(B58))&gt;0,LEN(TRIM(C58))&gt;0),
'Bang TH nop'!AH59,
0
),
0
)</f>
        <v>A</v>
      </c>
      <c r="AB58" s="346"/>
      <c r="AC58" s="346"/>
      <c r="AD58" s="341"/>
      <c r="AE58" s="346"/>
      <c r="AF58" s="347"/>
      <c r="AG58" s="348"/>
      <c r="AH58" s="349"/>
      <c r="AI58" s="350"/>
      <c r="AJ58" s="351"/>
      <c r="AK58" s="350"/>
      <c r="AL58" s="352"/>
    </row>
    <row r="59" spans="1:38" ht="17.100000000000001" customHeight="1">
      <c r="A59" s="425"/>
      <c r="B59" s="426"/>
      <c r="C59" s="422"/>
      <c r="D59" s="397">
        <f>IFERROR(IF(AND(LEN(TRIM(B58))&gt;0,LEN(TRIM(C58))&gt;0),'Bang TH nop'!AP59,""),"")</f>
        <v>0</v>
      </c>
      <c r="E59" s="397"/>
      <c r="F59" s="353">
        <f>IFERROR(IF(AND(LEN(TRIM(B58))&gt;0,LEN(TRIM(C58))&gt;0),'Bang TH nop'!AL59,0),0)</f>
        <v>0</v>
      </c>
      <c r="G59" s="340">
        <f t="shared" ref="G59" si="480">D59*I58/26</f>
        <v>0</v>
      </c>
      <c r="H59" s="340">
        <f t="shared" ref="H59" si="481">D59*J58*150%/(26*8)</f>
        <v>0</v>
      </c>
      <c r="I59" s="340"/>
      <c r="J59" s="340"/>
      <c r="K59" s="344">
        <f t="shared" ref="K59" si="482">IFERROR(
IF(AND(LEN(TRIM(B58))&gt;0,LEN(TRIM(C58))&gt;0),
ROUND(D59/26*K58,0),
0
),
0
)</f>
        <v>0</v>
      </c>
      <c r="L59" s="344">
        <f t="shared" ref="L59" si="483">IFERROR(
IF(AND(LEN(TRIM(B58))&gt;0,LEN(TRIM(C58))&gt;0),
ROUND(D59/26*L58,0),
0
),
0
)</f>
        <v>0</v>
      </c>
      <c r="M59" s="344">
        <f t="shared" ref="M59" si="484">IFERROR(
IF(AND(LEN(TRIM(B58))&gt;0,LEN(TRIM(C58))&gt;0),
ROUND(D59/26*M58,0),
0
),
0
)</f>
        <v>0</v>
      </c>
      <c r="N59" s="344">
        <f t="shared" ref="N59" si="485">IFERROR(
IF(AND(LEN(TRIM(B58))&gt;0,LEN(TRIM(C58))&gt;0),
D59*N58/(26*8),
0
),
0
)</f>
        <v>0</v>
      </c>
      <c r="O59" s="344">
        <f t="shared" ref="O59" si="486">IFERROR(
IF(AND(LEN(TRIM(B58))&gt;0,LEN(TRIM(C58))&gt;0),
D59*O58/(26*8),
0
),
0
)</f>
        <v>0</v>
      </c>
      <c r="P59" s="344">
        <f t="shared" ref="P59" si="487">IFERROR(
IF(AND(LEN(TRIM(B58))&gt;0,LEN(TRIM(C58))&gt;0),
(D59/26/8*P58),
0
),
0
)</f>
        <v>0</v>
      </c>
      <c r="Q59" s="344">
        <f>IFERROR(
IF(AND(LEN(TRIM(B58))&gt;0,LEN(TRIM(C58))&gt;0),
'Bang TH nop'!BC59,
0
),
0
)</f>
        <v>0</v>
      </c>
      <c r="R59" s="340">
        <f>IFERROR(
IF(AND(LEN(TRIM(B58))&gt;0,LEN(TRIM(C58))&gt;0),
'Bang TH nop'!BD59,
0
),
0
)</f>
        <v>0</v>
      </c>
      <c r="S59" s="340">
        <f>IFERROR(
IF(AND(LEN(TRIM(B58))&gt;0,LEN(TRIM(C58))&gt;0),
'Bang TH nop'!BJ59,
0
),
0
)</f>
        <v>0</v>
      </c>
      <c r="T59" s="340">
        <f>IFERROR(
IF(AND(LEN(TRIM(B58))&gt;0,LEN(TRIM(C58))&gt;0),
IFERROR('Bang TH nop'!AW59,0)+IFERROR('Bang TH nop'!BH59,0),
0
),
0
)</f>
        <v>0</v>
      </c>
      <c r="U59" s="344"/>
      <c r="V59" s="344"/>
      <c r="W59" s="344"/>
      <c r="X59" s="340">
        <f t="shared" ref="X59" si="488">+IF(G59-I59&lt;0,0,G59-I59)</f>
        <v>0</v>
      </c>
      <c r="Y59" s="340">
        <f t="shared" ref="Y59" si="489">+IF(H59-J59&lt;0,0, H59-J59)</f>
        <v>0</v>
      </c>
      <c r="Z59" s="340">
        <f t="shared" ref="Z59" si="490">IFERROR(
IF(AND(LEN(TRIM(B58))&gt;0,LEN(TRIM(C58))&gt;0),
(X59+Y59)*25%,
0
),
0
)</f>
        <v>0</v>
      </c>
      <c r="AA59" s="340">
        <f>IFERROR(
IF(AND(LEN(TRIM(B58))&gt;0,LEN(TRIM(C58))&gt;0),
'Bang TH nop'!BG59,
0
),
0
)</f>
        <v>0</v>
      </c>
      <c r="AB59" s="344">
        <f t="shared" ref="AB59" si="491">IFERROR(
IF(AND(LEN(TRIM(B58))&gt;0,LEN(TRIM(C58))&gt;0),
SUM(I59:W59)+IFERROR(Z59,0)+IFERROR(AA59,0),
0
),
0
)</f>
        <v>0</v>
      </c>
      <c r="AC59" s="340">
        <f t="shared" ref="AC59" si="492">IFERROR(
IF(AND(LEN(TRIM(B58))&gt;0,LEN(TRIM(C58))&gt;0),
IF((26-(IFERROR(I58,0)+IFERROR(K58,0)+IFERROR(L58,0)+IFERROR(M58,0)))&gt;12,0,D59*10.5%),
0
),
0
)</f>
        <v>0</v>
      </c>
      <c r="AD59" s="340">
        <f t="shared" ref="AD59" si="493">IFERROR(
IF(AND(LEN(TRIM(B58))&gt;0,LEN(TRIM(C58))&gt;0),
ROUND(IF(D59=4939000,D59*0.5%,0),-2),
0
),
0
)</f>
        <v>0</v>
      </c>
      <c r="AE59" s="344">
        <f t="shared" ref="AE59" si="494">IFERROR(
IF(AND(LEN(TRIM(B58))&gt;0,LEN(TRIM(C58))&gt;0),
ROUND(IFERROR(AB59,0)-IFERROR(AC59,0)-IFERROR(AD59,0),-2),
0
),
0
)</f>
        <v>0</v>
      </c>
      <c r="AF59" s="347">
        <f>IFERROR(
IF(AND(LEN(TRIM(B58))&gt;0,LEN(TRIM(C58))&gt;0),
IFERROR('Bang TH nop'!AQ59,0)+IFERROR('Bang TH nop'!AT59,0)+IFERROR('Bang TH nop'!BF59,0),
0
),
0
)</f>
        <v>0</v>
      </c>
      <c r="AG59" s="348"/>
      <c r="AH59" s="354"/>
      <c r="AI59" s="355">
        <f t="shared" ref="AI59" si="495">IFERROR(
IF(AND(LEN(TRIM(B58))&gt;0,LEN(TRIM(C58))&gt;0),
AH59/AG59,
0
),
0
)</f>
        <v>0</v>
      </c>
      <c r="AJ59" s="355">
        <f t="shared" ref="AJ59" si="496">IFERROR(
IF(AND(LEN(TRIM(B58))&gt;0,LEN(TRIM(C58))&gt;0),
AL59/AF59,
0
),
0
)</f>
        <v>0</v>
      </c>
      <c r="AK59" s="356">
        <f t="shared" ref="AK59" si="497">IFERROR(
IF(AND(LEN(TRIM(B58))&gt;0,LEN(TRIM(C58))&gt;0),
AJ59/AI59,
0
),
0
)</f>
        <v>0</v>
      </c>
      <c r="AL59" s="357">
        <f t="shared" ref="AL59" si="498">IFERROR(
IF(AND(LEN(TRIM(B58))&gt;0,LEN(TRIM(C58))&gt;0),
AB59/L59,
0
),
0
)</f>
        <v>0</v>
      </c>
    </row>
    <row r="60" spans="1:38" ht="17.100000000000001" customHeight="1">
      <c r="A60" s="424">
        <f t="shared" ref="A60" si="499">A58+1</f>
        <v>27</v>
      </c>
      <c r="B60" s="426">
        <f>'Bang TH nop'!B61</f>
        <v>0</v>
      </c>
      <c r="C60" s="421">
        <f>IFERROR(IF(LEN(TRIM(B60))&gt;0,'Bang TH nop'!C61,""),"")</f>
        <v>0</v>
      </c>
      <c r="D60" s="398">
        <f>IFERROR(IF(AND(LEN(TRIM(B60))&gt;0,LEN(TRIM(C60))&gt;0),'Bang TH nop'!AO61,""),"")</f>
        <v>0</v>
      </c>
      <c r="E60" s="399"/>
      <c r="F60" s="340"/>
      <c r="G60" s="341"/>
      <c r="H60" s="341"/>
      <c r="I60" s="342">
        <f>IFERROR(IF(AND(LEN(TRIM(B60))&gt;0,LEN(TRIM(C60))&gt;0),'Bang TH nop'!BB61,0),0)</f>
        <v>0</v>
      </c>
      <c r="J60" s="342">
        <f>IFERROR(IF(AND(LEN(TRIM(B60))&gt;0,LEN(TRIM(C60))&gt;0),'Bang TH nop'!AV61,0),0)</f>
        <v>0</v>
      </c>
      <c r="K60" s="342">
        <f>IFERROR(IF(AND(LEN(TRIM(B60))&gt;0,LEN(TRIM(C60))&gt;0),'Bang TH nop'!AR61,0),0)</f>
        <v>0</v>
      </c>
      <c r="L60" s="343">
        <f>IFERROR(IF(AND(LEN(TRIM(B60))&gt;0,LEN(TRIM(C60))&gt;0),'Bang TH nop'!AS61,0),0)</f>
        <v>0</v>
      </c>
      <c r="M60" s="342">
        <f>IFERROR(IF(AND(LEN(TRIM(B60))&gt;0,LEN(TRIM(C60))&gt;0),'Bang TH nop'!AT61,0),0)</f>
        <v>0</v>
      </c>
      <c r="N60" s="344">
        <f>IFERROR(IF(AND(LEN(TRIM(B60))&gt;0,LEN(TRIM(C60))&gt;0),'Bang TH nop'!AU61,0),0)</f>
        <v>0</v>
      </c>
      <c r="O60" s="342">
        <f>IFERROR(IF(AND(LEN(TRIM(B60))&gt;0,LEN(TRIM(C60))&gt;0),'Bang TH nop'!BE61,0),0)</f>
        <v>0</v>
      </c>
      <c r="P60" s="345">
        <f>IFERROR(IF(AND(LEN(TRIM(B60))&gt;0,LEN(TRIM(C60))&gt;0),'Bang TH nop'!AZ61,0),0)</f>
        <v>0</v>
      </c>
      <c r="Q60" s="343"/>
      <c r="R60" s="342"/>
      <c r="S60" s="342"/>
      <c r="T60" s="342"/>
      <c r="U60" s="341"/>
      <c r="V60" s="341"/>
      <c r="W60" s="341"/>
      <c r="X60" s="341"/>
      <c r="Y60" s="341"/>
      <c r="Z60" s="341"/>
      <c r="AA60" s="340" t="str">
        <f>IFERROR(
IF(AND(LEN(TRIM(B60))&gt;0,LEN(TRIM(C60))&gt;0),
'Bang TH nop'!AH61,
0
),
0
)</f>
        <v>A</v>
      </c>
      <c r="AB60" s="346"/>
      <c r="AC60" s="346"/>
      <c r="AD60" s="341"/>
      <c r="AE60" s="346"/>
      <c r="AF60" s="347"/>
      <c r="AG60" s="348"/>
      <c r="AH60" s="349"/>
      <c r="AI60" s="350"/>
      <c r="AJ60" s="351"/>
      <c r="AK60" s="350"/>
      <c r="AL60" s="352"/>
    </row>
    <row r="61" spans="1:38" ht="17.100000000000001" customHeight="1">
      <c r="A61" s="425"/>
      <c r="B61" s="426"/>
      <c r="C61" s="422"/>
      <c r="D61" s="397">
        <f>IFERROR(IF(AND(LEN(TRIM(B60))&gt;0,LEN(TRIM(C60))&gt;0),'Bang TH nop'!AP61,""),"")</f>
        <v>0</v>
      </c>
      <c r="E61" s="397"/>
      <c r="F61" s="353">
        <f>IFERROR(IF(AND(LEN(TRIM(B60))&gt;0,LEN(TRIM(C60))&gt;0),'Bang TH nop'!AL61,0),0)</f>
        <v>0</v>
      </c>
      <c r="G61" s="340">
        <f t="shared" ref="G61" si="500">D61*I60/26</f>
        <v>0</v>
      </c>
      <c r="H61" s="340">
        <f t="shared" ref="H61" si="501">D61*J60*150%/(26*8)</f>
        <v>0</v>
      </c>
      <c r="I61" s="340"/>
      <c r="J61" s="340"/>
      <c r="K61" s="344">
        <f t="shared" ref="K61" si="502">IFERROR(
IF(AND(LEN(TRIM(B60))&gt;0,LEN(TRIM(C60))&gt;0),
ROUND(D61/26*K60,0),
0
),
0
)</f>
        <v>0</v>
      </c>
      <c r="L61" s="344">
        <f t="shared" ref="L61" si="503">IFERROR(
IF(AND(LEN(TRIM(B60))&gt;0,LEN(TRIM(C60))&gt;0),
ROUND(D61/26*L60,0),
0
),
0
)</f>
        <v>0</v>
      </c>
      <c r="M61" s="344">
        <f t="shared" ref="M61" si="504">IFERROR(
IF(AND(LEN(TRIM(B60))&gt;0,LEN(TRIM(C60))&gt;0),
ROUND(D61/26*M60,0),
0
),
0
)</f>
        <v>0</v>
      </c>
      <c r="N61" s="344">
        <f t="shared" ref="N61" si="505">IFERROR(
IF(AND(LEN(TRIM(B60))&gt;0,LEN(TRIM(C60))&gt;0),
D61*N60/(26*8),
0
),
0
)</f>
        <v>0</v>
      </c>
      <c r="O61" s="344">
        <f t="shared" ref="O61" si="506">IFERROR(
IF(AND(LEN(TRIM(B60))&gt;0,LEN(TRIM(C60))&gt;0),
D61*O60/(26*8),
0
),
0
)</f>
        <v>0</v>
      </c>
      <c r="P61" s="344">
        <f t="shared" ref="P61" si="507">IFERROR(
IF(AND(LEN(TRIM(B60))&gt;0,LEN(TRIM(C60))&gt;0),
(D61/26/8*P60),
0
),
0
)</f>
        <v>0</v>
      </c>
      <c r="Q61" s="344">
        <f>IFERROR(
IF(AND(LEN(TRIM(B60))&gt;0,LEN(TRIM(C60))&gt;0),
'Bang TH nop'!BC61,
0
),
0
)</f>
        <v>0</v>
      </c>
      <c r="R61" s="340">
        <f>IFERROR(
IF(AND(LEN(TRIM(B60))&gt;0,LEN(TRIM(C60))&gt;0),
'Bang TH nop'!BD61,
0
),
0
)</f>
        <v>0</v>
      </c>
      <c r="S61" s="340">
        <f>IFERROR(
IF(AND(LEN(TRIM(B60))&gt;0,LEN(TRIM(C60))&gt;0),
'Bang TH nop'!BJ61,
0
),
0
)</f>
        <v>0</v>
      </c>
      <c r="T61" s="340">
        <f>IFERROR(
IF(AND(LEN(TRIM(B60))&gt;0,LEN(TRIM(C60))&gt;0),
IFERROR('Bang TH nop'!AW61,0)+IFERROR('Bang TH nop'!BH61,0),
0
),
0
)</f>
        <v>0</v>
      </c>
      <c r="U61" s="344"/>
      <c r="V61" s="344"/>
      <c r="W61" s="344"/>
      <c r="X61" s="340">
        <f t="shared" ref="X61" si="508">+IF(G61-I61&lt;0,0,G61-I61)</f>
        <v>0</v>
      </c>
      <c r="Y61" s="340">
        <f t="shared" ref="Y61" si="509">+IF(H61-J61&lt;0,0, H61-J61)</f>
        <v>0</v>
      </c>
      <c r="Z61" s="340">
        <f t="shared" ref="Z61" si="510">IFERROR(
IF(AND(LEN(TRIM(B60))&gt;0,LEN(TRIM(C60))&gt;0),
(X61+Y61)*25%,
0
),
0
)</f>
        <v>0</v>
      </c>
      <c r="AA61" s="340">
        <f>IFERROR(
IF(AND(LEN(TRIM(B60))&gt;0,LEN(TRIM(C60))&gt;0),
'Bang TH nop'!BG61,
0
),
0
)</f>
        <v>0</v>
      </c>
      <c r="AB61" s="344">
        <f t="shared" ref="AB61" si="511">IFERROR(
IF(AND(LEN(TRIM(B60))&gt;0,LEN(TRIM(C60))&gt;0),
SUM(I61:W61)+IFERROR(Z61,0)+IFERROR(AA61,0),
0
),
0
)</f>
        <v>0</v>
      </c>
      <c r="AC61" s="340">
        <f t="shared" ref="AC61" si="512">IFERROR(
IF(AND(LEN(TRIM(B60))&gt;0,LEN(TRIM(C60))&gt;0),
IF((26-(IFERROR(I60,0)+IFERROR(K60,0)+IFERROR(L60,0)+IFERROR(M60,0)))&gt;12,0,D61*10.5%),
0
),
0
)</f>
        <v>0</v>
      </c>
      <c r="AD61" s="340">
        <f t="shared" ref="AD61" si="513">IFERROR(
IF(AND(LEN(TRIM(B60))&gt;0,LEN(TRIM(C60))&gt;0),
ROUND(IF(D61=4939000,D61*0.5%,0),-2),
0
),
0
)</f>
        <v>0</v>
      </c>
      <c r="AE61" s="344">
        <f t="shared" ref="AE61" si="514">IFERROR(
IF(AND(LEN(TRIM(B60))&gt;0,LEN(TRIM(C60))&gt;0),
ROUND(IFERROR(AB61,0)-IFERROR(AC61,0)-IFERROR(AD61,0),-2),
0
),
0
)</f>
        <v>0</v>
      </c>
      <c r="AF61" s="347">
        <f>IFERROR(
IF(AND(LEN(TRIM(B60))&gt;0,LEN(TRIM(C60))&gt;0),
IFERROR('Bang TH nop'!AQ61,0)+IFERROR('Bang TH nop'!AT61,0)+IFERROR('Bang TH nop'!BF61,0),
0
),
0
)</f>
        <v>0</v>
      </c>
      <c r="AG61" s="348"/>
      <c r="AH61" s="354"/>
      <c r="AI61" s="355">
        <f t="shared" ref="AI61" si="515">IFERROR(
IF(AND(LEN(TRIM(B60))&gt;0,LEN(TRIM(C60))&gt;0),
AH61/AG61,
0
),
0
)</f>
        <v>0</v>
      </c>
      <c r="AJ61" s="355">
        <f t="shared" ref="AJ61" si="516">IFERROR(
IF(AND(LEN(TRIM(B60))&gt;0,LEN(TRIM(C60))&gt;0),
AL61/AF61,
0
),
0
)</f>
        <v>0</v>
      </c>
      <c r="AK61" s="356">
        <f t="shared" ref="AK61" si="517">IFERROR(
IF(AND(LEN(TRIM(B60))&gt;0,LEN(TRIM(C60))&gt;0),
AJ61/AI61,
0
),
0
)</f>
        <v>0</v>
      </c>
      <c r="AL61" s="357">
        <f t="shared" ref="AL61" si="518">IFERROR(
IF(AND(LEN(TRIM(B60))&gt;0,LEN(TRIM(C60))&gt;0),
AB61/L61,
0
),
0
)</f>
        <v>0</v>
      </c>
    </row>
    <row r="62" spans="1:38" ht="17.100000000000001" customHeight="1">
      <c r="A62" s="424">
        <f t="shared" ref="A62" si="519">A60+1</f>
        <v>28</v>
      </c>
      <c r="B62" s="426">
        <f>'Bang TH nop'!B63</f>
        <v>0</v>
      </c>
      <c r="C62" s="421">
        <f>IFERROR(IF(LEN(TRIM(B62))&gt;0,'Bang TH nop'!C63,""),"")</f>
        <v>0</v>
      </c>
      <c r="D62" s="398">
        <f>IFERROR(IF(AND(LEN(TRIM(B62))&gt;0,LEN(TRIM(C62))&gt;0),'Bang TH nop'!AO63,""),"")</f>
        <v>0</v>
      </c>
      <c r="E62" s="399"/>
      <c r="F62" s="340"/>
      <c r="G62" s="341"/>
      <c r="H62" s="341"/>
      <c r="I62" s="342">
        <f>IFERROR(IF(AND(LEN(TRIM(B62))&gt;0,LEN(TRIM(C62))&gt;0),'Bang TH nop'!BB63,0),0)</f>
        <v>0</v>
      </c>
      <c r="J62" s="342">
        <f>IFERROR(IF(AND(LEN(TRIM(B62))&gt;0,LEN(TRIM(C62))&gt;0),'Bang TH nop'!AV63,0),0)</f>
        <v>0</v>
      </c>
      <c r="K62" s="342">
        <f>IFERROR(IF(AND(LEN(TRIM(B62))&gt;0,LEN(TRIM(C62))&gt;0),'Bang TH nop'!AR63,0),0)</f>
        <v>0</v>
      </c>
      <c r="L62" s="343">
        <f>IFERROR(IF(AND(LEN(TRIM(B62))&gt;0,LEN(TRIM(C62))&gt;0),'Bang TH nop'!AS63,0),0)</f>
        <v>0</v>
      </c>
      <c r="M62" s="342">
        <f>IFERROR(IF(AND(LEN(TRIM(B62))&gt;0,LEN(TRIM(C62))&gt;0),'Bang TH nop'!AT63,0),0)</f>
        <v>0</v>
      </c>
      <c r="N62" s="344">
        <f>IFERROR(IF(AND(LEN(TRIM(B62))&gt;0,LEN(TRIM(C62))&gt;0),'Bang TH nop'!AU63,0),0)</f>
        <v>0</v>
      </c>
      <c r="O62" s="342">
        <f>IFERROR(IF(AND(LEN(TRIM(B62))&gt;0,LEN(TRIM(C62))&gt;0),'Bang TH nop'!BE63,0),0)</f>
        <v>0</v>
      </c>
      <c r="P62" s="345">
        <f>IFERROR(IF(AND(LEN(TRIM(B62))&gt;0,LEN(TRIM(C62))&gt;0),'Bang TH nop'!AZ63,0),0)</f>
        <v>0</v>
      </c>
      <c r="Q62" s="343"/>
      <c r="R62" s="342"/>
      <c r="S62" s="342"/>
      <c r="T62" s="342"/>
      <c r="U62" s="341"/>
      <c r="V62" s="341"/>
      <c r="W62" s="341"/>
      <c r="X62" s="341"/>
      <c r="Y62" s="341"/>
      <c r="Z62" s="341"/>
      <c r="AA62" s="340" t="str">
        <f>IFERROR(
IF(AND(LEN(TRIM(B62))&gt;0,LEN(TRIM(C62))&gt;0),
'Bang TH nop'!AH63,
0
),
0
)</f>
        <v>A</v>
      </c>
      <c r="AB62" s="346"/>
      <c r="AC62" s="346"/>
      <c r="AD62" s="341"/>
      <c r="AE62" s="346"/>
      <c r="AF62" s="347"/>
      <c r="AG62" s="348"/>
      <c r="AH62" s="349"/>
      <c r="AI62" s="350"/>
      <c r="AJ62" s="351"/>
      <c r="AK62" s="350"/>
      <c r="AL62" s="352"/>
    </row>
    <row r="63" spans="1:38" ht="17.100000000000001" customHeight="1">
      <c r="A63" s="425"/>
      <c r="B63" s="426"/>
      <c r="C63" s="422"/>
      <c r="D63" s="397">
        <f>IFERROR(IF(AND(LEN(TRIM(B62))&gt;0,LEN(TRIM(C62))&gt;0),'Bang TH nop'!AP63,""),"")</f>
        <v>0</v>
      </c>
      <c r="E63" s="397"/>
      <c r="F63" s="353">
        <f>IFERROR(IF(AND(LEN(TRIM(B62))&gt;0,LEN(TRIM(C62))&gt;0),'Bang TH nop'!AL63,0),0)</f>
        <v>0</v>
      </c>
      <c r="G63" s="340">
        <f t="shared" ref="G63" si="520">D63*I62/26</f>
        <v>0</v>
      </c>
      <c r="H63" s="340">
        <f t="shared" ref="H63" si="521">D63*J62*150%/(26*8)</f>
        <v>0</v>
      </c>
      <c r="I63" s="340"/>
      <c r="J63" s="340"/>
      <c r="K63" s="344">
        <f t="shared" ref="K63" si="522">IFERROR(
IF(AND(LEN(TRIM(B62))&gt;0,LEN(TRIM(C62))&gt;0),
ROUND(D63/26*K62,0),
0
),
0
)</f>
        <v>0</v>
      </c>
      <c r="L63" s="344">
        <f t="shared" ref="L63" si="523">IFERROR(
IF(AND(LEN(TRIM(B62))&gt;0,LEN(TRIM(C62))&gt;0),
ROUND(D63/26*L62,0),
0
),
0
)</f>
        <v>0</v>
      </c>
      <c r="M63" s="344">
        <f t="shared" ref="M63" si="524">IFERROR(
IF(AND(LEN(TRIM(B62))&gt;0,LEN(TRIM(C62))&gt;0),
ROUND(D63/26*M62,0),
0
),
0
)</f>
        <v>0</v>
      </c>
      <c r="N63" s="344">
        <f t="shared" ref="N63" si="525">IFERROR(
IF(AND(LEN(TRIM(B62))&gt;0,LEN(TRIM(C62))&gt;0),
D63*N62/(26*8),
0
),
0
)</f>
        <v>0</v>
      </c>
      <c r="O63" s="344">
        <f t="shared" ref="O63" si="526">IFERROR(
IF(AND(LEN(TRIM(B62))&gt;0,LEN(TRIM(C62))&gt;0),
D63*O62/(26*8),
0
),
0
)</f>
        <v>0</v>
      </c>
      <c r="P63" s="344">
        <f t="shared" ref="P63" si="527">IFERROR(
IF(AND(LEN(TRIM(B62))&gt;0,LEN(TRIM(C62))&gt;0),
(D63/26/8*P62),
0
),
0
)</f>
        <v>0</v>
      </c>
      <c r="Q63" s="344">
        <f>IFERROR(
IF(AND(LEN(TRIM(B62))&gt;0,LEN(TRIM(C62))&gt;0),
'Bang TH nop'!BC63,
0
),
0
)</f>
        <v>0</v>
      </c>
      <c r="R63" s="340">
        <f>IFERROR(
IF(AND(LEN(TRIM(B62))&gt;0,LEN(TRIM(C62))&gt;0),
'Bang TH nop'!BD63,
0
),
0
)</f>
        <v>0</v>
      </c>
      <c r="S63" s="340">
        <f>IFERROR(
IF(AND(LEN(TRIM(B62))&gt;0,LEN(TRIM(C62))&gt;0),
'Bang TH nop'!BJ63,
0
),
0
)</f>
        <v>0</v>
      </c>
      <c r="T63" s="340">
        <f>IFERROR(
IF(AND(LEN(TRIM(B62))&gt;0,LEN(TRIM(C62))&gt;0),
IFERROR('Bang TH nop'!AW63,0)+IFERROR('Bang TH nop'!BH63,0),
0
),
0
)</f>
        <v>0</v>
      </c>
      <c r="U63" s="344"/>
      <c r="V63" s="344"/>
      <c r="W63" s="344"/>
      <c r="X63" s="340">
        <f t="shared" ref="X63" si="528">+IF(G63-I63&lt;0,0,G63-I63)</f>
        <v>0</v>
      </c>
      <c r="Y63" s="340">
        <f t="shared" ref="Y63" si="529">+IF(H63-J63&lt;0,0, H63-J63)</f>
        <v>0</v>
      </c>
      <c r="Z63" s="340">
        <f t="shared" ref="Z63" si="530">IFERROR(
IF(AND(LEN(TRIM(B62))&gt;0,LEN(TRIM(C62))&gt;0),
(X63+Y63)*25%,
0
),
0
)</f>
        <v>0</v>
      </c>
      <c r="AA63" s="340">
        <f>IFERROR(
IF(AND(LEN(TRIM(B62))&gt;0,LEN(TRIM(C62))&gt;0),
'Bang TH nop'!BG63,
0
),
0
)</f>
        <v>0</v>
      </c>
      <c r="AB63" s="344">
        <f t="shared" ref="AB63" si="531">IFERROR(
IF(AND(LEN(TRIM(B62))&gt;0,LEN(TRIM(C62))&gt;0),
SUM(I63:W63)+IFERROR(Z63,0)+IFERROR(AA63,0),
0
),
0
)</f>
        <v>0</v>
      </c>
      <c r="AC63" s="340">
        <f t="shared" ref="AC63" si="532">IFERROR(
IF(AND(LEN(TRIM(B62))&gt;0,LEN(TRIM(C62))&gt;0),
IF((26-(IFERROR(I62,0)+IFERROR(K62,0)+IFERROR(L62,0)+IFERROR(M62,0)))&gt;12,0,D63*10.5%),
0
),
0
)</f>
        <v>0</v>
      </c>
      <c r="AD63" s="340">
        <f t="shared" ref="AD63" si="533">IFERROR(
IF(AND(LEN(TRIM(B62))&gt;0,LEN(TRIM(C62))&gt;0),
ROUND(IF(D63=4939000,D63*0.5%,0),-2),
0
),
0
)</f>
        <v>0</v>
      </c>
      <c r="AE63" s="344">
        <f t="shared" ref="AE63" si="534">IFERROR(
IF(AND(LEN(TRIM(B62))&gt;0,LEN(TRIM(C62))&gt;0),
ROUND(IFERROR(AB63,0)-IFERROR(AC63,0)-IFERROR(AD63,0),-2),
0
),
0
)</f>
        <v>0</v>
      </c>
      <c r="AF63" s="347">
        <f>IFERROR(
IF(AND(LEN(TRIM(B62))&gt;0,LEN(TRIM(C62))&gt;0),
IFERROR('Bang TH nop'!AQ63,0)+IFERROR('Bang TH nop'!AT63,0)+IFERROR('Bang TH nop'!BF63,0),
0
),
0
)</f>
        <v>0</v>
      </c>
      <c r="AG63" s="348"/>
      <c r="AH63" s="354"/>
      <c r="AI63" s="355">
        <f t="shared" ref="AI63" si="535">IFERROR(
IF(AND(LEN(TRIM(B62))&gt;0,LEN(TRIM(C62))&gt;0),
AH63/AG63,
0
),
0
)</f>
        <v>0</v>
      </c>
      <c r="AJ63" s="355">
        <f t="shared" ref="AJ63" si="536">IFERROR(
IF(AND(LEN(TRIM(B62))&gt;0,LEN(TRIM(C62))&gt;0),
AL63/AF63,
0
),
0
)</f>
        <v>0</v>
      </c>
      <c r="AK63" s="356">
        <f t="shared" ref="AK63" si="537">IFERROR(
IF(AND(LEN(TRIM(B62))&gt;0,LEN(TRIM(C62))&gt;0),
AJ63/AI63,
0
),
0
)</f>
        <v>0</v>
      </c>
      <c r="AL63" s="357">
        <f t="shared" ref="AL63" si="538">IFERROR(
IF(AND(LEN(TRIM(B62))&gt;0,LEN(TRIM(C62))&gt;0),
AB63/L63,
0
),
0
)</f>
        <v>0</v>
      </c>
    </row>
    <row r="64" spans="1:38" ht="17.100000000000001" customHeight="1">
      <c r="A64" s="424">
        <f t="shared" ref="A64" si="539">A62+1</f>
        <v>29</v>
      </c>
      <c r="B64" s="426">
        <f>'Bang TH nop'!B65</f>
        <v>0</v>
      </c>
      <c r="C64" s="421">
        <f>IFERROR(IF(LEN(TRIM(B64))&gt;0,'Bang TH nop'!C65,""),"")</f>
        <v>0</v>
      </c>
      <c r="D64" s="398">
        <f>IFERROR(IF(AND(LEN(TRIM(B64))&gt;0,LEN(TRIM(C64))&gt;0),'Bang TH nop'!AO65,""),"")</f>
        <v>0</v>
      </c>
      <c r="E64" s="399"/>
      <c r="F64" s="340"/>
      <c r="G64" s="341"/>
      <c r="H64" s="341"/>
      <c r="I64" s="342">
        <f>IFERROR(IF(AND(LEN(TRIM(B64))&gt;0,LEN(TRIM(C64))&gt;0),'Bang TH nop'!BB65,0),0)</f>
        <v>0</v>
      </c>
      <c r="J64" s="342">
        <f>IFERROR(IF(AND(LEN(TRIM(B64))&gt;0,LEN(TRIM(C64))&gt;0),'Bang TH nop'!AV65,0),0)</f>
        <v>0</v>
      </c>
      <c r="K64" s="342">
        <f>IFERROR(IF(AND(LEN(TRIM(B64))&gt;0,LEN(TRIM(C64))&gt;0),'Bang TH nop'!AR65,0),0)</f>
        <v>0</v>
      </c>
      <c r="L64" s="343">
        <f>IFERROR(IF(AND(LEN(TRIM(B64))&gt;0,LEN(TRIM(C64))&gt;0),'Bang TH nop'!AS65,0),0)</f>
        <v>0</v>
      </c>
      <c r="M64" s="342">
        <f>IFERROR(IF(AND(LEN(TRIM(B64))&gt;0,LEN(TRIM(C64))&gt;0),'Bang TH nop'!AT65,0),0)</f>
        <v>0</v>
      </c>
      <c r="N64" s="344">
        <f>IFERROR(IF(AND(LEN(TRIM(B64))&gt;0,LEN(TRIM(C64))&gt;0),'Bang TH nop'!AU65,0),0)</f>
        <v>0</v>
      </c>
      <c r="O64" s="342">
        <f>IFERROR(IF(AND(LEN(TRIM(B64))&gt;0,LEN(TRIM(C64))&gt;0),'Bang TH nop'!BE65,0),0)</f>
        <v>0</v>
      </c>
      <c r="P64" s="345">
        <f>IFERROR(IF(AND(LEN(TRIM(B64))&gt;0,LEN(TRIM(C64))&gt;0),'Bang TH nop'!AZ65,0),0)</f>
        <v>0</v>
      </c>
      <c r="Q64" s="343"/>
      <c r="R64" s="342"/>
      <c r="S64" s="342"/>
      <c r="T64" s="342"/>
      <c r="U64" s="341"/>
      <c r="V64" s="341"/>
      <c r="W64" s="341"/>
      <c r="X64" s="341"/>
      <c r="Y64" s="341"/>
      <c r="Z64" s="341"/>
      <c r="AA64" s="340" t="str">
        <f>IFERROR(
IF(AND(LEN(TRIM(B64))&gt;0,LEN(TRIM(C64))&gt;0),
'Bang TH nop'!AH65,
0
),
0
)</f>
        <v>A</v>
      </c>
      <c r="AB64" s="346"/>
      <c r="AC64" s="346"/>
      <c r="AD64" s="341"/>
      <c r="AE64" s="346"/>
      <c r="AF64" s="347"/>
      <c r="AG64" s="348"/>
      <c r="AH64" s="349"/>
      <c r="AI64" s="350"/>
      <c r="AJ64" s="351"/>
      <c r="AK64" s="350"/>
      <c r="AL64" s="352"/>
    </row>
    <row r="65" spans="1:38" ht="17.100000000000001" customHeight="1">
      <c r="A65" s="425"/>
      <c r="B65" s="426"/>
      <c r="C65" s="422"/>
      <c r="D65" s="397">
        <f>IFERROR(IF(AND(LEN(TRIM(B64))&gt;0,LEN(TRIM(C64))&gt;0),'Bang TH nop'!AP65,""),"")</f>
        <v>0</v>
      </c>
      <c r="E65" s="397"/>
      <c r="F65" s="353">
        <f>IFERROR(IF(AND(LEN(TRIM(B64))&gt;0,LEN(TRIM(C64))&gt;0),'Bang TH nop'!AL65,0),0)</f>
        <v>0</v>
      </c>
      <c r="G65" s="340">
        <f t="shared" ref="G65" si="540">D65*I64/26</f>
        <v>0</v>
      </c>
      <c r="H65" s="340">
        <f t="shared" ref="H65" si="541">D65*J64*150%/(26*8)</f>
        <v>0</v>
      </c>
      <c r="I65" s="340"/>
      <c r="J65" s="340"/>
      <c r="K65" s="344">
        <f t="shared" ref="K65" si="542">IFERROR(
IF(AND(LEN(TRIM(B64))&gt;0,LEN(TRIM(C64))&gt;0),
ROUND(D65/26*K64,0),
0
),
0
)</f>
        <v>0</v>
      </c>
      <c r="L65" s="344">
        <f t="shared" ref="L65" si="543">IFERROR(
IF(AND(LEN(TRIM(B64))&gt;0,LEN(TRIM(C64))&gt;0),
ROUND(D65/26*L64,0),
0
),
0
)</f>
        <v>0</v>
      </c>
      <c r="M65" s="344">
        <f t="shared" ref="M65" si="544">IFERROR(
IF(AND(LEN(TRIM(B64))&gt;0,LEN(TRIM(C64))&gt;0),
ROUND(D65/26*M64,0),
0
),
0
)</f>
        <v>0</v>
      </c>
      <c r="N65" s="344">
        <f t="shared" ref="N65" si="545">IFERROR(
IF(AND(LEN(TRIM(B64))&gt;0,LEN(TRIM(C64))&gt;0),
D65*N64/(26*8),
0
),
0
)</f>
        <v>0</v>
      </c>
      <c r="O65" s="344">
        <f t="shared" ref="O65" si="546">IFERROR(
IF(AND(LEN(TRIM(B64))&gt;0,LEN(TRIM(C64))&gt;0),
D65*O64/(26*8),
0
),
0
)</f>
        <v>0</v>
      </c>
      <c r="P65" s="344">
        <f t="shared" ref="P65" si="547">IFERROR(
IF(AND(LEN(TRIM(B64))&gt;0,LEN(TRIM(C64))&gt;0),
(D65/26/8*P64),
0
),
0
)</f>
        <v>0</v>
      </c>
      <c r="Q65" s="344">
        <f>IFERROR(
IF(AND(LEN(TRIM(B64))&gt;0,LEN(TRIM(C64))&gt;0),
'Bang TH nop'!BC65,
0
),
0
)</f>
        <v>0</v>
      </c>
      <c r="R65" s="340">
        <f>IFERROR(
IF(AND(LEN(TRIM(B64))&gt;0,LEN(TRIM(C64))&gt;0),
'Bang TH nop'!BD65,
0
),
0
)</f>
        <v>0</v>
      </c>
      <c r="S65" s="340">
        <f>IFERROR(
IF(AND(LEN(TRIM(B64))&gt;0,LEN(TRIM(C64))&gt;0),
'Bang TH nop'!BJ65,
0
),
0
)</f>
        <v>0</v>
      </c>
      <c r="T65" s="340">
        <f>IFERROR(
IF(AND(LEN(TRIM(B64))&gt;0,LEN(TRIM(C64))&gt;0),
IFERROR('Bang TH nop'!AW65,0)+IFERROR('Bang TH nop'!BH65,0),
0
),
0
)</f>
        <v>0</v>
      </c>
      <c r="U65" s="344"/>
      <c r="V65" s="344"/>
      <c r="W65" s="344"/>
      <c r="X65" s="340">
        <f t="shared" ref="X65" si="548">+IF(G65-I65&lt;0,0,G65-I65)</f>
        <v>0</v>
      </c>
      <c r="Y65" s="340">
        <f t="shared" ref="Y65" si="549">+IF(H65-J65&lt;0,0, H65-J65)</f>
        <v>0</v>
      </c>
      <c r="Z65" s="340">
        <f t="shared" ref="Z65" si="550">IFERROR(
IF(AND(LEN(TRIM(B64))&gt;0,LEN(TRIM(C64))&gt;0),
(X65+Y65)*25%,
0
),
0
)</f>
        <v>0</v>
      </c>
      <c r="AA65" s="340">
        <f>IFERROR(
IF(AND(LEN(TRIM(B64))&gt;0,LEN(TRIM(C64))&gt;0),
'Bang TH nop'!BG65,
0
),
0
)</f>
        <v>0</v>
      </c>
      <c r="AB65" s="344">
        <f t="shared" ref="AB65" si="551">IFERROR(
IF(AND(LEN(TRIM(B64))&gt;0,LEN(TRIM(C64))&gt;0),
SUM(I65:W65)+IFERROR(Z65,0)+IFERROR(AA65,0),
0
),
0
)</f>
        <v>0</v>
      </c>
      <c r="AC65" s="340">
        <f t="shared" ref="AC65" si="552">IFERROR(
IF(AND(LEN(TRIM(B64))&gt;0,LEN(TRIM(C64))&gt;0),
IF((26-(IFERROR(I64,0)+IFERROR(K64,0)+IFERROR(L64,0)+IFERROR(M64,0)))&gt;12,0,D65*10.5%),
0
),
0
)</f>
        <v>0</v>
      </c>
      <c r="AD65" s="340">
        <f t="shared" ref="AD65" si="553">IFERROR(
IF(AND(LEN(TRIM(B64))&gt;0,LEN(TRIM(C64))&gt;0),
ROUND(IF(D65=4939000,D65*0.5%,0),-2),
0
),
0
)</f>
        <v>0</v>
      </c>
      <c r="AE65" s="344">
        <f t="shared" ref="AE65" si="554">IFERROR(
IF(AND(LEN(TRIM(B64))&gt;0,LEN(TRIM(C64))&gt;0),
ROUND(IFERROR(AB65,0)-IFERROR(AC65,0)-IFERROR(AD65,0),-2),
0
),
0
)</f>
        <v>0</v>
      </c>
      <c r="AF65" s="347">
        <f>IFERROR(
IF(AND(LEN(TRIM(B64))&gt;0,LEN(TRIM(C64))&gt;0),
IFERROR('Bang TH nop'!AQ65,0)+IFERROR('Bang TH nop'!AT65,0)+IFERROR('Bang TH nop'!BF65,0),
0
),
0
)</f>
        <v>0</v>
      </c>
      <c r="AG65" s="348"/>
      <c r="AH65" s="354"/>
      <c r="AI65" s="355">
        <f t="shared" ref="AI65" si="555">IFERROR(
IF(AND(LEN(TRIM(B64))&gt;0,LEN(TRIM(C64))&gt;0),
AH65/AG65,
0
),
0
)</f>
        <v>0</v>
      </c>
      <c r="AJ65" s="355">
        <f t="shared" ref="AJ65" si="556">IFERROR(
IF(AND(LEN(TRIM(B64))&gt;0,LEN(TRIM(C64))&gt;0),
AL65/AF65,
0
),
0
)</f>
        <v>0</v>
      </c>
      <c r="AK65" s="356">
        <f t="shared" ref="AK65" si="557">IFERROR(
IF(AND(LEN(TRIM(B64))&gt;0,LEN(TRIM(C64))&gt;0),
AJ65/AI65,
0
),
0
)</f>
        <v>0</v>
      </c>
      <c r="AL65" s="357">
        <f t="shared" ref="AL65" si="558">IFERROR(
IF(AND(LEN(TRIM(B64))&gt;0,LEN(TRIM(C64))&gt;0),
AB65/L65,
0
),
0
)</f>
        <v>0</v>
      </c>
    </row>
    <row r="66" spans="1:38" ht="17.100000000000001" customHeight="1">
      <c r="A66" s="424">
        <f t="shared" ref="A66" si="559">A64+1</f>
        <v>30</v>
      </c>
      <c r="B66" s="426">
        <f>'Bang TH nop'!B67</f>
        <v>0</v>
      </c>
      <c r="C66" s="421">
        <f>IFERROR(IF(LEN(TRIM(B66))&gt;0,'Bang TH nop'!C67,""),"")</f>
        <v>0</v>
      </c>
      <c r="D66" s="398">
        <f>IFERROR(IF(AND(LEN(TRIM(B66))&gt;0,LEN(TRIM(C66))&gt;0),'Bang TH nop'!AO67,""),"")</f>
        <v>0</v>
      </c>
      <c r="E66" s="399"/>
      <c r="F66" s="340"/>
      <c r="G66" s="341"/>
      <c r="H66" s="341"/>
      <c r="I66" s="342">
        <f>IFERROR(IF(AND(LEN(TRIM(B66))&gt;0,LEN(TRIM(C66))&gt;0),'Bang TH nop'!BB67,0),0)</f>
        <v>0</v>
      </c>
      <c r="J66" s="342">
        <f>IFERROR(IF(AND(LEN(TRIM(B66))&gt;0,LEN(TRIM(C66))&gt;0),'Bang TH nop'!AV67,0),0)</f>
        <v>0</v>
      </c>
      <c r="K66" s="342">
        <f>IFERROR(IF(AND(LEN(TRIM(B66))&gt;0,LEN(TRIM(C66))&gt;0),'Bang TH nop'!AR67,0),0)</f>
        <v>0</v>
      </c>
      <c r="L66" s="343">
        <f>IFERROR(IF(AND(LEN(TRIM(B66))&gt;0,LEN(TRIM(C66))&gt;0),'Bang TH nop'!AS67,0),0)</f>
        <v>0</v>
      </c>
      <c r="M66" s="342">
        <f>IFERROR(IF(AND(LEN(TRIM(B66))&gt;0,LEN(TRIM(C66))&gt;0),'Bang TH nop'!AT67,0),0)</f>
        <v>0</v>
      </c>
      <c r="N66" s="344">
        <f>IFERROR(IF(AND(LEN(TRIM(B66))&gt;0,LEN(TRIM(C66))&gt;0),'Bang TH nop'!AU67,0),0)</f>
        <v>0</v>
      </c>
      <c r="O66" s="342">
        <f>IFERROR(IF(AND(LEN(TRIM(B66))&gt;0,LEN(TRIM(C66))&gt;0),'Bang TH nop'!BE67,0),0)</f>
        <v>0</v>
      </c>
      <c r="P66" s="345">
        <f>IFERROR(IF(AND(LEN(TRIM(B66))&gt;0,LEN(TRIM(C66))&gt;0),'Bang TH nop'!AZ67,0),0)</f>
        <v>0</v>
      </c>
      <c r="Q66" s="343"/>
      <c r="R66" s="342"/>
      <c r="S66" s="342"/>
      <c r="T66" s="342"/>
      <c r="U66" s="341"/>
      <c r="V66" s="341"/>
      <c r="W66" s="341"/>
      <c r="X66" s="341"/>
      <c r="Y66" s="341"/>
      <c r="Z66" s="341"/>
      <c r="AA66" s="340" t="str">
        <f>IFERROR(
IF(AND(LEN(TRIM(B66))&gt;0,LEN(TRIM(C66))&gt;0),
'Bang TH nop'!AH67,
0
),
0
)</f>
        <v>A</v>
      </c>
      <c r="AB66" s="346"/>
      <c r="AC66" s="346"/>
      <c r="AD66" s="341"/>
      <c r="AE66" s="346"/>
      <c r="AF66" s="347"/>
      <c r="AG66" s="348"/>
      <c r="AH66" s="349"/>
      <c r="AI66" s="350"/>
      <c r="AJ66" s="351"/>
      <c r="AK66" s="350"/>
      <c r="AL66" s="352"/>
    </row>
    <row r="67" spans="1:38" ht="17.100000000000001" customHeight="1">
      <c r="A67" s="425"/>
      <c r="B67" s="426"/>
      <c r="C67" s="422"/>
      <c r="D67" s="397">
        <f>IFERROR(IF(AND(LEN(TRIM(B66))&gt;0,LEN(TRIM(C66))&gt;0),'Bang TH nop'!AP67,""),"")</f>
        <v>0</v>
      </c>
      <c r="E67" s="397"/>
      <c r="F67" s="353">
        <f>IFERROR(IF(AND(LEN(TRIM(B66))&gt;0,LEN(TRIM(C66))&gt;0),'Bang TH nop'!AL67,0),0)</f>
        <v>0</v>
      </c>
      <c r="G67" s="340">
        <f t="shared" ref="G67" si="560">D67*I66/26</f>
        <v>0</v>
      </c>
      <c r="H67" s="340">
        <f t="shared" ref="H67" si="561">D67*J66*150%/(26*8)</f>
        <v>0</v>
      </c>
      <c r="I67" s="340"/>
      <c r="J67" s="340"/>
      <c r="K67" s="344">
        <f t="shared" ref="K67" si="562">IFERROR(
IF(AND(LEN(TRIM(B66))&gt;0,LEN(TRIM(C66))&gt;0),
ROUND(D67/26*K66,0),
0
),
0
)</f>
        <v>0</v>
      </c>
      <c r="L67" s="344">
        <f t="shared" ref="L67" si="563">IFERROR(
IF(AND(LEN(TRIM(B66))&gt;0,LEN(TRIM(C66))&gt;0),
ROUND(D67/26*L66,0),
0
),
0
)</f>
        <v>0</v>
      </c>
      <c r="M67" s="344">
        <f t="shared" ref="M67" si="564">IFERROR(
IF(AND(LEN(TRIM(B66))&gt;0,LEN(TRIM(C66))&gt;0),
ROUND(D67/26*M66,0),
0
),
0
)</f>
        <v>0</v>
      </c>
      <c r="N67" s="344">
        <f t="shared" ref="N67" si="565">IFERROR(
IF(AND(LEN(TRIM(B66))&gt;0,LEN(TRIM(C66))&gt;0),
D67*N66/(26*8),
0
),
0
)</f>
        <v>0</v>
      </c>
      <c r="O67" s="344">
        <f t="shared" ref="O67" si="566">IFERROR(
IF(AND(LEN(TRIM(B66))&gt;0,LEN(TRIM(C66))&gt;0),
D67*O66/(26*8),
0
),
0
)</f>
        <v>0</v>
      </c>
      <c r="P67" s="344">
        <f t="shared" ref="P67" si="567">IFERROR(
IF(AND(LEN(TRIM(B66))&gt;0,LEN(TRIM(C66))&gt;0),
(D67/26/8*P66),
0
),
0
)</f>
        <v>0</v>
      </c>
      <c r="Q67" s="344">
        <f>IFERROR(
IF(AND(LEN(TRIM(B66))&gt;0,LEN(TRIM(C66))&gt;0),
'Bang TH nop'!BC67,
0
),
0
)</f>
        <v>0</v>
      </c>
      <c r="R67" s="340">
        <f>IFERROR(
IF(AND(LEN(TRIM(B66))&gt;0,LEN(TRIM(C66))&gt;0),
'Bang TH nop'!BD67,
0
),
0
)</f>
        <v>0</v>
      </c>
      <c r="S67" s="340">
        <f>IFERROR(
IF(AND(LEN(TRIM(B66))&gt;0,LEN(TRIM(C66))&gt;0),
'Bang TH nop'!BJ67,
0
),
0
)</f>
        <v>0</v>
      </c>
      <c r="T67" s="340">
        <f>IFERROR(
IF(AND(LEN(TRIM(B66))&gt;0,LEN(TRIM(C66))&gt;0),
IFERROR('Bang TH nop'!AW67,0)+IFERROR('Bang TH nop'!BH67,0),
0
),
0
)</f>
        <v>0</v>
      </c>
      <c r="U67" s="344"/>
      <c r="V67" s="344"/>
      <c r="W67" s="344"/>
      <c r="X67" s="340">
        <f t="shared" ref="X67" si="568">+IF(G67-I67&lt;0,0,G67-I67)</f>
        <v>0</v>
      </c>
      <c r="Y67" s="340">
        <f t="shared" ref="Y67" si="569">+IF(H67-J67&lt;0,0, H67-J67)</f>
        <v>0</v>
      </c>
      <c r="Z67" s="340">
        <f t="shared" ref="Z67" si="570">IFERROR(
IF(AND(LEN(TRIM(B66))&gt;0,LEN(TRIM(C66))&gt;0),
(X67+Y67)*25%,
0
),
0
)</f>
        <v>0</v>
      </c>
      <c r="AA67" s="340">
        <f>IFERROR(
IF(AND(LEN(TRIM(B66))&gt;0,LEN(TRIM(C66))&gt;0),
'Bang TH nop'!BG67,
0
),
0
)</f>
        <v>0</v>
      </c>
      <c r="AB67" s="344">
        <f t="shared" ref="AB67" si="571">IFERROR(
IF(AND(LEN(TRIM(B66))&gt;0,LEN(TRIM(C66))&gt;0),
SUM(I67:W67)+IFERROR(Z67,0)+IFERROR(AA67,0),
0
),
0
)</f>
        <v>0</v>
      </c>
      <c r="AC67" s="340">
        <f t="shared" ref="AC67" si="572">IFERROR(
IF(AND(LEN(TRIM(B66))&gt;0,LEN(TRIM(C66))&gt;0),
IF((26-(IFERROR(I66,0)+IFERROR(K66,0)+IFERROR(L66,0)+IFERROR(M66,0)))&gt;12,0,D67*10.5%),
0
),
0
)</f>
        <v>0</v>
      </c>
      <c r="AD67" s="340">
        <f t="shared" ref="AD67" si="573">IFERROR(
IF(AND(LEN(TRIM(B66))&gt;0,LEN(TRIM(C66))&gt;0),
ROUND(IF(D67=4939000,D67*0.5%,0),-2),
0
),
0
)</f>
        <v>0</v>
      </c>
      <c r="AE67" s="344">
        <f t="shared" ref="AE67" si="574">IFERROR(
IF(AND(LEN(TRIM(B66))&gt;0,LEN(TRIM(C66))&gt;0),
ROUND(IFERROR(AB67,0)-IFERROR(AC67,0)-IFERROR(AD67,0),-2),
0
),
0
)</f>
        <v>0</v>
      </c>
      <c r="AF67" s="347">
        <f>IFERROR(
IF(AND(LEN(TRIM(B66))&gt;0,LEN(TRIM(C66))&gt;0),
IFERROR('Bang TH nop'!AQ67,0)+IFERROR('Bang TH nop'!AT67,0)+IFERROR('Bang TH nop'!BF67,0),
0
),
0
)</f>
        <v>0</v>
      </c>
      <c r="AG67" s="348"/>
      <c r="AH67" s="354"/>
      <c r="AI67" s="355">
        <f t="shared" ref="AI67" si="575">IFERROR(
IF(AND(LEN(TRIM(B66))&gt;0,LEN(TRIM(C66))&gt;0),
AH67/AG67,
0
),
0
)</f>
        <v>0</v>
      </c>
      <c r="AJ67" s="355">
        <f t="shared" ref="AJ67" si="576">IFERROR(
IF(AND(LEN(TRIM(B66))&gt;0,LEN(TRIM(C66))&gt;0),
AL67/AF67,
0
),
0
)</f>
        <v>0</v>
      </c>
      <c r="AK67" s="356">
        <f t="shared" ref="AK67" si="577">IFERROR(
IF(AND(LEN(TRIM(B66))&gt;0,LEN(TRIM(C66))&gt;0),
AJ67/AI67,
0
),
0
)</f>
        <v>0</v>
      </c>
      <c r="AL67" s="357">
        <f t="shared" ref="AL67" si="578">IFERROR(
IF(AND(LEN(TRIM(B66))&gt;0,LEN(TRIM(C66))&gt;0),
AB67/L67,
0
),
0
)</f>
        <v>0</v>
      </c>
    </row>
    <row r="68" spans="1:38" ht="17.100000000000001" customHeight="1">
      <c r="A68" s="424">
        <f t="shared" ref="A68" si="579">A66+1</f>
        <v>31</v>
      </c>
      <c r="B68" s="426">
        <f>'Bang TH nop'!B69</f>
        <v>0</v>
      </c>
      <c r="C68" s="421">
        <f>IFERROR(IF(LEN(TRIM(B68))&gt;0,'Bang TH nop'!C69,""),"")</f>
        <v>0</v>
      </c>
      <c r="D68" s="398">
        <f>IFERROR(IF(AND(LEN(TRIM(B68))&gt;0,LEN(TRIM(C68))&gt;0),'Bang TH nop'!AO69,""),"")</f>
        <v>0</v>
      </c>
      <c r="E68" s="399"/>
      <c r="F68" s="340"/>
      <c r="G68" s="341"/>
      <c r="H68" s="341"/>
      <c r="I68" s="342">
        <f>IFERROR(IF(AND(LEN(TRIM(B68))&gt;0,LEN(TRIM(C68))&gt;0),'Bang TH nop'!BB69,0),0)</f>
        <v>0</v>
      </c>
      <c r="J68" s="342">
        <f>IFERROR(IF(AND(LEN(TRIM(B68))&gt;0,LEN(TRIM(C68))&gt;0),'Bang TH nop'!AV69,0),0)</f>
        <v>0</v>
      </c>
      <c r="K68" s="342">
        <f>IFERROR(IF(AND(LEN(TRIM(B68))&gt;0,LEN(TRIM(C68))&gt;0),'Bang TH nop'!AR69,0),0)</f>
        <v>0</v>
      </c>
      <c r="L68" s="343">
        <f>IFERROR(IF(AND(LEN(TRIM(B68))&gt;0,LEN(TRIM(C68))&gt;0),'Bang TH nop'!AS69,0),0)</f>
        <v>0</v>
      </c>
      <c r="M68" s="342">
        <f>IFERROR(IF(AND(LEN(TRIM(B68))&gt;0,LEN(TRIM(C68))&gt;0),'Bang TH nop'!AT69,0),0)</f>
        <v>0</v>
      </c>
      <c r="N68" s="344">
        <f>IFERROR(IF(AND(LEN(TRIM(B68))&gt;0,LEN(TRIM(C68))&gt;0),'Bang TH nop'!AU69,0),0)</f>
        <v>0</v>
      </c>
      <c r="O68" s="342">
        <f>IFERROR(IF(AND(LEN(TRIM(B68))&gt;0,LEN(TRIM(C68))&gt;0),'Bang TH nop'!BE69,0),0)</f>
        <v>0</v>
      </c>
      <c r="P68" s="345">
        <f>IFERROR(IF(AND(LEN(TRIM(B68))&gt;0,LEN(TRIM(C68))&gt;0),'Bang TH nop'!AZ69,0),0)</f>
        <v>0</v>
      </c>
      <c r="Q68" s="343"/>
      <c r="R68" s="342"/>
      <c r="S68" s="342"/>
      <c r="T68" s="342"/>
      <c r="U68" s="341"/>
      <c r="V68" s="341"/>
      <c r="W68" s="341"/>
      <c r="X68" s="341"/>
      <c r="Y68" s="341"/>
      <c r="Z68" s="341"/>
      <c r="AA68" s="340" t="str">
        <f>IFERROR(
IF(AND(LEN(TRIM(B68))&gt;0,LEN(TRIM(C68))&gt;0),
'Bang TH nop'!AH69,
0
),
0
)</f>
        <v>A</v>
      </c>
      <c r="AB68" s="346"/>
      <c r="AC68" s="346"/>
      <c r="AD68" s="341"/>
      <c r="AE68" s="346"/>
      <c r="AF68" s="347"/>
      <c r="AG68" s="348"/>
      <c r="AH68" s="349"/>
      <c r="AI68" s="350"/>
      <c r="AJ68" s="351"/>
      <c r="AK68" s="350"/>
      <c r="AL68" s="352"/>
    </row>
    <row r="69" spans="1:38" ht="17.100000000000001" customHeight="1">
      <c r="A69" s="425"/>
      <c r="B69" s="426"/>
      <c r="C69" s="422"/>
      <c r="D69" s="397">
        <f>IFERROR(IF(AND(LEN(TRIM(B68))&gt;0,LEN(TRIM(C68))&gt;0),'Bang TH nop'!AP69,""),"")</f>
        <v>0</v>
      </c>
      <c r="E69" s="397"/>
      <c r="F69" s="353">
        <f>IFERROR(IF(AND(LEN(TRIM(B68))&gt;0,LEN(TRIM(C68))&gt;0),'Bang TH nop'!AL69,0),0)</f>
        <v>0</v>
      </c>
      <c r="G69" s="340">
        <f t="shared" ref="G69" si="580">D69*I68/26</f>
        <v>0</v>
      </c>
      <c r="H69" s="340">
        <f t="shared" ref="H69" si="581">D69*J68*150%/(26*8)</f>
        <v>0</v>
      </c>
      <c r="I69" s="340"/>
      <c r="J69" s="340"/>
      <c r="K69" s="344">
        <f t="shared" ref="K69" si="582">IFERROR(
IF(AND(LEN(TRIM(B68))&gt;0,LEN(TRIM(C68))&gt;0),
ROUND(D69/26*K68,0),
0
),
0
)</f>
        <v>0</v>
      </c>
      <c r="L69" s="344">
        <f t="shared" ref="L69" si="583">IFERROR(
IF(AND(LEN(TRIM(B68))&gt;0,LEN(TRIM(C68))&gt;0),
ROUND(D69/26*L68,0),
0
),
0
)</f>
        <v>0</v>
      </c>
      <c r="M69" s="344">
        <f t="shared" ref="M69" si="584">IFERROR(
IF(AND(LEN(TRIM(B68))&gt;0,LEN(TRIM(C68))&gt;0),
ROUND(D69/26*M68,0),
0
),
0
)</f>
        <v>0</v>
      </c>
      <c r="N69" s="344">
        <f t="shared" ref="N69" si="585">IFERROR(
IF(AND(LEN(TRIM(B68))&gt;0,LEN(TRIM(C68))&gt;0),
D69*N68/(26*8),
0
),
0
)</f>
        <v>0</v>
      </c>
      <c r="O69" s="344">
        <f t="shared" ref="O69" si="586">IFERROR(
IF(AND(LEN(TRIM(B68))&gt;0,LEN(TRIM(C68))&gt;0),
D69*O68/(26*8),
0
),
0
)</f>
        <v>0</v>
      </c>
      <c r="P69" s="344">
        <f t="shared" ref="P69" si="587">IFERROR(
IF(AND(LEN(TRIM(B68))&gt;0,LEN(TRIM(C68))&gt;0),
(D69/26/8*P68),
0
),
0
)</f>
        <v>0</v>
      </c>
      <c r="Q69" s="344">
        <f>IFERROR(
IF(AND(LEN(TRIM(B68))&gt;0,LEN(TRIM(C68))&gt;0),
'Bang TH nop'!BC69,
0
),
0
)</f>
        <v>0</v>
      </c>
      <c r="R69" s="340">
        <f>IFERROR(
IF(AND(LEN(TRIM(B68))&gt;0,LEN(TRIM(C68))&gt;0),
'Bang TH nop'!BD69,
0
),
0
)</f>
        <v>0</v>
      </c>
      <c r="S69" s="340">
        <f>IFERROR(
IF(AND(LEN(TRIM(B68))&gt;0,LEN(TRIM(C68))&gt;0),
'Bang TH nop'!BJ69,
0
),
0
)</f>
        <v>0</v>
      </c>
      <c r="T69" s="340">
        <f>IFERROR(
IF(AND(LEN(TRIM(B68))&gt;0,LEN(TRIM(C68))&gt;0),
IFERROR('Bang TH nop'!AW69,0)+IFERROR('Bang TH nop'!BH69,0),
0
),
0
)</f>
        <v>0</v>
      </c>
      <c r="U69" s="344"/>
      <c r="V69" s="344"/>
      <c r="W69" s="344"/>
      <c r="X69" s="340">
        <f t="shared" ref="X69" si="588">+IF(G69-I69&lt;0,0,G69-I69)</f>
        <v>0</v>
      </c>
      <c r="Y69" s="340">
        <f t="shared" ref="Y69" si="589">+IF(H69-J69&lt;0,0, H69-J69)</f>
        <v>0</v>
      </c>
      <c r="Z69" s="340">
        <f t="shared" ref="Z69" si="590">IFERROR(
IF(AND(LEN(TRIM(B68))&gt;0,LEN(TRIM(C68))&gt;0),
(X69+Y69)*25%,
0
),
0
)</f>
        <v>0</v>
      </c>
      <c r="AA69" s="340">
        <f>IFERROR(
IF(AND(LEN(TRIM(B68))&gt;0,LEN(TRIM(C68))&gt;0),
'Bang TH nop'!BG69,
0
),
0
)</f>
        <v>0</v>
      </c>
      <c r="AB69" s="344">
        <f t="shared" ref="AB69" si="591">IFERROR(
IF(AND(LEN(TRIM(B68))&gt;0,LEN(TRIM(C68))&gt;0),
SUM(I69:W69)+IFERROR(Z69,0)+IFERROR(AA69,0),
0
),
0
)</f>
        <v>0</v>
      </c>
      <c r="AC69" s="340">
        <f t="shared" ref="AC69" si="592">IFERROR(
IF(AND(LEN(TRIM(B68))&gt;0,LEN(TRIM(C68))&gt;0),
IF((26-(IFERROR(I68,0)+IFERROR(K68,0)+IFERROR(L68,0)+IFERROR(M68,0)))&gt;12,0,D69*10.5%),
0
),
0
)</f>
        <v>0</v>
      </c>
      <c r="AD69" s="340">
        <f t="shared" ref="AD69" si="593">IFERROR(
IF(AND(LEN(TRIM(B68))&gt;0,LEN(TRIM(C68))&gt;0),
ROUND(IF(D69=4939000,D69*0.5%,0),-2),
0
),
0
)</f>
        <v>0</v>
      </c>
      <c r="AE69" s="344">
        <f t="shared" ref="AE69" si="594">IFERROR(
IF(AND(LEN(TRIM(B68))&gt;0,LEN(TRIM(C68))&gt;0),
ROUND(IFERROR(AB69,0)-IFERROR(AC69,0)-IFERROR(AD69,0),-2),
0
),
0
)</f>
        <v>0</v>
      </c>
      <c r="AF69" s="347">
        <f>IFERROR(
IF(AND(LEN(TRIM(B68))&gt;0,LEN(TRIM(C68))&gt;0),
IFERROR('Bang TH nop'!AQ69,0)+IFERROR('Bang TH nop'!AT69,0)+IFERROR('Bang TH nop'!BF69,0),
0
),
0
)</f>
        <v>0</v>
      </c>
      <c r="AG69" s="348"/>
      <c r="AH69" s="354"/>
      <c r="AI69" s="355">
        <f t="shared" ref="AI69" si="595">IFERROR(
IF(AND(LEN(TRIM(B68))&gt;0,LEN(TRIM(C68))&gt;0),
AH69/AG69,
0
),
0
)</f>
        <v>0</v>
      </c>
      <c r="AJ69" s="355">
        <f t="shared" ref="AJ69" si="596">IFERROR(
IF(AND(LEN(TRIM(B68))&gt;0,LEN(TRIM(C68))&gt;0),
AL69/AF69,
0
),
0
)</f>
        <v>0</v>
      </c>
      <c r="AK69" s="356">
        <f t="shared" ref="AK69" si="597">IFERROR(
IF(AND(LEN(TRIM(B68))&gt;0,LEN(TRIM(C68))&gt;0),
AJ69/AI69,
0
),
0
)</f>
        <v>0</v>
      </c>
      <c r="AL69" s="357">
        <f t="shared" ref="AL69" si="598">IFERROR(
IF(AND(LEN(TRIM(B68))&gt;0,LEN(TRIM(C68))&gt;0),
AB69/L69,
0
),
0
)</f>
        <v>0</v>
      </c>
    </row>
    <row r="70" spans="1:38" ht="17.100000000000001" customHeight="1">
      <c r="A70" s="424">
        <f t="shared" ref="A70" si="599">A68+1</f>
        <v>32</v>
      </c>
      <c r="B70" s="426">
        <f>'Bang TH nop'!B71</f>
        <v>0</v>
      </c>
      <c r="C70" s="421">
        <f>IFERROR(IF(LEN(TRIM(B70))&gt;0,'Bang TH nop'!C71,""),"")</f>
        <v>0</v>
      </c>
      <c r="D70" s="398">
        <f>IFERROR(IF(AND(LEN(TRIM(B70))&gt;0,LEN(TRIM(C70))&gt;0),'Bang TH nop'!AO71,""),"")</f>
        <v>0</v>
      </c>
      <c r="E70" s="399"/>
      <c r="F70" s="340"/>
      <c r="G70" s="341"/>
      <c r="H70" s="341"/>
      <c r="I70" s="342">
        <f>IFERROR(IF(AND(LEN(TRIM(B70))&gt;0,LEN(TRIM(C70))&gt;0),'Bang TH nop'!BB71,0),0)</f>
        <v>0</v>
      </c>
      <c r="J70" s="342">
        <f>IFERROR(IF(AND(LEN(TRIM(B70))&gt;0,LEN(TRIM(C70))&gt;0),'Bang TH nop'!AV71,0),0)</f>
        <v>0</v>
      </c>
      <c r="K70" s="342">
        <f>IFERROR(IF(AND(LEN(TRIM(B70))&gt;0,LEN(TRIM(C70))&gt;0),'Bang TH nop'!AR71,0),0)</f>
        <v>0</v>
      </c>
      <c r="L70" s="343">
        <f>IFERROR(IF(AND(LEN(TRIM(B70))&gt;0,LEN(TRIM(C70))&gt;0),'Bang TH nop'!AS71,0),0)</f>
        <v>0</v>
      </c>
      <c r="M70" s="342">
        <f>IFERROR(IF(AND(LEN(TRIM(B70))&gt;0,LEN(TRIM(C70))&gt;0),'Bang TH nop'!AT71,0),0)</f>
        <v>0</v>
      </c>
      <c r="N70" s="344">
        <f>IFERROR(IF(AND(LEN(TRIM(B70))&gt;0,LEN(TRIM(C70))&gt;0),'Bang TH nop'!AU71,0),0)</f>
        <v>0</v>
      </c>
      <c r="O70" s="342">
        <f>IFERROR(IF(AND(LEN(TRIM(B70))&gt;0,LEN(TRIM(C70))&gt;0),'Bang TH nop'!BE71,0),0)</f>
        <v>0</v>
      </c>
      <c r="P70" s="345">
        <f>IFERROR(IF(AND(LEN(TRIM(B70))&gt;0,LEN(TRIM(C70))&gt;0),'Bang TH nop'!AZ71,0),0)</f>
        <v>0</v>
      </c>
      <c r="Q70" s="343"/>
      <c r="R70" s="342"/>
      <c r="S70" s="342"/>
      <c r="T70" s="342"/>
      <c r="U70" s="341"/>
      <c r="V70" s="341"/>
      <c r="W70" s="341"/>
      <c r="X70" s="341"/>
      <c r="Y70" s="341"/>
      <c r="Z70" s="341"/>
      <c r="AA70" s="340" t="str">
        <f>IFERROR(
IF(AND(LEN(TRIM(B70))&gt;0,LEN(TRIM(C70))&gt;0),
'Bang TH nop'!AH71,
0
),
0
)</f>
        <v>A</v>
      </c>
      <c r="AB70" s="346"/>
      <c r="AC70" s="346"/>
      <c r="AD70" s="341"/>
      <c r="AE70" s="346"/>
      <c r="AF70" s="347"/>
      <c r="AG70" s="348"/>
      <c r="AH70" s="349"/>
      <c r="AI70" s="350"/>
      <c r="AJ70" s="351"/>
      <c r="AK70" s="350"/>
      <c r="AL70" s="352"/>
    </row>
    <row r="71" spans="1:38" ht="17.100000000000001" customHeight="1">
      <c r="A71" s="425"/>
      <c r="B71" s="426"/>
      <c r="C71" s="422"/>
      <c r="D71" s="397">
        <f>IFERROR(IF(AND(LEN(TRIM(B70))&gt;0,LEN(TRIM(C70))&gt;0),'Bang TH nop'!AP71,""),"")</f>
        <v>0</v>
      </c>
      <c r="E71" s="397"/>
      <c r="F71" s="353">
        <f>IFERROR(IF(AND(LEN(TRIM(B70))&gt;0,LEN(TRIM(C70))&gt;0),'Bang TH nop'!AL71,0),0)</f>
        <v>0</v>
      </c>
      <c r="G71" s="340">
        <f t="shared" ref="G71" si="600">D71*I70/26</f>
        <v>0</v>
      </c>
      <c r="H71" s="340">
        <f t="shared" ref="H71" si="601">D71*J70*150%/(26*8)</f>
        <v>0</v>
      </c>
      <c r="I71" s="340"/>
      <c r="J71" s="340"/>
      <c r="K71" s="344">
        <f t="shared" ref="K71" si="602">IFERROR(
IF(AND(LEN(TRIM(B70))&gt;0,LEN(TRIM(C70))&gt;0),
ROUND(D71/26*K70,0),
0
),
0
)</f>
        <v>0</v>
      </c>
      <c r="L71" s="344">
        <f t="shared" ref="L71" si="603">IFERROR(
IF(AND(LEN(TRIM(B70))&gt;0,LEN(TRIM(C70))&gt;0),
ROUND(D71/26*L70,0),
0
),
0
)</f>
        <v>0</v>
      </c>
      <c r="M71" s="344">
        <f t="shared" ref="M71" si="604">IFERROR(
IF(AND(LEN(TRIM(B70))&gt;0,LEN(TRIM(C70))&gt;0),
ROUND(D71/26*M70,0),
0
),
0
)</f>
        <v>0</v>
      </c>
      <c r="N71" s="344">
        <f t="shared" ref="N71" si="605">IFERROR(
IF(AND(LEN(TRIM(B70))&gt;0,LEN(TRIM(C70))&gt;0),
D71*N70/(26*8),
0
),
0
)</f>
        <v>0</v>
      </c>
      <c r="O71" s="344">
        <f t="shared" ref="O71" si="606">IFERROR(
IF(AND(LEN(TRIM(B70))&gt;0,LEN(TRIM(C70))&gt;0),
D71*O70/(26*8),
0
),
0
)</f>
        <v>0</v>
      </c>
      <c r="P71" s="344">
        <f t="shared" ref="P71" si="607">IFERROR(
IF(AND(LEN(TRIM(B70))&gt;0,LEN(TRIM(C70))&gt;0),
(D71/26/8*P70),
0
),
0
)</f>
        <v>0</v>
      </c>
      <c r="Q71" s="344">
        <f>IFERROR(
IF(AND(LEN(TRIM(B70))&gt;0,LEN(TRIM(C70))&gt;0),
'Bang TH nop'!BC71,
0
),
0
)</f>
        <v>0</v>
      </c>
      <c r="R71" s="340">
        <f>IFERROR(
IF(AND(LEN(TRIM(B70))&gt;0,LEN(TRIM(C70))&gt;0),
'Bang TH nop'!BD71,
0
),
0
)</f>
        <v>0</v>
      </c>
      <c r="S71" s="340">
        <f>IFERROR(
IF(AND(LEN(TRIM(B70))&gt;0,LEN(TRIM(C70))&gt;0),
'Bang TH nop'!BJ71,
0
),
0
)</f>
        <v>0</v>
      </c>
      <c r="T71" s="340">
        <f>IFERROR(
IF(AND(LEN(TRIM(B70))&gt;0,LEN(TRIM(C70))&gt;0),
IFERROR('Bang TH nop'!AW71,0)+IFERROR('Bang TH nop'!BH71,0),
0
),
0
)</f>
        <v>0</v>
      </c>
      <c r="U71" s="344"/>
      <c r="V71" s="344"/>
      <c r="W71" s="344"/>
      <c r="X71" s="340">
        <f t="shared" ref="X71" si="608">+IF(G71-I71&lt;0,0,G71-I71)</f>
        <v>0</v>
      </c>
      <c r="Y71" s="340">
        <f t="shared" ref="Y71" si="609">+IF(H71-J71&lt;0,0, H71-J71)</f>
        <v>0</v>
      </c>
      <c r="Z71" s="340">
        <f t="shared" ref="Z71" si="610">IFERROR(
IF(AND(LEN(TRIM(B70))&gt;0,LEN(TRIM(C70))&gt;0),
(X71+Y71)*25%,
0
),
0
)</f>
        <v>0</v>
      </c>
      <c r="AA71" s="340">
        <f>IFERROR(
IF(AND(LEN(TRIM(B70))&gt;0,LEN(TRIM(C70))&gt;0),
'Bang TH nop'!BG71,
0
),
0
)</f>
        <v>0</v>
      </c>
      <c r="AB71" s="344">
        <f t="shared" ref="AB71" si="611">IFERROR(
IF(AND(LEN(TRIM(B70))&gt;0,LEN(TRIM(C70))&gt;0),
SUM(I71:W71)+IFERROR(Z71,0)+IFERROR(AA71,0),
0
),
0
)</f>
        <v>0</v>
      </c>
      <c r="AC71" s="340">
        <f t="shared" ref="AC71" si="612">IFERROR(
IF(AND(LEN(TRIM(B70))&gt;0,LEN(TRIM(C70))&gt;0),
IF((26-(IFERROR(I70,0)+IFERROR(K70,0)+IFERROR(L70,0)+IFERROR(M70,0)))&gt;12,0,D71*10.5%),
0
),
0
)</f>
        <v>0</v>
      </c>
      <c r="AD71" s="340">
        <f t="shared" ref="AD71" si="613">IFERROR(
IF(AND(LEN(TRIM(B70))&gt;0,LEN(TRIM(C70))&gt;0),
ROUND(IF(D71=4939000,D71*0.5%,0),-2),
0
),
0
)</f>
        <v>0</v>
      </c>
      <c r="AE71" s="344">
        <f t="shared" ref="AE71" si="614">IFERROR(
IF(AND(LEN(TRIM(B70))&gt;0,LEN(TRIM(C70))&gt;0),
ROUND(IFERROR(AB71,0)-IFERROR(AC71,0)-IFERROR(AD71,0),-2),
0
),
0
)</f>
        <v>0</v>
      </c>
      <c r="AF71" s="347">
        <f>IFERROR(
IF(AND(LEN(TRIM(B70))&gt;0,LEN(TRIM(C70))&gt;0),
IFERROR('Bang TH nop'!AQ71,0)+IFERROR('Bang TH nop'!AT71,0)+IFERROR('Bang TH nop'!BF71,0),
0
),
0
)</f>
        <v>0</v>
      </c>
      <c r="AG71" s="348"/>
      <c r="AH71" s="354"/>
      <c r="AI71" s="355">
        <f t="shared" ref="AI71" si="615">IFERROR(
IF(AND(LEN(TRIM(B70))&gt;0,LEN(TRIM(C70))&gt;0),
AH71/AG71,
0
),
0
)</f>
        <v>0</v>
      </c>
      <c r="AJ71" s="355">
        <f t="shared" ref="AJ71" si="616">IFERROR(
IF(AND(LEN(TRIM(B70))&gt;0,LEN(TRIM(C70))&gt;0),
AL71/AF71,
0
),
0
)</f>
        <v>0</v>
      </c>
      <c r="AK71" s="356">
        <f t="shared" ref="AK71" si="617">IFERROR(
IF(AND(LEN(TRIM(B70))&gt;0,LEN(TRIM(C70))&gt;0),
AJ71/AI71,
0
),
0
)</f>
        <v>0</v>
      </c>
      <c r="AL71" s="357">
        <f t="shared" ref="AL71" si="618">IFERROR(
IF(AND(LEN(TRIM(B70))&gt;0,LEN(TRIM(C70))&gt;0),
AB71/L71,
0
),
0
)</f>
        <v>0</v>
      </c>
    </row>
    <row r="72" spans="1:38" ht="17.100000000000001" customHeight="1">
      <c r="A72" s="424">
        <f t="shared" ref="A72" si="619">A70+1</f>
        <v>33</v>
      </c>
      <c r="B72" s="426">
        <f>'Bang TH nop'!B73</f>
        <v>0</v>
      </c>
      <c r="C72" s="421">
        <f>IFERROR(IF(LEN(TRIM(B72))&gt;0,'Bang TH nop'!C73,""),"")</f>
        <v>0</v>
      </c>
      <c r="D72" s="398">
        <f>IFERROR(IF(AND(LEN(TRIM(B72))&gt;0,LEN(TRIM(C72))&gt;0),'Bang TH nop'!AO73,""),"")</f>
        <v>0</v>
      </c>
      <c r="E72" s="399"/>
      <c r="F72" s="340"/>
      <c r="G72" s="341"/>
      <c r="H72" s="341"/>
      <c r="I72" s="342">
        <f>IFERROR(IF(AND(LEN(TRIM(B72))&gt;0,LEN(TRIM(C72))&gt;0),'Bang TH nop'!BB73,0),0)</f>
        <v>0</v>
      </c>
      <c r="J72" s="342">
        <f>IFERROR(IF(AND(LEN(TRIM(B72))&gt;0,LEN(TRIM(C72))&gt;0),'Bang TH nop'!AV73,0),0)</f>
        <v>0</v>
      </c>
      <c r="K72" s="342">
        <f>IFERROR(IF(AND(LEN(TRIM(B72))&gt;0,LEN(TRIM(C72))&gt;0),'Bang TH nop'!AR73,0),0)</f>
        <v>0</v>
      </c>
      <c r="L72" s="343">
        <f>IFERROR(IF(AND(LEN(TRIM(B72))&gt;0,LEN(TRIM(C72))&gt;0),'Bang TH nop'!AS73,0),0)</f>
        <v>0</v>
      </c>
      <c r="M72" s="342">
        <f>IFERROR(IF(AND(LEN(TRIM(B72))&gt;0,LEN(TRIM(C72))&gt;0),'Bang TH nop'!AT73,0),0)</f>
        <v>0</v>
      </c>
      <c r="N72" s="344">
        <f>IFERROR(IF(AND(LEN(TRIM(B72))&gt;0,LEN(TRIM(C72))&gt;0),'Bang TH nop'!AU73,0),0)</f>
        <v>0</v>
      </c>
      <c r="O72" s="342">
        <f>IFERROR(IF(AND(LEN(TRIM(B72))&gt;0,LEN(TRIM(C72))&gt;0),'Bang TH nop'!BE73,0),0)</f>
        <v>0</v>
      </c>
      <c r="P72" s="345">
        <f>IFERROR(IF(AND(LEN(TRIM(B72))&gt;0,LEN(TRIM(C72))&gt;0),'Bang TH nop'!AZ73,0),0)</f>
        <v>0</v>
      </c>
      <c r="Q72" s="343"/>
      <c r="R72" s="342"/>
      <c r="S72" s="342"/>
      <c r="T72" s="342"/>
      <c r="U72" s="341"/>
      <c r="V72" s="341"/>
      <c r="W72" s="341"/>
      <c r="X72" s="341"/>
      <c r="Y72" s="341"/>
      <c r="Z72" s="341"/>
      <c r="AA72" s="340" t="str">
        <f>IFERROR(
IF(AND(LEN(TRIM(B72))&gt;0,LEN(TRIM(C72))&gt;0),
'Bang TH nop'!AH73,
0
),
0
)</f>
        <v>A</v>
      </c>
      <c r="AB72" s="346"/>
      <c r="AC72" s="346"/>
      <c r="AD72" s="341"/>
      <c r="AE72" s="346"/>
      <c r="AF72" s="347"/>
      <c r="AG72" s="348"/>
      <c r="AH72" s="349"/>
      <c r="AI72" s="350"/>
      <c r="AJ72" s="351"/>
      <c r="AK72" s="350"/>
      <c r="AL72" s="352"/>
    </row>
    <row r="73" spans="1:38" ht="17.100000000000001" customHeight="1">
      <c r="A73" s="425"/>
      <c r="B73" s="426"/>
      <c r="C73" s="422"/>
      <c r="D73" s="397">
        <f>IFERROR(IF(AND(LEN(TRIM(B72))&gt;0,LEN(TRIM(C72))&gt;0),'Bang TH nop'!AP73,""),"")</f>
        <v>0</v>
      </c>
      <c r="E73" s="397"/>
      <c r="F73" s="353">
        <f>IFERROR(IF(AND(LEN(TRIM(B72))&gt;0,LEN(TRIM(C72))&gt;0),'Bang TH nop'!AL73,0),0)</f>
        <v>0</v>
      </c>
      <c r="G73" s="340">
        <f t="shared" ref="G73" si="620">D73*I72/26</f>
        <v>0</v>
      </c>
      <c r="H73" s="340">
        <f t="shared" ref="H73" si="621">D73*J72*150%/(26*8)</f>
        <v>0</v>
      </c>
      <c r="I73" s="340"/>
      <c r="J73" s="340"/>
      <c r="K73" s="344">
        <f t="shared" ref="K73" si="622">IFERROR(
IF(AND(LEN(TRIM(B72))&gt;0,LEN(TRIM(C72))&gt;0),
ROUND(D73/26*K72,0),
0
),
0
)</f>
        <v>0</v>
      </c>
      <c r="L73" s="344">
        <f t="shared" ref="L73" si="623">IFERROR(
IF(AND(LEN(TRIM(B72))&gt;0,LEN(TRIM(C72))&gt;0),
ROUND(D73/26*L72,0),
0
),
0
)</f>
        <v>0</v>
      </c>
      <c r="M73" s="344">
        <f t="shared" ref="M73" si="624">IFERROR(
IF(AND(LEN(TRIM(B72))&gt;0,LEN(TRIM(C72))&gt;0),
ROUND(D73/26*M72,0),
0
),
0
)</f>
        <v>0</v>
      </c>
      <c r="N73" s="344">
        <f t="shared" ref="N73" si="625">IFERROR(
IF(AND(LEN(TRIM(B72))&gt;0,LEN(TRIM(C72))&gt;0),
D73*N72/(26*8),
0
),
0
)</f>
        <v>0</v>
      </c>
      <c r="O73" s="344">
        <f t="shared" ref="O73" si="626">IFERROR(
IF(AND(LEN(TRIM(B72))&gt;0,LEN(TRIM(C72))&gt;0),
D73*O72/(26*8),
0
),
0
)</f>
        <v>0</v>
      </c>
      <c r="P73" s="344">
        <f t="shared" ref="P73" si="627">IFERROR(
IF(AND(LEN(TRIM(B72))&gt;0,LEN(TRIM(C72))&gt;0),
(D73/26/8*P72),
0
),
0
)</f>
        <v>0</v>
      </c>
      <c r="Q73" s="344">
        <f>IFERROR(
IF(AND(LEN(TRIM(B72))&gt;0,LEN(TRIM(C72))&gt;0),
'Bang TH nop'!BC73,
0
),
0
)</f>
        <v>0</v>
      </c>
      <c r="R73" s="340">
        <f>IFERROR(
IF(AND(LEN(TRIM(B72))&gt;0,LEN(TRIM(C72))&gt;0),
'Bang TH nop'!BD73,
0
),
0
)</f>
        <v>0</v>
      </c>
      <c r="S73" s="340">
        <f>IFERROR(
IF(AND(LEN(TRIM(B72))&gt;0,LEN(TRIM(C72))&gt;0),
'Bang TH nop'!BJ73,
0
),
0
)</f>
        <v>0</v>
      </c>
      <c r="T73" s="340">
        <f>IFERROR(
IF(AND(LEN(TRIM(B72))&gt;0,LEN(TRIM(C72))&gt;0),
IFERROR('Bang TH nop'!AW73,0)+IFERROR('Bang TH nop'!BH73,0),
0
),
0
)</f>
        <v>0</v>
      </c>
      <c r="U73" s="344"/>
      <c r="V73" s="344"/>
      <c r="W73" s="344"/>
      <c r="X73" s="340">
        <f t="shared" ref="X73" si="628">+IF(G73-I73&lt;0,0,G73-I73)</f>
        <v>0</v>
      </c>
      <c r="Y73" s="340">
        <f t="shared" ref="Y73" si="629">+IF(H73-J73&lt;0,0, H73-J73)</f>
        <v>0</v>
      </c>
      <c r="Z73" s="340">
        <f t="shared" ref="Z73" si="630">IFERROR(
IF(AND(LEN(TRIM(B72))&gt;0,LEN(TRIM(C72))&gt;0),
(X73+Y73)*25%,
0
),
0
)</f>
        <v>0</v>
      </c>
      <c r="AA73" s="340">
        <f>IFERROR(
IF(AND(LEN(TRIM(B72))&gt;0,LEN(TRIM(C72))&gt;0),
'Bang TH nop'!BG73,
0
),
0
)</f>
        <v>0</v>
      </c>
      <c r="AB73" s="344">
        <f t="shared" ref="AB73" si="631">IFERROR(
IF(AND(LEN(TRIM(B72))&gt;0,LEN(TRIM(C72))&gt;0),
SUM(I73:W73)+IFERROR(Z73,0)+IFERROR(AA73,0),
0
),
0
)</f>
        <v>0</v>
      </c>
      <c r="AC73" s="340">
        <f t="shared" ref="AC73" si="632">IFERROR(
IF(AND(LEN(TRIM(B72))&gt;0,LEN(TRIM(C72))&gt;0),
IF((26-(IFERROR(I72,0)+IFERROR(K72,0)+IFERROR(L72,0)+IFERROR(M72,0)))&gt;12,0,D73*10.5%),
0
),
0
)</f>
        <v>0</v>
      </c>
      <c r="AD73" s="340">
        <f t="shared" ref="AD73" si="633">IFERROR(
IF(AND(LEN(TRIM(B72))&gt;0,LEN(TRIM(C72))&gt;0),
ROUND(IF(D73=4939000,D73*0.5%,0),-2),
0
),
0
)</f>
        <v>0</v>
      </c>
      <c r="AE73" s="344">
        <f t="shared" ref="AE73" si="634">IFERROR(
IF(AND(LEN(TRIM(B72))&gt;0,LEN(TRIM(C72))&gt;0),
ROUND(IFERROR(AB73,0)-IFERROR(AC73,0)-IFERROR(AD73,0),-2),
0
),
0
)</f>
        <v>0</v>
      </c>
      <c r="AF73" s="347">
        <f>IFERROR(
IF(AND(LEN(TRIM(B72))&gt;0,LEN(TRIM(C72))&gt;0),
IFERROR('Bang TH nop'!AQ73,0)+IFERROR('Bang TH nop'!AT73,0)+IFERROR('Bang TH nop'!BF73,0),
0
),
0
)</f>
        <v>0</v>
      </c>
      <c r="AG73" s="348"/>
      <c r="AH73" s="354"/>
      <c r="AI73" s="355">
        <f t="shared" ref="AI73" si="635">IFERROR(
IF(AND(LEN(TRIM(B72))&gt;0,LEN(TRIM(C72))&gt;0),
AH73/AG73,
0
),
0
)</f>
        <v>0</v>
      </c>
      <c r="AJ73" s="355">
        <f t="shared" ref="AJ73" si="636">IFERROR(
IF(AND(LEN(TRIM(B72))&gt;0,LEN(TRIM(C72))&gt;0),
AL73/AF73,
0
),
0
)</f>
        <v>0</v>
      </c>
      <c r="AK73" s="356">
        <f t="shared" ref="AK73" si="637">IFERROR(
IF(AND(LEN(TRIM(B72))&gt;0,LEN(TRIM(C72))&gt;0),
AJ73/AI73,
0
),
0
)</f>
        <v>0</v>
      </c>
      <c r="AL73" s="357">
        <f t="shared" ref="AL73" si="638">IFERROR(
IF(AND(LEN(TRIM(B72))&gt;0,LEN(TRIM(C72))&gt;0),
AB73/L73,
0
),
0
)</f>
        <v>0</v>
      </c>
    </row>
    <row r="74" spans="1:38" ht="17.100000000000001" customHeight="1">
      <c r="A74" s="424">
        <f t="shared" ref="A74" si="639">A72+1</f>
        <v>34</v>
      </c>
      <c r="B74" s="426">
        <f>'Bang TH nop'!B75</f>
        <v>0</v>
      </c>
      <c r="C74" s="421">
        <f>IFERROR(IF(LEN(TRIM(B74))&gt;0,'Bang TH nop'!C75,""),"")</f>
        <v>0</v>
      </c>
      <c r="D74" s="398">
        <f>IFERROR(IF(AND(LEN(TRIM(B74))&gt;0,LEN(TRIM(C74))&gt;0),'Bang TH nop'!AO75,""),"")</f>
        <v>0</v>
      </c>
      <c r="E74" s="399"/>
      <c r="F74" s="340"/>
      <c r="G74" s="341"/>
      <c r="H74" s="341"/>
      <c r="I74" s="342">
        <f>IFERROR(IF(AND(LEN(TRIM(B74))&gt;0,LEN(TRIM(C74))&gt;0),'Bang TH nop'!BB75,0),0)</f>
        <v>0</v>
      </c>
      <c r="J74" s="342">
        <f>IFERROR(IF(AND(LEN(TRIM(B74))&gt;0,LEN(TRIM(C74))&gt;0),'Bang TH nop'!AV75,0),0)</f>
        <v>0</v>
      </c>
      <c r="K74" s="342">
        <f>IFERROR(IF(AND(LEN(TRIM(B74))&gt;0,LEN(TRIM(C74))&gt;0),'Bang TH nop'!AR75,0),0)</f>
        <v>0</v>
      </c>
      <c r="L74" s="343">
        <f>IFERROR(IF(AND(LEN(TRIM(B74))&gt;0,LEN(TRIM(C74))&gt;0),'Bang TH nop'!AS75,0),0)</f>
        <v>0</v>
      </c>
      <c r="M74" s="342">
        <f>IFERROR(IF(AND(LEN(TRIM(B74))&gt;0,LEN(TRIM(C74))&gt;0),'Bang TH nop'!AT75,0),0)</f>
        <v>0</v>
      </c>
      <c r="N74" s="344">
        <f>IFERROR(IF(AND(LEN(TRIM(B74))&gt;0,LEN(TRIM(C74))&gt;0),'Bang TH nop'!AU75,0),0)</f>
        <v>0</v>
      </c>
      <c r="O74" s="342">
        <f>IFERROR(IF(AND(LEN(TRIM(B74))&gt;0,LEN(TRIM(C74))&gt;0),'Bang TH nop'!BE75,0),0)</f>
        <v>0</v>
      </c>
      <c r="P74" s="345">
        <f>IFERROR(IF(AND(LEN(TRIM(B74))&gt;0,LEN(TRIM(C74))&gt;0),'Bang TH nop'!AZ75,0),0)</f>
        <v>0</v>
      </c>
      <c r="Q74" s="343"/>
      <c r="R74" s="342"/>
      <c r="S74" s="342"/>
      <c r="T74" s="342"/>
      <c r="U74" s="341"/>
      <c r="V74" s="341"/>
      <c r="W74" s="341"/>
      <c r="X74" s="341"/>
      <c r="Y74" s="341"/>
      <c r="Z74" s="341"/>
      <c r="AA74" s="340" t="str">
        <f>IFERROR(
IF(AND(LEN(TRIM(B74))&gt;0,LEN(TRIM(C74))&gt;0),
'Bang TH nop'!AH75,
0
),
0
)</f>
        <v>A</v>
      </c>
      <c r="AB74" s="346"/>
      <c r="AC74" s="346"/>
      <c r="AD74" s="341"/>
      <c r="AE74" s="346"/>
      <c r="AF74" s="347"/>
      <c r="AG74" s="348"/>
      <c r="AH74" s="349"/>
      <c r="AI74" s="350"/>
      <c r="AJ74" s="351"/>
      <c r="AK74" s="350"/>
      <c r="AL74" s="352"/>
    </row>
    <row r="75" spans="1:38" ht="17.100000000000001" customHeight="1">
      <c r="A75" s="425"/>
      <c r="B75" s="426"/>
      <c r="C75" s="422"/>
      <c r="D75" s="397">
        <f>IFERROR(IF(AND(LEN(TRIM(B74))&gt;0,LEN(TRIM(C74))&gt;0),'Bang TH nop'!AP75,""),"")</f>
        <v>0</v>
      </c>
      <c r="E75" s="397"/>
      <c r="F75" s="353">
        <f>IFERROR(IF(AND(LEN(TRIM(B74))&gt;0,LEN(TRIM(C74))&gt;0),'Bang TH nop'!AL75,0),0)</f>
        <v>0</v>
      </c>
      <c r="G75" s="340">
        <f t="shared" ref="G75" si="640">D75*I74/26</f>
        <v>0</v>
      </c>
      <c r="H75" s="340">
        <f t="shared" ref="H75" si="641">D75*J74*150%/(26*8)</f>
        <v>0</v>
      </c>
      <c r="I75" s="340"/>
      <c r="J75" s="340"/>
      <c r="K75" s="344">
        <f t="shared" ref="K75" si="642">IFERROR(
IF(AND(LEN(TRIM(B74))&gt;0,LEN(TRIM(C74))&gt;0),
ROUND(D75/26*K74,0),
0
),
0
)</f>
        <v>0</v>
      </c>
      <c r="L75" s="344">
        <f t="shared" ref="L75" si="643">IFERROR(
IF(AND(LEN(TRIM(B74))&gt;0,LEN(TRIM(C74))&gt;0),
ROUND(D75/26*L74,0),
0
),
0
)</f>
        <v>0</v>
      </c>
      <c r="M75" s="344">
        <f t="shared" ref="M75" si="644">IFERROR(
IF(AND(LEN(TRIM(B74))&gt;0,LEN(TRIM(C74))&gt;0),
ROUND(D75/26*M74,0),
0
),
0
)</f>
        <v>0</v>
      </c>
      <c r="N75" s="344">
        <f t="shared" ref="N75" si="645">IFERROR(
IF(AND(LEN(TRIM(B74))&gt;0,LEN(TRIM(C74))&gt;0),
D75*N74/(26*8),
0
),
0
)</f>
        <v>0</v>
      </c>
      <c r="O75" s="344">
        <f t="shared" ref="O75" si="646">IFERROR(
IF(AND(LEN(TRIM(B74))&gt;0,LEN(TRIM(C74))&gt;0),
D75*O74/(26*8),
0
),
0
)</f>
        <v>0</v>
      </c>
      <c r="P75" s="344">
        <f t="shared" ref="P75" si="647">IFERROR(
IF(AND(LEN(TRIM(B74))&gt;0,LEN(TRIM(C74))&gt;0),
(D75/26/8*P74),
0
),
0
)</f>
        <v>0</v>
      </c>
      <c r="Q75" s="344">
        <f>IFERROR(
IF(AND(LEN(TRIM(B74))&gt;0,LEN(TRIM(C74))&gt;0),
'Bang TH nop'!BC75,
0
),
0
)</f>
        <v>0</v>
      </c>
      <c r="R75" s="340">
        <f>IFERROR(
IF(AND(LEN(TRIM(B74))&gt;0,LEN(TRIM(C74))&gt;0),
'Bang TH nop'!BD75,
0
),
0
)</f>
        <v>0</v>
      </c>
      <c r="S75" s="340">
        <f>IFERROR(
IF(AND(LEN(TRIM(B74))&gt;0,LEN(TRIM(C74))&gt;0),
'Bang TH nop'!BJ75,
0
),
0
)</f>
        <v>0</v>
      </c>
      <c r="T75" s="340">
        <f>IFERROR(
IF(AND(LEN(TRIM(B74))&gt;0,LEN(TRIM(C74))&gt;0),
IFERROR('Bang TH nop'!AW75,0)+IFERROR('Bang TH nop'!BH75,0),
0
),
0
)</f>
        <v>0</v>
      </c>
      <c r="U75" s="344"/>
      <c r="V75" s="344"/>
      <c r="W75" s="344"/>
      <c r="X75" s="340">
        <f t="shared" ref="X75" si="648">+IF(G75-I75&lt;0,0,G75-I75)</f>
        <v>0</v>
      </c>
      <c r="Y75" s="340">
        <f t="shared" ref="Y75" si="649">+IF(H75-J75&lt;0,0, H75-J75)</f>
        <v>0</v>
      </c>
      <c r="Z75" s="340">
        <f t="shared" ref="Z75" si="650">IFERROR(
IF(AND(LEN(TRIM(B74))&gt;0,LEN(TRIM(C74))&gt;0),
(X75+Y75)*25%,
0
),
0
)</f>
        <v>0</v>
      </c>
      <c r="AA75" s="340">
        <f>IFERROR(
IF(AND(LEN(TRIM(B74))&gt;0,LEN(TRIM(C74))&gt;0),
'Bang TH nop'!BG75,
0
),
0
)</f>
        <v>0</v>
      </c>
      <c r="AB75" s="344">
        <f t="shared" ref="AB75" si="651">IFERROR(
IF(AND(LEN(TRIM(B74))&gt;0,LEN(TRIM(C74))&gt;0),
SUM(I75:W75)+IFERROR(Z75,0)+IFERROR(AA75,0),
0
),
0
)</f>
        <v>0</v>
      </c>
      <c r="AC75" s="340">
        <f t="shared" ref="AC75" si="652">IFERROR(
IF(AND(LEN(TRIM(B74))&gt;0,LEN(TRIM(C74))&gt;0),
IF((26-(IFERROR(I74,0)+IFERROR(K74,0)+IFERROR(L74,0)+IFERROR(M74,0)))&gt;12,0,D75*10.5%),
0
),
0
)</f>
        <v>0</v>
      </c>
      <c r="AD75" s="340">
        <f t="shared" ref="AD75" si="653">IFERROR(
IF(AND(LEN(TRIM(B74))&gt;0,LEN(TRIM(C74))&gt;0),
ROUND(IF(D75=4939000,D75*0.5%,0),-2),
0
),
0
)</f>
        <v>0</v>
      </c>
      <c r="AE75" s="344">
        <f t="shared" ref="AE75" si="654">IFERROR(
IF(AND(LEN(TRIM(B74))&gt;0,LEN(TRIM(C74))&gt;0),
ROUND(IFERROR(AB75,0)-IFERROR(AC75,0)-IFERROR(AD75,0),-2),
0
),
0
)</f>
        <v>0</v>
      </c>
      <c r="AF75" s="347">
        <f>IFERROR(
IF(AND(LEN(TRIM(B74))&gt;0,LEN(TRIM(C74))&gt;0),
IFERROR('Bang TH nop'!AQ75,0)+IFERROR('Bang TH nop'!AT75,0)+IFERROR('Bang TH nop'!BF75,0),
0
),
0
)</f>
        <v>0</v>
      </c>
      <c r="AG75" s="348"/>
      <c r="AH75" s="354"/>
      <c r="AI75" s="355">
        <f t="shared" ref="AI75" si="655">IFERROR(
IF(AND(LEN(TRIM(B74))&gt;0,LEN(TRIM(C74))&gt;0),
AH75/AG75,
0
),
0
)</f>
        <v>0</v>
      </c>
      <c r="AJ75" s="355">
        <f t="shared" ref="AJ75" si="656">IFERROR(
IF(AND(LEN(TRIM(B74))&gt;0,LEN(TRIM(C74))&gt;0),
AL75/AF75,
0
),
0
)</f>
        <v>0</v>
      </c>
      <c r="AK75" s="356">
        <f t="shared" ref="AK75" si="657">IFERROR(
IF(AND(LEN(TRIM(B74))&gt;0,LEN(TRIM(C74))&gt;0),
AJ75/AI75,
0
),
0
)</f>
        <v>0</v>
      </c>
      <c r="AL75" s="357">
        <f t="shared" ref="AL75" si="658">IFERROR(
IF(AND(LEN(TRIM(B74))&gt;0,LEN(TRIM(C74))&gt;0),
AB75/L75,
0
),
0
)</f>
        <v>0</v>
      </c>
    </row>
    <row r="76" spans="1:38" ht="17.100000000000001" customHeight="1">
      <c r="A76" s="424">
        <f t="shared" ref="A76" si="659">A74+1</f>
        <v>35</v>
      </c>
      <c r="B76" s="426">
        <f>'Bang TH nop'!B77</f>
        <v>0</v>
      </c>
      <c r="C76" s="421">
        <f>IFERROR(IF(LEN(TRIM(B76))&gt;0,'Bang TH nop'!C77,""),"")</f>
        <v>0</v>
      </c>
      <c r="D76" s="398">
        <f>IFERROR(IF(AND(LEN(TRIM(B76))&gt;0,LEN(TRIM(C76))&gt;0),'Bang TH nop'!AO77,""),"")</f>
        <v>0</v>
      </c>
      <c r="E76" s="399"/>
      <c r="F76" s="340"/>
      <c r="G76" s="341"/>
      <c r="H76" s="341"/>
      <c r="I76" s="342">
        <f>IFERROR(IF(AND(LEN(TRIM(B76))&gt;0,LEN(TRIM(C76))&gt;0),'Bang TH nop'!BB77,0),0)</f>
        <v>0</v>
      </c>
      <c r="J76" s="342">
        <f>IFERROR(IF(AND(LEN(TRIM(B76))&gt;0,LEN(TRIM(C76))&gt;0),'Bang TH nop'!AV77,0),0)</f>
        <v>0</v>
      </c>
      <c r="K76" s="342">
        <f>IFERROR(IF(AND(LEN(TRIM(B76))&gt;0,LEN(TRIM(C76))&gt;0),'Bang TH nop'!AR77,0),0)</f>
        <v>0</v>
      </c>
      <c r="L76" s="343">
        <f>IFERROR(IF(AND(LEN(TRIM(B76))&gt;0,LEN(TRIM(C76))&gt;0),'Bang TH nop'!AS77,0),0)</f>
        <v>0</v>
      </c>
      <c r="M76" s="342">
        <f>IFERROR(IF(AND(LEN(TRIM(B76))&gt;0,LEN(TRIM(C76))&gt;0),'Bang TH nop'!AT77,0),0)</f>
        <v>0</v>
      </c>
      <c r="N76" s="344">
        <f>IFERROR(IF(AND(LEN(TRIM(B76))&gt;0,LEN(TRIM(C76))&gt;0),'Bang TH nop'!AU77,0),0)</f>
        <v>0</v>
      </c>
      <c r="O76" s="342">
        <f>IFERROR(IF(AND(LEN(TRIM(B76))&gt;0,LEN(TRIM(C76))&gt;0),'Bang TH nop'!BE77,0),0)</f>
        <v>0</v>
      </c>
      <c r="P76" s="345">
        <f>IFERROR(IF(AND(LEN(TRIM(B76))&gt;0,LEN(TRIM(C76))&gt;0),'Bang TH nop'!AZ77,0),0)</f>
        <v>0</v>
      </c>
      <c r="Q76" s="343"/>
      <c r="R76" s="342"/>
      <c r="S76" s="342"/>
      <c r="T76" s="342"/>
      <c r="U76" s="341"/>
      <c r="V76" s="341"/>
      <c r="W76" s="341"/>
      <c r="X76" s="341"/>
      <c r="Y76" s="341"/>
      <c r="Z76" s="341"/>
      <c r="AA76" s="340" t="str">
        <f>IFERROR(
IF(AND(LEN(TRIM(B76))&gt;0,LEN(TRIM(C76))&gt;0),
'Bang TH nop'!AH77,
0
),
0
)</f>
        <v>A</v>
      </c>
      <c r="AB76" s="346"/>
      <c r="AC76" s="346"/>
      <c r="AD76" s="341"/>
      <c r="AE76" s="346"/>
      <c r="AF76" s="347"/>
      <c r="AG76" s="348"/>
      <c r="AH76" s="349"/>
      <c r="AI76" s="350"/>
      <c r="AJ76" s="351"/>
      <c r="AK76" s="350"/>
      <c r="AL76" s="352"/>
    </row>
    <row r="77" spans="1:38" ht="17.100000000000001" customHeight="1">
      <c r="A77" s="425"/>
      <c r="B77" s="426"/>
      <c r="C77" s="422"/>
      <c r="D77" s="397">
        <f>IFERROR(IF(AND(LEN(TRIM(B76))&gt;0,LEN(TRIM(C76))&gt;0),'Bang TH nop'!AP77,""),"")</f>
        <v>0</v>
      </c>
      <c r="E77" s="397"/>
      <c r="F77" s="353">
        <f>IFERROR(IF(AND(LEN(TRIM(B76))&gt;0,LEN(TRIM(C76))&gt;0),'Bang TH nop'!AL77,0),0)</f>
        <v>0</v>
      </c>
      <c r="G77" s="340">
        <f t="shared" ref="G77" si="660">D77*I76/26</f>
        <v>0</v>
      </c>
      <c r="H77" s="340">
        <f t="shared" ref="H77" si="661">D77*J76*150%/(26*8)</f>
        <v>0</v>
      </c>
      <c r="I77" s="340"/>
      <c r="J77" s="340"/>
      <c r="K77" s="344">
        <f t="shared" ref="K77" si="662">IFERROR(
IF(AND(LEN(TRIM(B76))&gt;0,LEN(TRIM(C76))&gt;0),
ROUND(D77/26*K76,0),
0
),
0
)</f>
        <v>0</v>
      </c>
      <c r="L77" s="344">
        <f t="shared" ref="L77" si="663">IFERROR(
IF(AND(LEN(TRIM(B76))&gt;0,LEN(TRIM(C76))&gt;0),
ROUND(D77/26*L76,0),
0
),
0
)</f>
        <v>0</v>
      </c>
      <c r="M77" s="344">
        <f t="shared" ref="M77" si="664">IFERROR(
IF(AND(LEN(TRIM(B76))&gt;0,LEN(TRIM(C76))&gt;0),
ROUND(D77/26*M76,0),
0
),
0
)</f>
        <v>0</v>
      </c>
      <c r="N77" s="344">
        <f t="shared" ref="N77" si="665">IFERROR(
IF(AND(LEN(TRIM(B76))&gt;0,LEN(TRIM(C76))&gt;0),
D77*N76/(26*8),
0
),
0
)</f>
        <v>0</v>
      </c>
      <c r="O77" s="344">
        <f t="shared" ref="O77" si="666">IFERROR(
IF(AND(LEN(TRIM(B76))&gt;0,LEN(TRIM(C76))&gt;0),
D77*O76/(26*8),
0
),
0
)</f>
        <v>0</v>
      </c>
      <c r="P77" s="344">
        <f t="shared" ref="P77" si="667">IFERROR(
IF(AND(LEN(TRIM(B76))&gt;0,LEN(TRIM(C76))&gt;0),
(D77/26/8*P76),
0
),
0
)</f>
        <v>0</v>
      </c>
      <c r="Q77" s="344">
        <f>IFERROR(
IF(AND(LEN(TRIM(B76))&gt;0,LEN(TRIM(C76))&gt;0),
'Bang TH nop'!BC77,
0
),
0
)</f>
        <v>0</v>
      </c>
      <c r="R77" s="340">
        <f>IFERROR(
IF(AND(LEN(TRIM(B76))&gt;0,LEN(TRIM(C76))&gt;0),
'Bang TH nop'!BD77,
0
),
0
)</f>
        <v>0</v>
      </c>
      <c r="S77" s="340">
        <f>IFERROR(
IF(AND(LEN(TRIM(B76))&gt;0,LEN(TRIM(C76))&gt;0),
'Bang TH nop'!BJ77,
0
),
0
)</f>
        <v>0</v>
      </c>
      <c r="T77" s="340">
        <f>IFERROR(
IF(AND(LEN(TRIM(B76))&gt;0,LEN(TRIM(C76))&gt;0),
IFERROR('Bang TH nop'!AW77,0)+IFERROR('Bang TH nop'!BH77,0),
0
),
0
)</f>
        <v>0</v>
      </c>
      <c r="U77" s="344"/>
      <c r="V77" s="344"/>
      <c r="W77" s="344"/>
      <c r="X77" s="340">
        <f t="shared" ref="X77" si="668">+IF(G77-I77&lt;0,0,G77-I77)</f>
        <v>0</v>
      </c>
      <c r="Y77" s="340">
        <f t="shared" ref="Y77" si="669">+IF(H77-J77&lt;0,0, H77-J77)</f>
        <v>0</v>
      </c>
      <c r="Z77" s="340">
        <f t="shared" ref="Z77" si="670">IFERROR(
IF(AND(LEN(TRIM(B76))&gt;0,LEN(TRIM(C76))&gt;0),
(X77+Y77)*25%,
0
),
0
)</f>
        <v>0</v>
      </c>
      <c r="AA77" s="340">
        <f>IFERROR(
IF(AND(LEN(TRIM(B76))&gt;0,LEN(TRIM(C76))&gt;0),
'Bang TH nop'!BG77,
0
),
0
)</f>
        <v>0</v>
      </c>
      <c r="AB77" s="344">
        <f t="shared" ref="AB77" si="671">IFERROR(
IF(AND(LEN(TRIM(B76))&gt;0,LEN(TRIM(C76))&gt;0),
SUM(I77:W77)+IFERROR(Z77,0)+IFERROR(AA77,0),
0
),
0
)</f>
        <v>0</v>
      </c>
      <c r="AC77" s="340">
        <f t="shared" ref="AC77" si="672">IFERROR(
IF(AND(LEN(TRIM(B76))&gt;0,LEN(TRIM(C76))&gt;0),
IF((26-(IFERROR(I76,0)+IFERROR(K76,0)+IFERROR(L76,0)+IFERROR(M76,0)))&gt;12,0,D77*10.5%),
0
),
0
)</f>
        <v>0</v>
      </c>
      <c r="AD77" s="340">
        <f t="shared" ref="AD77" si="673">IFERROR(
IF(AND(LEN(TRIM(B76))&gt;0,LEN(TRIM(C76))&gt;0),
ROUND(IF(D77=4939000,D77*0.5%,0),-2),
0
),
0
)</f>
        <v>0</v>
      </c>
      <c r="AE77" s="344">
        <f t="shared" ref="AE77" si="674">IFERROR(
IF(AND(LEN(TRIM(B76))&gt;0,LEN(TRIM(C76))&gt;0),
ROUND(IFERROR(AB77,0)-IFERROR(AC77,0)-IFERROR(AD77,0),-2),
0
),
0
)</f>
        <v>0</v>
      </c>
      <c r="AF77" s="347">
        <f>IFERROR(
IF(AND(LEN(TRIM(B76))&gt;0,LEN(TRIM(C76))&gt;0),
IFERROR('Bang TH nop'!AQ77,0)+IFERROR('Bang TH nop'!AT77,0)+IFERROR('Bang TH nop'!BF77,0),
0
),
0
)</f>
        <v>0</v>
      </c>
      <c r="AG77" s="348"/>
      <c r="AH77" s="354"/>
      <c r="AI77" s="355">
        <f t="shared" ref="AI77" si="675">IFERROR(
IF(AND(LEN(TRIM(B76))&gt;0,LEN(TRIM(C76))&gt;0),
AH77/AG77,
0
),
0
)</f>
        <v>0</v>
      </c>
      <c r="AJ77" s="355">
        <f t="shared" ref="AJ77" si="676">IFERROR(
IF(AND(LEN(TRIM(B76))&gt;0,LEN(TRIM(C76))&gt;0),
AL77/AF77,
0
),
0
)</f>
        <v>0</v>
      </c>
      <c r="AK77" s="356">
        <f t="shared" ref="AK77" si="677">IFERROR(
IF(AND(LEN(TRIM(B76))&gt;0,LEN(TRIM(C76))&gt;0),
AJ77/AI77,
0
),
0
)</f>
        <v>0</v>
      </c>
      <c r="AL77" s="357">
        <f t="shared" ref="AL77" si="678">IFERROR(
IF(AND(LEN(TRIM(B76))&gt;0,LEN(TRIM(C76))&gt;0),
AB77/L77,
0
),
0
)</f>
        <v>0</v>
      </c>
    </row>
    <row r="78" spans="1:38" ht="17.100000000000001" customHeight="1">
      <c r="A78" s="424">
        <f t="shared" ref="A78" si="679">A76+1</f>
        <v>36</v>
      </c>
      <c r="B78" s="426">
        <f>'Bang TH nop'!B79</f>
        <v>0</v>
      </c>
      <c r="C78" s="421">
        <f>IFERROR(IF(LEN(TRIM(B78))&gt;0,'Bang TH nop'!C79,""),"")</f>
        <v>0</v>
      </c>
      <c r="D78" s="398">
        <f>IFERROR(IF(AND(LEN(TRIM(B78))&gt;0,LEN(TRIM(C78))&gt;0),'Bang TH nop'!AO79,""),"")</f>
        <v>0</v>
      </c>
      <c r="E78" s="399"/>
      <c r="F78" s="340"/>
      <c r="G78" s="341"/>
      <c r="H78" s="341"/>
      <c r="I78" s="342">
        <f>IFERROR(IF(AND(LEN(TRIM(B78))&gt;0,LEN(TRIM(C78))&gt;0),'Bang TH nop'!BB79,0),0)</f>
        <v>0</v>
      </c>
      <c r="J78" s="342">
        <f>IFERROR(IF(AND(LEN(TRIM(B78))&gt;0,LEN(TRIM(C78))&gt;0),'Bang TH nop'!AV79,0),0)</f>
        <v>0</v>
      </c>
      <c r="K78" s="342">
        <f>IFERROR(IF(AND(LEN(TRIM(B78))&gt;0,LEN(TRIM(C78))&gt;0),'Bang TH nop'!AR79,0),0)</f>
        <v>0</v>
      </c>
      <c r="L78" s="343">
        <f>IFERROR(IF(AND(LEN(TRIM(B78))&gt;0,LEN(TRIM(C78))&gt;0),'Bang TH nop'!AS79,0),0)</f>
        <v>0</v>
      </c>
      <c r="M78" s="342">
        <f>IFERROR(IF(AND(LEN(TRIM(B78))&gt;0,LEN(TRIM(C78))&gt;0),'Bang TH nop'!AT79,0),0)</f>
        <v>0</v>
      </c>
      <c r="N78" s="344">
        <f>IFERROR(IF(AND(LEN(TRIM(B78))&gt;0,LEN(TRIM(C78))&gt;0),'Bang TH nop'!AU79,0),0)</f>
        <v>0</v>
      </c>
      <c r="O78" s="342">
        <f>IFERROR(IF(AND(LEN(TRIM(B78))&gt;0,LEN(TRIM(C78))&gt;0),'Bang TH nop'!BE79,0),0)</f>
        <v>0</v>
      </c>
      <c r="P78" s="345">
        <f>IFERROR(IF(AND(LEN(TRIM(B78))&gt;0,LEN(TRIM(C78))&gt;0),'Bang TH nop'!AZ79,0),0)</f>
        <v>0</v>
      </c>
      <c r="Q78" s="343"/>
      <c r="R78" s="342"/>
      <c r="S78" s="342"/>
      <c r="T78" s="342"/>
      <c r="U78" s="341"/>
      <c r="V78" s="341"/>
      <c r="W78" s="341"/>
      <c r="X78" s="341"/>
      <c r="Y78" s="341"/>
      <c r="Z78" s="341"/>
      <c r="AA78" s="340" t="str">
        <f>IFERROR(
IF(AND(LEN(TRIM(B78))&gt;0,LEN(TRIM(C78))&gt;0),
'Bang TH nop'!AH79,
0
),
0
)</f>
        <v>A</v>
      </c>
      <c r="AB78" s="346"/>
      <c r="AC78" s="346"/>
      <c r="AD78" s="341"/>
      <c r="AE78" s="346"/>
      <c r="AF78" s="347"/>
      <c r="AG78" s="348"/>
      <c r="AH78" s="349"/>
      <c r="AI78" s="350"/>
      <c r="AJ78" s="351"/>
      <c r="AK78" s="350"/>
      <c r="AL78" s="352"/>
    </row>
    <row r="79" spans="1:38" ht="17.100000000000001" customHeight="1">
      <c r="A79" s="425"/>
      <c r="B79" s="426"/>
      <c r="C79" s="422"/>
      <c r="D79" s="397">
        <f>IFERROR(IF(AND(LEN(TRIM(B78))&gt;0,LEN(TRIM(C78))&gt;0),'Bang TH nop'!AP79,""),"")</f>
        <v>0</v>
      </c>
      <c r="E79" s="397"/>
      <c r="F79" s="353">
        <f>IFERROR(IF(AND(LEN(TRIM(B78))&gt;0,LEN(TRIM(C78))&gt;0),'Bang TH nop'!AL79,0),0)</f>
        <v>0</v>
      </c>
      <c r="G79" s="340">
        <f t="shared" ref="G79" si="680">D79*I78/26</f>
        <v>0</v>
      </c>
      <c r="H79" s="340">
        <f t="shared" ref="H79" si="681">D79*J78*150%/(26*8)</f>
        <v>0</v>
      </c>
      <c r="I79" s="340"/>
      <c r="J79" s="340"/>
      <c r="K79" s="344">
        <f t="shared" ref="K79" si="682">IFERROR(
IF(AND(LEN(TRIM(B78))&gt;0,LEN(TRIM(C78))&gt;0),
ROUND(D79/26*K78,0),
0
),
0
)</f>
        <v>0</v>
      </c>
      <c r="L79" s="344">
        <f t="shared" ref="L79" si="683">IFERROR(
IF(AND(LEN(TRIM(B78))&gt;0,LEN(TRIM(C78))&gt;0),
ROUND(D79/26*L78,0),
0
),
0
)</f>
        <v>0</v>
      </c>
      <c r="M79" s="344">
        <f t="shared" ref="M79" si="684">IFERROR(
IF(AND(LEN(TRIM(B78))&gt;0,LEN(TRIM(C78))&gt;0),
ROUND(D79/26*M78,0),
0
),
0
)</f>
        <v>0</v>
      </c>
      <c r="N79" s="344">
        <f t="shared" ref="N79" si="685">IFERROR(
IF(AND(LEN(TRIM(B78))&gt;0,LEN(TRIM(C78))&gt;0),
D79*N78/(26*8),
0
),
0
)</f>
        <v>0</v>
      </c>
      <c r="O79" s="344">
        <f t="shared" ref="O79" si="686">IFERROR(
IF(AND(LEN(TRIM(B78))&gt;0,LEN(TRIM(C78))&gt;0),
D79*O78/(26*8),
0
),
0
)</f>
        <v>0</v>
      </c>
      <c r="P79" s="344">
        <f t="shared" ref="P79" si="687">IFERROR(
IF(AND(LEN(TRIM(B78))&gt;0,LEN(TRIM(C78))&gt;0),
(D79/26/8*P78),
0
),
0
)</f>
        <v>0</v>
      </c>
      <c r="Q79" s="344">
        <f>IFERROR(
IF(AND(LEN(TRIM(B78))&gt;0,LEN(TRIM(C78))&gt;0),
'Bang TH nop'!BC79,
0
),
0
)</f>
        <v>0</v>
      </c>
      <c r="R79" s="340">
        <f>IFERROR(
IF(AND(LEN(TRIM(B78))&gt;0,LEN(TRIM(C78))&gt;0),
'Bang TH nop'!BD79,
0
),
0
)</f>
        <v>0</v>
      </c>
      <c r="S79" s="340">
        <f>IFERROR(
IF(AND(LEN(TRIM(B78))&gt;0,LEN(TRIM(C78))&gt;0),
'Bang TH nop'!BJ79,
0
),
0
)</f>
        <v>0</v>
      </c>
      <c r="T79" s="340">
        <f>IFERROR(
IF(AND(LEN(TRIM(B78))&gt;0,LEN(TRIM(C78))&gt;0),
IFERROR('Bang TH nop'!AW79,0)+IFERROR('Bang TH nop'!BH79,0),
0
),
0
)</f>
        <v>0</v>
      </c>
      <c r="U79" s="344"/>
      <c r="V79" s="344"/>
      <c r="W79" s="344"/>
      <c r="X79" s="340">
        <f t="shared" ref="X79" si="688">+IF(G79-I79&lt;0,0,G79-I79)</f>
        <v>0</v>
      </c>
      <c r="Y79" s="340">
        <f t="shared" ref="Y79" si="689">+IF(H79-J79&lt;0,0, H79-J79)</f>
        <v>0</v>
      </c>
      <c r="Z79" s="340">
        <f t="shared" ref="Z79" si="690">IFERROR(
IF(AND(LEN(TRIM(B78))&gt;0,LEN(TRIM(C78))&gt;0),
(X79+Y79)*25%,
0
),
0
)</f>
        <v>0</v>
      </c>
      <c r="AA79" s="340">
        <f>IFERROR(
IF(AND(LEN(TRIM(B78))&gt;0,LEN(TRIM(C78))&gt;0),
'Bang TH nop'!BG79,
0
),
0
)</f>
        <v>0</v>
      </c>
      <c r="AB79" s="344">
        <f t="shared" ref="AB79" si="691">IFERROR(
IF(AND(LEN(TRIM(B78))&gt;0,LEN(TRIM(C78))&gt;0),
SUM(I79:W79)+IFERROR(Z79,0)+IFERROR(AA79,0),
0
),
0
)</f>
        <v>0</v>
      </c>
      <c r="AC79" s="340">
        <f t="shared" ref="AC79" si="692">IFERROR(
IF(AND(LEN(TRIM(B78))&gt;0,LEN(TRIM(C78))&gt;0),
IF((26-(IFERROR(I78,0)+IFERROR(K78,0)+IFERROR(L78,0)+IFERROR(M78,0)))&gt;12,0,D79*10.5%),
0
),
0
)</f>
        <v>0</v>
      </c>
      <c r="AD79" s="340">
        <f t="shared" ref="AD79" si="693">IFERROR(
IF(AND(LEN(TRIM(B78))&gt;0,LEN(TRIM(C78))&gt;0),
ROUND(IF(D79=4939000,D79*0.5%,0),-2),
0
),
0
)</f>
        <v>0</v>
      </c>
      <c r="AE79" s="344">
        <f t="shared" ref="AE79" si="694">IFERROR(
IF(AND(LEN(TRIM(B78))&gt;0,LEN(TRIM(C78))&gt;0),
ROUND(IFERROR(AB79,0)-IFERROR(AC79,0)-IFERROR(AD79,0),-2),
0
),
0
)</f>
        <v>0</v>
      </c>
      <c r="AF79" s="347">
        <f>IFERROR(
IF(AND(LEN(TRIM(B78))&gt;0,LEN(TRIM(C78))&gt;0),
IFERROR('Bang TH nop'!AQ79,0)+IFERROR('Bang TH nop'!AT79,0)+IFERROR('Bang TH nop'!BF79,0),
0
),
0
)</f>
        <v>0</v>
      </c>
      <c r="AG79" s="348"/>
      <c r="AH79" s="354"/>
      <c r="AI79" s="355">
        <f t="shared" ref="AI79" si="695">IFERROR(
IF(AND(LEN(TRIM(B78))&gt;0,LEN(TRIM(C78))&gt;0),
AH79/AG79,
0
),
0
)</f>
        <v>0</v>
      </c>
      <c r="AJ79" s="355">
        <f t="shared" ref="AJ79" si="696">IFERROR(
IF(AND(LEN(TRIM(B78))&gt;0,LEN(TRIM(C78))&gt;0),
AL79/AF79,
0
),
0
)</f>
        <v>0</v>
      </c>
      <c r="AK79" s="356">
        <f t="shared" ref="AK79" si="697">IFERROR(
IF(AND(LEN(TRIM(B78))&gt;0,LEN(TRIM(C78))&gt;0),
AJ79/AI79,
0
),
0
)</f>
        <v>0</v>
      </c>
      <c r="AL79" s="357">
        <f t="shared" ref="AL79" si="698">IFERROR(
IF(AND(LEN(TRIM(B78))&gt;0,LEN(TRIM(C78))&gt;0),
AB79/L79,
0
),
0
)</f>
        <v>0</v>
      </c>
    </row>
    <row r="80" spans="1:38" ht="17.100000000000001" customHeight="1">
      <c r="A80" s="424">
        <f t="shared" ref="A80" si="699">A78+1</f>
        <v>37</v>
      </c>
      <c r="B80" s="426">
        <f>'Bang TH nop'!B81</f>
        <v>0</v>
      </c>
      <c r="C80" s="421">
        <f>IFERROR(IF(LEN(TRIM(B80))&gt;0,'Bang TH nop'!C81,""),"")</f>
        <v>0</v>
      </c>
      <c r="D80" s="398">
        <f>IFERROR(IF(AND(LEN(TRIM(B80))&gt;0,LEN(TRIM(C80))&gt;0),'Bang TH nop'!AO81,""),"")</f>
        <v>0</v>
      </c>
      <c r="E80" s="399"/>
      <c r="F80" s="340"/>
      <c r="G80" s="341"/>
      <c r="H80" s="341"/>
      <c r="I80" s="342">
        <f>IFERROR(IF(AND(LEN(TRIM(B80))&gt;0,LEN(TRIM(C80))&gt;0),'Bang TH nop'!BB81,0),0)</f>
        <v>0</v>
      </c>
      <c r="J80" s="342">
        <f>IFERROR(IF(AND(LEN(TRIM(B80))&gt;0,LEN(TRIM(C80))&gt;0),'Bang TH nop'!AV81,0),0)</f>
        <v>0</v>
      </c>
      <c r="K80" s="342">
        <f>IFERROR(IF(AND(LEN(TRIM(B80))&gt;0,LEN(TRIM(C80))&gt;0),'Bang TH nop'!AR81,0),0)</f>
        <v>0</v>
      </c>
      <c r="L80" s="343">
        <f>IFERROR(IF(AND(LEN(TRIM(B80))&gt;0,LEN(TRIM(C80))&gt;0),'Bang TH nop'!AS81,0),0)</f>
        <v>0</v>
      </c>
      <c r="M80" s="342">
        <f>IFERROR(IF(AND(LEN(TRIM(B80))&gt;0,LEN(TRIM(C80))&gt;0),'Bang TH nop'!AT81,0),0)</f>
        <v>0</v>
      </c>
      <c r="N80" s="344">
        <f>IFERROR(IF(AND(LEN(TRIM(B80))&gt;0,LEN(TRIM(C80))&gt;0),'Bang TH nop'!AU81,0),0)</f>
        <v>0</v>
      </c>
      <c r="O80" s="342">
        <f>IFERROR(IF(AND(LEN(TRIM(B80))&gt;0,LEN(TRIM(C80))&gt;0),'Bang TH nop'!BE81,0),0)</f>
        <v>0</v>
      </c>
      <c r="P80" s="345">
        <f>IFERROR(IF(AND(LEN(TRIM(B80))&gt;0,LEN(TRIM(C80))&gt;0),'Bang TH nop'!AZ81,0),0)</f>
        <v>0</v>
      </c>
      <c r="Q80" s="343"/>
      <c r="R80" s="342"/>
      <c r="S80" s="342"/>
      <c r="T80" s="342"/>
      <c r="U80" s="341"/>
      <c r="V80" s="341"/>
      <c r="W80" s="341"/>
      <c r="X80" s="341"/>
      <c r="Y80" s="341"/>
      <c r="Z80" s="341"/>
      <c r="AA80" s="340" t="str">
        <f>IFERROR(
IF(AND(LEN(TRIM(B80))&gt;0,LEN(TRIM(C80))&gt;0),
'Bang TH nop'!AH81,
0
),
0
)</f>
        <v>A</v>
      </c>
      <c r="AB80" s="346"/>
      <c r="AC80" s="346"/>
      <c r="AD80" s="341"/>
      <c r="AE80" s="346"/>
      <c r="AF80" s="347"/>
      <c r="AG80" s="348"/>
      <c r="AH80" s="349"/>
      <c r="AI80" s="350"/>
      <c r="AJ80" s="351"/>
      <c r="AK80" s="350"/>
      <c r="AL80" s="352"/>
    </row>
    <row r="81" spans="1:38" ht="17.100000000000001" customHeight="1">
      <c r="A81" s="425"/>
      <c r="B81" s="426"/>
      <c r="C81" s="422"/>
      <c r="D81" s="397">
        <f>IFERROR(IF(AND(LEN(TRIM(B80))&gt;0,LEN(TRIM(C80))&gt;0),'Bang TH nop'!AP81,""),"")</f>
        <v>0</v>
      </c>
      <c r="E81" s="397"/>
      <c r="F81" s="353">
        <f>IFERROR(IF(AND(LEN(TRIM(B80))&gt;0,LEN(TRIM(C80))&gt;0),'Bang TH nop'!AL81,0),0)</f>
        <v>0</v>
      </c>
      <c r="G81" s="340">
        <f t="shared" ref="G81" si="700">D81*I80/26</f>
        <v>0</v>
      </c>
      <c r="H81" s="340">
        <f t="shared" ref="H81" si="701">D81*J80*150%/(26*8)</f>
        <v>0</v>
      </c>
      <c r="I81" s="340"/>
      <c r="J81" s="340"/>
      <c r="K81" s="344">
        <f t="shared" ref="K81" si="702">IFERROR(
IF(AND(LEN(TRIM(B80))&gt;0,LEN(TRIM(C80))&gt;0),
ROUND(D81/26*K80,0),
0
),
0
)</f>
        <v>0</v>
      </c>
      <c r="L81" s="344">
        <f t="shared" ref="L81" si="703">IFERROR(
IF(AND(LEN(TRIM(B80))&gt;0,LEN(TRIM(C80))&gt;0),
ROUND(D81/26*L80,0),
0
),
0
)</f>
        <v>0</v>
      </c>
      <c r="M81" s="344">
        <f t="shared" ref="M81" si="704">IFERROR(
IF(AND(LEN(TRIM(B80))&gt;0,LEN(TRIM(C80))&gt;0),
ROUND(D81/26*M80,0),
0
),
0
)</f>
        <v>0</v>
      </c>
      <c r="N81" s="344">
        <f t="shared" ref="N81" si="705">IFERROR(
IF(AND(LEN(TRIM(B80))&gt;0,LEN(TRIM(C80))&gt;0),
D81*N80/(26*8),
0
),
0
)</f>
        <v>0</v>
      </c>
      <c r="O81" s="344">
        <f t="shared" ref="O81" si="706">IFERROR(
IF(AND(LEN(TRIM(B80))&gt;0,LEN(TRIM(C80))&gt;0),
D81*O80/(26*8),
0
),
0
)</f>
        <v>0</v>
      </c>
      <c r="P81" s="344">
        <f t="shared" ref="P81" si="707">IFERROR(
IF(AND(LEN(TRIM(B80))&gt;0,LEN(TRIM(C80))&gt;0),
(D81/26/8*P80),
0
),
0
)</f>
        <v>0</v>
      </c>
      <c r="Q81" s="344">
        <f>IFERROR(
IF(AND(LEN(TRIM(B80))&gt;0,LEN(TRIM(C80))&gt;0),
'Bang TH nop'!BC81,
0
),
0
)</f>
        <v>0</v>
      </c>
      <c r="R81" s="340">
        <f>IFERROR(
IF(AND(LEN(TRIM(B80))&gt;0,LEN(TRIM(C80))&gt;0),
'Bang TH nop'!BD81,
0
),
0
)</f>
        <v>0</v>
      </c>
      <c r="S81" s="340">
        <f>IFERROR(
IF(AND(LEN(TRIM(B80))&gt;0,LEN(TRIM(C80))&gt;0),
'Bang TH nop'!BJ81,
0
),
0
)</f>
        <v>0</v>
      </c>
      <c r="T81" s="340">
        <f>IFERROR(
IF(AND(LEN(TRIM(B80))&gt;0,LEN(TRIM(C80))&gt;0),
IFERROR('Bang TH nop'!AW81,0)+IFERROR('Bang TH nop'!BH81,0),
0
),
0
)</f>
        <v>0</v>
      </c>
      <c r="U81" s="344"/>
      <c r="V81" s="344"/>
      <c r="W81" s="344"/>
      <c r="X81" s="340">
        <f t="shared" ref="X81" si="708">+IF(G81-I81&lt;0,0,G81-I81)</f>
        <v>0</v>
      </c>
      <c r="Y81" s="340">
        <f t="shared" ref="Y81" si="709">+IF(H81-J81&lt;0,0, H81-J81)</f>
        <v>0</v>
      </c>
      <c r="Z81" s="340">
        <f t="shared" ref="Z81" si="710">IFERROR(
IF(AND(LEN(TRIM(B80))&gt;0,LEN(TRIM(C80))&gt;0),
(X81+Y81)*25%,
0
),
0
)</f>
        <v>0</v>
      </c>
      <c r="AA81" s="340">
        <f>IFERROR(
IF(AND(LEN(TRIM(B80))&gt;0,LEN(TRIM(C80))&gt;0),
'Bang TH nop'!BG81,
0
),
0
)</f>
        <v>0</v>
      </c>
      <c r="AB81" s="344">
        <f t="shared" ref="AB81" si="711">IFERROR(
IF(AND(LEN(TRIM(B80))&gt;0,LEN(TRIM(C80))&gt;0),
SUM(I81:W81)+IFERROR(Z81,0)+IFERROR(AA81,0),
0
),
0
)</f>
        <v>0</v>
      </c>
      <c r="AC81" s="340">
        <f t="shared" ref="AC81" si="712">IFERROR(
IF(AND(LEN(TRIM(B80))&gt;0,LEN(TRIM(C80))&gt;0),
IF((26-(IFERROR(I80,0)+IFERROR(K80,0)+IFERROR(L80,0)+IFERROR(M80,0)))&gt;12,0,D81*10.5%),
0
),
0
)</f>
        <v>0</v>
      </c>
      <c r="AD81" s="340">
        <f t="shared" ref="AD81" si="713">IFERROR(
IF(AND(LEN(TRIM(B80))&gt;0,LEN(TRIM(C80))&gt;0),
ROUND(IF(D81=4939000,D81*0.5%,0),-2),
0
),
0
)</f>
        <v>0</v>
      </c>
      <c r="AE81" s="344">
        <f t="shared" ref="AE81" si="714">IFERROR(
IF(AND(LEN(TRIM(B80))&gt;0,LEN(TRIM(C80))&gt;0),
ROUND(IFERROR(AB81,0)-IFERROR(AC81,0)-IFERROR(AD81,0),-2),
0
),
0
)</f>
        <v>0</v>
      </c>
      <c r="AF81" s="347">
        <f>IFERROR(
IF(AND(LEN(TRIM(B80))&gt;0,LEN(TRIM(C80))&gt;0),
IFERROR('Bang TH nop'!AQ81,0)+IFERROR('Bang TH nop'!AT81,0)+IFERROR('Bang TH nop'!BF81,0),
0
),
0
)</f>
        <v>0</v>
      </c>
      <c r="AG81" s="348"/>
      <c r="AH81" s="354"/>
      <c r="AI81" s="355">
        <f t="shared" ref="AI81" si="715">IFERROR(
IF(AND(LEN(TRIM(B80))&gt;0,LEN(TRIM(C80))&gt;0),
AH81/AG81,
0
),
0
)</f>
        <v>0</v>
      </c>
      <c r="AJ81" s="355">
        <f t="shared" ref="AJ81" si="716">IFERROR(
IF(AND(LEN(TRIM(B80))&gt;0,LEN(TRIM(C80))&gt;0),
AL81/AF81,
0
),
0
)</f>
        <v>0</v>
      </c>
      <c r="AK81" s="356">
        <f t="shared" ref="AK81" si="717">IFERROR(
IF(AND(LEN(TRIM(B80))&gt;0,LEN(TRIM(C80))&gt;0),
AJ81/AI81,
0
),
0
)</f>
        <v>0</v>
      </c>
      <c r="AL81" s="357">
        <f t="shared" ref="AL81" si="718">IFERROR(
IF(AND(LEN(TRIM(B80))&gt;0,LEN(TRIM(C80))&gt;0),
AB81/L81,
0
),
0
)</f>
        <v>0</v>
      </c>
    </row>
    <row r="82" spans="1:38" ht="17.100000000000001" customHeight="1">
      <c r="A82" s="424">
        <f t="shared" ref="A82" si="719">A80+1</f>
        <v>38</v>
      </c>
      <c r="B82" s="426">
        <f>'Bang TH nop'!B83</f>
        <v>0</v>
      </c>
      <c r="C82" s="421">
        <f>IFERROR(IF(LEN(TRIM(B82))&gt;0,'Bang TH nop'!C83,""),"")</f>
        <v>0</v>
      </c>
      <c r="D82" s="398">
        <f>IFERROR(IF(AND(LEN(TRIM(B82))&gt;0,LEN(TRIM(C82))&gt;0),'Bang TH nop'!AO83,""),"")</f>
        <v>0</v>
      </c>
      <c r="E82" s="399"/>
      <c r="F82" s="340"/>
      <c r="G82" s="341"/>
      <c r="H82" s="341"/>
      <c r="I82" s="342">
        <f>IFERROR(IF(AND(LEN(TRIM(B82))&gt;0,LEN(TRIM(C82))&gt;0),'Bang TH nop'!BB83,0),0)</f>
        <v>0</v>
      </c>
      <c r="J82" s="342">
        <f>IFERROR(IF(AND(LEN(TRIM(B82))&gt;0,LEN(TRIM(C82))&gt;0),'Bang TH nop'!AV83,0),0)</f>
        <v>0</v>
      </c>
      <c r="K82" s="342">
        <f>IFERROR(IF(AND(LEN(TRIM(B82))&gt;0,LEN(TRIM(C82))&gt;0),'Bang TH nop'!AR83,0),0)</f>
        <v>0</v>
      </c>
      <c r="L82" s="343">
        <f>IFERROR(IF(AND(LEN(TRIM(B82))&gt;0,LEN(TRIM(C82))&gt;0),'Bang TH nop'!AS83,0),0)</f>
        <v>0</v>
      </c>
      <c r="M82" s="342">
        <f>IFERROR(IF(AND(LEN(TRIM(B82))&gt;0,LEN(TRIM(C82))&gt;0),'Bang TH nop'!AT83,0),0)</f>
        <v>0</v>
      </c>
      <c r="N82" s="344">
        <f>IFERROR(IF(AND(LEN(TRIM(B82))&gt;0,LEN(TRIM(C82))&gt;0),'Bang TH nop'!AU83,0),0)</f>
        <v>0</v>
      </c>
      <c r="O82" s="342">
        <f>IFERROR(IF(AND(LEN(TRIM(B82))&gt;0,LEN(TRIM(C82))&gt;0),'Bang TH nop'!BE83,0),0)</f>
        <v>0</v>
      </c>
      <c r="P82" s="345">
        <f>IFERROR(IF(AND(LEN(TRIM(B82))&gt;0,LEN(TRIM(C82))&gt;0),'Bang TH nop'!AZ83,0),0)</f>
        <v>0</v>
      </c>
      <c r="Q82" s="343"/>
      <c r="R82" s="342"/>
      <c r="S82" s="342"/>
      <c r="T82" s="342"/>
      <c r="U82" s="341"/>
      <c r="V82" s="341"/>
      <c r="W82" s="341"/>
      <c r="X82" s="341"/>
      <c r="Y82" s="341"/>
      <c r="Z82" s="341"/>
      <c r="AA82" s="340" t="str">
        <f>IFERROR(
IF(AND(LEN(TRIM(B82))&gt;0,LEN(TRIM(C82))&gt;0),
'Bang TH nop'!AH83,
0
),
0
)</f>
        <v>A</v>
      </c>
      <c r="AB82" s="346"/>
      <c r="AC82" s="346"/>
      <c r="AD82" s="341"/>
      <c r="AE82" s="346"/>
      <c r="AF82" s="347"/>
      <c r="AG82" s="348"/>
      <c r="AH82" s="349"/>
      <c r="AI82" s="350"/>
      <c r="AJ82" s="351"/>
      <c r="AK82" s="350"/>
      <c r="AL82" s="352"/>
    </row>
    <row r="83" spans="1:38" ht="17.100000000000001" customHeight="1">
      <c r="A83" s="425"/>
      <c r="B83" s="426"/>
      <c r="C83" s="422"/>
      <c r="D83" s="397">
        <f>IFERROR(IF(AND(LEN(TRIM(B82))&gt;0,LEN(TRIM(C82))&gt;0),'Bang TH nop'!AP83,""),"")</f>
        <v>0</v>
      </c>
      <c r="E83" s="397"/>
      <c r="F83" s="353">
        <f>IFERROR(IF(AND(LEN(TRIM(B82))&gt;0,LEN(TRIM(C82))&gt;0),'Bang TH nop'!AL83,0),0)</f>
        <v>0</v>
      </c>
      <c r="G83" s="340">
        <f t="shared" ref="G83" si="720">D83*I82/26</f>
        <v>0</v>
      </c>
      <c r="H83" s="340">
        <f t="shared" ref="H83" si="721">D83*J82*150%/(26*8)</f>
        <v>0</v>
      </c>
      <c r="I83" s="340"/>
      <c r="J83" s="340"/>
      <c r="K83" s="344">
        <f t="shared" ref="K83" si="722">IFERROR(
IF(AND(LEN(TRIM(B82))&gt;0,LEN(TRIM(C82))&gt;0),
ROUND(D83/26*K82,0),
0
),
0
)</f>
        <v>0</v>
      </c>
      <c r="L83" s="344">
        <f t="shared" ref="L83" si="723">IFERROR(
IF(AND(LEN(TRIM(B82))&gt;0,LEN(TRIM(C82))&gt;0),
ROUND(D83/26*L82,0),
0
),
0
)</f>
        <v>0</v>
      </c>
      <c r="M83" s="344">
        <f t="shared" ref="M83" si="724">IFERROR(
IF(AND(LEN(TRIM(B82))&gt;0,LEN(TRIM(C82))&gt;0),
ROUND(D83/26*M82,0),
0
),
0
)</f>
        <v>0</v>
      </c>
      <c r="N83" s="344">
        <f t="shared" ref="N83" si="725">IFERROR(
IF(AND(LEN(TRIM(B82))&gt;0,LEN(TRIM(C82))&gt;0),
D83*N82/(26*8),
0
),
0
)</f>
        <v>0</v>
      </c>
      <c r="O83" s="344">
        <f t="shared" ref="O83" si="726">IFERROR(
IF(AND(LEN(TRIM(B82))&gt;0,LEN(TRIM(C82))&gt;0),
D83*O82/(26*8),
0
),
0
)</f>
        <v>0</v>
      </c>
      <c r="P83" s="344">
        <f t="shared" ref="P83" si="727">IFERROR(
IF(AND(LEN(TRIM(B82))&gt;0,LEN(TRIM(C82))&gt;0),
(D83/26/8*P82),
0
),
0
)</f>
        <v>0</v>
      </c>
      <c r="Q83" s="344">
        <f>IFERROR(
IF(AND(LEN(TRIM(B82))&gt;0,LEN(TRIM(C82))&gt;0),
'Bang TH nop'!BC83,
0
),
0
)</f>
        <v>0</v>
      </c>
      <c r="R83" s="340">
        <f>IFERROR(
IF(AND(LEN(TRIM(B82))&gt;0,LEN(TRIM(C82))&gt;0),
'Bang TH nop'!BD83,
0
),
0
)</f>
        <v>0</v>
      </c>
      <c r="S83" s="340">
        <f>IFERROR(
IF(AND(LEN(TRIM(B82))&gt;0,LEN(TRIM(C82))&gt;0),
'Bang TH nop'!BJ83,
0
),
0
)</f>
        <v>0</v>
      </c>
      <c r="T83" s="340">
        <f>IFERROR(
IF(AND(LEN(TRIM(B82))&gt;0,LEN(TRIM(C82))&gt;0),
IFERROR('Bang TH nop'!AW83,0)+IFERROR('Bang TH nop'!BH83,0),
0
),
0
)</f>
        <v>0</v>
      </c>
      <c r="U83" s="344"/>
      <c r="V83" s="344"/>
      <c r="W83" s="344"/>
      <c r="X83" s="340">
        <f t="shared" ref="X83" si="728">+IF(G83-I83&lt;0,0,G83-I83)</f>
        <v>0</v>
      </c>
      <c r="Y83" s="340">
        <f t="shared" ref="Y83" si="729">+IF(H83-J83&lt;0,0, H83-J83)</f>
        <v>0</v>
      </c>
      <c r="Z83" s="340">
        <f t="shared" ref="Z83" si="730">IFERROR(
IF(AND(LEN(TRIM(B82))&gt;0,LEN(TRIM(C82))&gt;0),
(X83+Y83)*25%,
0
),
0
)</f>
        <v>0</v>
      </c>
      <c r="AA83" s="340">
        <f>IFERROR(
IF(AND(LEN(TRIM(B82))&gt;0,LEN(TRIM(C82))&gt;0),
'Bang TH nop'!BG83,
0
),
0
)</f>
        <v>0</v>
      </c>
      <c r="AB83" s="344">
        <f t="shared" ref="AB83" si="731">IFERROR(
IF(AND(LEN(TRIM(B82))&gt;0,LEN(TRIM(C82))&gt;0),
SUM(I83:W83)+IFERROR(Z83,0)+IFERROR(AA83,0),
0
),
0
)</f>
        <v>0</v>
      </c>
      <c r="AC83" s="340">
        <f t="shared" ref="AC83" si="732">IFERROR(
IF(AND(LEN(TRIM(B82))&gt;0,LEN(TRIM(C82))&gt;0),
IF((26-(IFERROR(I82,0)+IFERROR(K82,0)+IFERROR(L82,0)+IFERROR(M82,0)))&gt;12,0,D83*10.5%),
0
),
0
)</f>
        <v>0</v>
      </c>
      <c r="AD83" s="340">
        <f t="shared" ref="AD83" si="733">IFERROR(
IF(AND(LEN(TRIM(B82))&gt;0,LEN(TRIM(C82))&gt;0),
ROUND(IF(D83=4939000,D83*0.5%,0),-2),
0
),
0
)</f>
        <v>0</v>
      </c>
      <c r="AE83" s="344">
        <f t="shared" ref="AE83" si="734">IFERROR(
IF(AND(LEN(TRIM(B82))&gt;0,LEN(TRIM(C82))&gt;0),
ROUND(IFERROR(AB83,0)-IFERROR(AC83,0)-IFERROR(AD83,0),-2),
0
),
0
)</f>
        <v>0</v>
      </c>
      <c r="AF83" s="347">
        <f>IFERROR(
IF(AND(LEN(TRIM(B82))&gt;0,LEN(TRIM(C82))&gt;0),
IFERROR('Bang TH nop'!AQ83,0)+IFERROR('Bang TH nop'!AT83,0)+IFERROR('Bang TH nop'!BF83,0),
0
),
0
)</f>
        <v>0</v>
      </c>
      <c r="AG83" s="348"/>
      <c r="AH83" s="354"/>
      <c r="AI83" s="355">
        <f t="shared" ref="AI83" si="735">IFERROR(
IF(AND(LEN(TRIM(B82))&gt;0,LEN(TRIM(C82))&gt;0),
AH83/AG83,
0
),
0
)</f>
        <v>0</v>
      </c>
      <c r="AJ83" s="355">
        <f t="shared" ref="AJ83" si="736">IFERROR(
IF(AND(LEN(TRIM(B82))&gt;0,LEN(TRIM(C82))&gt;0),
AL83/AF83,
0
),
0
)</f>
        <v>0</v>
      </c>
      <c r="AK83" s="356">
        <f t="shared" ref="AK83" si="737">IFERROR(
IF(AND(LEN(TRIM(B82))&gt;0,LEN(TRIM(C82))&gt;0),
AJ83/AI83,
0
),
0
)</f>
        <v>0</v>
      </c>
      <c r="AL83" s="357">
        <f t="shared" ref="AL83" si="738">IFERROR(
IF(AND(LEN(TRIM(B82))&gt;0,LEN(TRIM(C82))&gt;0),
AB83/L83,
0
),
0
)</f>
        <v>0</v>
      </c>
    </row>
    <row r="84" spans="1:38" ht="17.100000000000001" customHeight="1">
      <c r="A84" s="424">
        <f t="shared" ref="A84" si="739">A82+1</f>
        <v>39</v>
      </c>
      <c r="B84" s="426">
        <f>'Bang TH nop'!B85</f>
        <v>0</v>
      </c>
      <c r="C84" s="421">
        <f>IFERROR(IF(LEN(TRIM(B84))&gt;0,'Bang TH nop'!C85,""),"")</f>
        <v>0</v>
      </c>
      <c r="D84" s="398">
        <f>IFERROR(IF(AND(LEN(TRIM(B84))&gt;0,LEN(TRIM(C84))&gt;0),'Bang TH nop'!AO85,""),"")</f>
        <v>0</v>
      </c>
      <c r="E84" s="399"/>
      <c r="F84" s="340"/>
      <c r="G84" s="341"/>
      <c r="H84" s="341"/>
      <c r="I84" s="342">
        <f>IFERROR(IF(AND(LEN(TRIM(B84))&gt;0,LEN(TRIM(C84))&gt;0),'Bang TH nop'!BB85,0),0)</f>
        <v>0</v>
      </c>
      <c r="J84" s="342">
        <f>IFERROR(IF(AND(LEN(TRIM(B84))&gt;0,LEN(TRIM(C84))&gt;0),'Bang TH nop'!AV85,0),0)</f>
        <v>0</v>
      </c>
      <c r="K84" s="342">
        <f>IFERROR(IF(AND(LEN(TRIM(B84))&gt;0,LEN(TRIM(C84))&gt;0),'Bang TH nop'!AR85,0),0)</f>
        <v>0</v>
      </c>
      <c r="L84" s="343">
        <f>IFERROR(IF(AND(LEN(TRIM(B84))&gt;0,LEN(TRIM(C84))&gt;0),'Bang TH nop'!AS85,0),0)</f>
        <v>0</v>
      </c>
      <c r="M84" s="342">
        <f>IFERROR(IF(AND(LEN(TRIM(B84))&gt;0,LEN(TRIM(C84))&gt;0),'Bang TH nop'!AT85,0),0)</f>
        <v>0</v>
      </c>
      <c r="N84" s="344">
        <f>IFERROR(IF(AND(LEN(TRIM(B84))&gt;0,LEN(TRIM(C84))&gt;0),'Bang TH nop'!AU85,0),0)</f>
        <v>0</v>
      </c>
      <c r="O84" s="342">
        <f>IFERROR(IF(AND(LEN(TRIM(B84))&gt;0,LEN(TRIM(C84))&gt;0),'Bang TH nop'!BE85,0),0)</f>
        <v>0</v>
      </c>
      <c r="P84" s="345">
        <f>IFERROR(IF(AND(LEN(TRIM(B84))&gt;0,LEN(TRIM(C84))&gt;0),'Bang TH nop'!AZ85,0),0)</f>
        <v>0</v>
      </c>
      <c r="Q84" s="343"/>
      <c r="R84" s="342"/>
      <c r="S84" s="342"/>
      <c r="T84" s="342"/>
      <c r="U84" s="341"/>
      <c r="V84" s="341"/>
      <c r="W84" s="341"/>
      <c r="X84" s="341"/>
      <c r="Y84" s="341"/>
      <c r="Z84" s="341"/>
      <c r="AA84" s="340" t="str">
        <f>IFERROR(
IF(AND(LEN(TRIM(B84))&gt;0,LEN(TRIM(C84))&gt;0),
'Bang TH nop'!AH85,
0
),
0
)</f>
        <v>A</v>
      </c>
      <c r="AB84" s="346"/>
      <c r="AC84" s="346"/>
      <c r="AD84" s="341"/>
      <c r="AE84" s="346"/>
      <c r="AF84" s="347"/>
      <c r="AG84" s="348"/>
      <c r="AH84" s="349"/>
      <c r="AI84" s="350"/>
      <c r="AJ84" s="351"/>
      <c r="AK84" s="350"/>
      <c r="AL84" s="352"/>
    </row>
    <row r="85" spans="1:38" ht="17.100000000000001" customHeight="1">
      <c r="A85" s="425"/>
      <c r="B85" s="426"/>
      <c r="C85" s="422"/>
      <c r="D85" s="397">
        <f>IFERROR(IF(AND(LEN(TRIM(B84))&gt;0,LEN(TRIM(C84))&gt;0),'Bang TH nop'!AP85,""),"")</f>
        <v>0</v>
      </c>
      <c r="E85" s="397"/>
      <c r="F85" s="353">
        <f>IFERROR(IF(AND(LEN(TRIM(B84))&gt;0,LEN(TRIM(C84))&gt;0),'Bang TH nop'!AL85,0),0)</f>
        <v>0</v>
      </c>
      <c r="G85" s="340">
        <f t="shared" ref="G85" si="740">D85*I84/26</f>
        <v>0</v>
      </c>
      <c r="H85" s="340">
        <f t="shared" ref="H85" si="741">D85*J84*150%/(26*8)</f>
        <v>0</v>
      </c>
      <c r="I85" s="340"/>
      <c r="J85" s="340"/>
      <c r="K85" s="344">
        <f t="shared" ref="K85" si="742">IFERROR(
IF(AND(LEN(TRIM(B84))&gt;0,LEN(TRIM(C84))&gt;0),
ROUND(D85/26*K84,0),
0
),
0
)</f>
        <v>0</v>
      </c>
      <c r="L85" s="344">
        <f t="shared" ref="L85" si="743">IFERROR(
IF(AND(LEN(TRIM(B84))&gt;0,LEN(TRIM(C84))&gt;0),
ROUND(D85/26*L84,0),
0
),
0
)</f>
        <v>0</v>
      </c>
      <c r="M85" s="344">
        <f t="shared" ref="M85" si="744">IFERROR(
IF(AND(LEN(TRIM(B84))&gt;0,LEN(TRIM(C84))&gt;0),
ROUND(D85/26*M84,0),
0
),
0
)</f>
        <v>0</v>
      </c>
      <c r="N85" s="344">
        <f t="shared" ref="N85" si="745">IFERROR(
IF(AND(LEN(TRIM(B84))&gt;0,LEN(TRIM(C84))&gt;0),
D85*N84/(26*8),
0
),
0
)</f>
        <v>0</v>
      </c>
      <c r="O85" s="344">
        <f t="shared" ref="O85" si="746">IFERROR(
IF(AND(LEN(TRIM(B84))&gt;0,LEN(TRIM(C84))&gt;0),
D85*O84/(26*8),
0
),
0
)</f>
        <v>0</v>
      </c>
      <c r="P85" s="344">
        <f t="shared" ref="P85" si="747">IFERROR(
IF(AND(LEN(TRIM(B84))&gt;0,LEN(TRIM(C84))&gt;0),
(D85/26/8*P84),
0
),
0
)</f>
        <v>0</v>
      </c>
      <c r="Q85" s="344">
        <f>IFERROR(
IF(AND(LEN(TRIM(B84))&gt;0,LEN(TRIM(C84))&gt;0),
'Bang TH nop'!BC85,
0
),
0
)</f>
        <v>0</v>
      </c>
      <c r="R85" s="340">
        <f>IFERROR(
IF(AND(LEN(TRIM(B84))&gt;0,LEN(TRIM(C84))&gt;0),
'Bang TH nop'!BD85,
0
),
0
)</f>
        <v>0</v>
      </c>
      <c r="S85" s="340">
        <f>IFERROR(
IF(AND(LEN(TRIM(B84))&gt;0,LEN(TRIM(C84))&gt;0),
'Bang TH nop'!BJ85,
0
),
0
)</f>
        <v>0</v>
      </c>
      <c r="T85" s="340">
        <f>IFERROR(
IF(AND(LEN(TRIM(B84))&gt;0,LEN(TRIM(C84))&gt;0),
IFERROR('Bang TH nop'!AW85,0)+IFERROR('Bang TH nop'!BH85,0),
0
),
0
)</f>
        <v>0</v>
      </c>
      <c r="U85" s="344"/>
      <c r="V85" s="344"/>
      <c r="W85" s="344"/>
      <c r="X85" s="340">
        <f t="shared" ref="X85" si="748">+IF(G85-I85&lt;0,0,G85-I85)</f>
        <v>0</v>
      </c>
      <c r="Y85" s="340">
        <f t="shared" ref="Y85" si="749">+IF(H85-J85&lt;0,0, H85-J85)</f>
        <v>0</v>
      </c>
      <c r="Z85" s="340">
        <f t="shared" ref="Z85" si="750">IFERROR(
IF(AND(LEN(TRIM(B84))&gt;0,LEN(TRIM(C84))&gt;0),
(X85+Y85)*25%,
0
),
0
)</f>
        <v>0</v>
      </c>
      <c r="AA85" s="340">
        <f>IFERROR(
IF(AND(LEN(TRIM(B84))&gt;0,LEN(TRIM(C84))&gt;0),
'Bang TH nop'!BG85,
0
),
0
)</f>
        <v>0</v>
      </c>
      <c r="AB85" s="344">
        <f t="shared" ref="AB85" si="751">IFERROR(
IF(AND(LEN(TRIM(B84))&gt;0,LEN(TRIM(C84))&gt;0),
SUM(I85:W85)+IFERROR(Z85,0)+IFERROR(AA85,0),
0
),
0
)</f>
        <v>0</v>
      </c>
      <c r="AC85" s="340">
        <f t="shared" ref="AC85" si="752">IFERROR(
IF(AND(LEN(TRIM(B84))&gt;0,LEN(TRIM(C84))&gt;0),
IF((26-(IFERROR(I84,0)+IFERROR(K84,0)+IFERROR(L84,0)+IFERROR(M84,0)))&gt;12,0,D85*10.5%),
0
),
0
)</f>
        <v>0</v>
      </c>
      <c r="AD85" s="340">
        <f t="shared" ref="AD85" si="753">IFERROR(
IF(AND(LEN(TRIM(B84))&gt;0,LEN(TRIM(C84))&gt;0),
ROUND(IF(D85=4939000,D85*0.5%,0),-2),
0
),
0
)</f>
        <v>0</v>
      </c>
      <c r="AE85" s="344">
        <f t="shared" ref="AE85" si="754">IFERROR(
IF(AND(LEN(TRIM(B84))&gt;0,LEN(TRIM(C84))&gt;0),
ROUND(IFERROR(AB85,0)-IFERROR(AC85,0)-IFERROR(AD85,0),-2),
0
),
0
)</f>
        <v>0</v>
      </c>
      <c r="AF85" s="347">
        <f>IFERROR(
IF(AND(LEN(TRIM(B84))&gt;0,LEN(TRIM(C84))&gt;0),
IFERROR('Bang TH nop'!AQ85,0)+IFERROR('Bang TH nop'!AT85,0)+IFERROR('Bang TH nop'!BF85,0),
0
),
0
)</f>
        <v>0</v>
      </c>
      <c r="AG85" s="348"/>
      <c r="AH85" s="354"/>
      <c r="AI85" s="355">
        <f t="shared" ref="AI85" si="755">IFERROR(
IF(AND(LEN(TRIM(B84))&gt;0,LEN(TRIM(C84))&gt;0),
AH85/AG85,
0
),
0
)</f>
        <v>0</v>
      </c>
      <c r="AJ85" s="355">
        <f t="shared" ref="AJ85" si="756">IFERROR(
IF(AND(LEN(TRIM(B84))&gt;0,LEN(TRIM(C84))&gt;0),
AL85/AF85,
0
),
0
)</f>
        <v>0</v>
      </c>
      <c r="AK85" s="356">
        <f t="shared" ref="AK85" si="757">IFERROR(
IF(AND(LEN(TRIM(B84))&gt;0,LEN(TRIM(C84))&gt;0),
AJ85/AI85,
0
),
0
)</f>
        <v>0</v>
      </c>
      <c r="AL85" s="357">
        <f t="shared" ref="AL85" si="758">IFERROR(
IF(AND(LEN(TRIM(B84))&gt;0,LEN(TRIM(C84))&gt;0),
AB85/L85,
0
),
0
)</f>
        <v>0</v>
      </c>
    </row>
    <row r="86" spans="1:38" ht="17.100000000000001" customHeight="1">
      <c r="A86" s="424">
        <f t="shared" ref="A86" si="759">A84+1</f>
        <v>40</v>
      </c>
      <c r="B86" s="426">
        <f>'Bang TH nop'!B87</f>
        <v>0</v>
      </c>
      <c r="C86" s="421">
        <f>IFERROR(IF(LEN(TRIM(B86))&gt;0,'Bang TH nop'!C87,""),"")</f>
        <v>0</v>
      </c>
      <c r="D86" s="398">
        <f>IFERROR(IF(AND(LEN(TRIM(B86))&gt;0,LEN(TRIM(C86))&gt;0),'Bang TH nop'!AO87,""),"")</f>
        <v>0</v>
      </c>
      <c r="E86" s="399"/>
      <c r="F86" s="340"/>
      <c r="G86" s="341"/>
      <c r="H86" s="341"/>
      <c r="I86" s="342">
        <f>IFERROR(IF(AND(LEN(TRIM(B86))&gt;0,LEN(TRIM(C86))&gt;0),'Bang TH nop'!BB87,0),0)</f>
        <v>0</v>
      </c>
      <c r="J86" s="342">
        <f>IFERROR(IF(AND(LEN(TRIM(B86))&gt;0,LEN(TRIM(C86))&gt;0),'Bang TH nop'!AV87,0),0)</f>
        <v>0</v>
      </c>
      <c r="K86" s="342">
        <f>IFERROR(IF(AND(LEN(TRIM(B86))&gt;0,LEN(TRIM(C86))&gt;0),'Bang TH nop'!AR87,0),0)</f>
        <v>0</v>
      </c>
      <c r="L86" s="343">
        <f>IFERROR(IF(AND(LEN(TRIM(B86))&gt;0,LEN(TRIM(C86))&gt;0),'Bang TH nop'!AS87,0),0)</f>
        <v>0</v>
      </c>
      <c r="M86" s="342">
        <f>IFERROR(IF(AND(LEN(TRIM(B86))&gt;0,LEN(TRIM(C86))&gt;0),'Bang TH nop'!AT87,0),0)</f>
        <v>0</v>
      </c>
      <c r="N86" s="344">
        <f>IFERROR(IF(AND(LEN(TRIM(B86))&gt;0,LEN(TRIM(C86))&gt;0),'Bang TH nop'!AU87,0),0)</f>
        <v>0</v>
      </c>
      <c r="O86" s="342">
        <f>IFERROR(IF(AND(LEN(TRIM(B86))&gt;0,LEN(TRIM(C86))&gt;0),'Bang TH nop'!BE87,0),0)</f>
        <v>0</v>
      </c>
      <c r="P86" s="345">
        <f>IFERROR(IF(AND(LEN(TRIM(B86))&gt;0,LEN(TRIM(C86))&gt;0),'Bang TH nop'!AZ87,0),0)</f>
        <v>0</v>
      </c>
      <c r="Q86" s="343"/>
      <c r="R86" s="342"/>
      <c r="S86" s="342"/>
      <c r="T86" s="342"/>
      <c r="U86" s="341"/>
      <c r="V86" s="341"/>
      <c r="W86" s="341"/>
      <c r="X86" s="341"/>
      <c r="Y86" s="341"/>
      <c r="Z86" s="341"/>
      <c r="AA86" s="340" t="str">
        <f>IFERROR(
IF(AND(LEN(TRIM(B86))&gt;0,LEN(TRIM(C86))&gt;0),
'Bang TH nop'!AH87,
0
),
0
)</f>
        <v>A</v>
      </c>
      <c r="AB86" s="346"/>
      <c r="AC86" s="346"/>
      <c r="AD86" s="341"/>
      <c r="AE86" s="346"/>
      <c r="AF86" s="347"/>
      <c r="AG86" s="348"/>
      <c r="AH86" s="349"/>
      <c r="AI86" s="350"/>
      <c r="AJ86" s="351"/>
      <c r="AK86" s="350"/>
      <c r="AL86" s="352"/>
    </row>
    <row r="87" spans="1:38" ht="17.100000000000001" customHeight="1">
      <c r="A87" s="425"/>
      <c r="B87" s="426"/>
      <c r="C87" s="422"/>
      <c r="D87" s="397">
        <f>IFERROR(IF(AND(LEN(TRIM(B86))&gt;0,LEN(TRIM(C86))&gt;0),'Bang TH nop'!AP87,""),"")</f>
        <v>0</v>
      </c>
      <c r="E87" s="397"/>
      <c r="F87" s="353">
        <f>IFERROR(IF(AND(LEN(TRIM(B86))&gt;0,LEN(TRIM(C86))&gt;0),'Bang TH nop'!AL87,0),0)</f>
        <v>0</v>
      </c>
      <c r="G87" s="340">
        <f t="shared" ref="G87" si="760">D87*I86/26</f>
        <v>0</v>
      </c>
      <c r="H87" s="340">
        <f t="shared" ref="H87" si="761">D87*J86*150%/(26*8)</f>
        <v>0</v>
      </c>
      <c r="I87" s="340"/>
      <c r="J87" s="340"/>
      <c r="K87" s="344">
        <f t="shared" ref="K87" si="762">IFERROR(
IF(AND(LEN(TRIM(B86))&gt;0,LEN(TRIM(C86))&gt;0),
ROUND(D87/26*K86,0),
0
),
0
)</f>
        <v>0</v>
      </c>
      <c r="L87" s="344">
        <f t="shared" ref="L87" si="763">IFERROR(
IF(AND(LEN(TRIM(B86))&gt;0,LEN(TRIM(C86))&gt;0),
ROUND(D87/26*L86,0),
0
),
0
)</f>
        <v>0</v>
      </c>
      <c r="M87" s="344">
        <f t="shared" ref="M87" si="764">IFERROR(
IF(AND(LEN(TRIM(B86))&gt;0,LEN(TRIM(C86))&gt;0),
ROUND(D87/26*M86,0),
0
),
0
)</f>
        <v>0</v>
      </c>
      <c r="N87" s="344">
        <f t="shared" ref="N87" si="765">IFERROR(
IF(AND(LEN(TRIM(B86))&gt;0,LEN(TRIM(C86))&gt;0),
D87*N86/(26*8),
0
),
0
)</f>
        <v>0</v>
      </c>
      <c r="O87" s="344">
        <f t="shared" ref="O87" si="766">IFERROR(
IF(AND(LEN(TRIM(B86))&gt;0,LEN(TRIM(C86))&gt;0),
D87*O86/(26*8),
0
),
0
)</f>
        <v>0</v>
      </c>
      <c r="P87" s="344">
        <f t="shared" ref="P87" si="767">IFERROR(
IF(AND(LEN(TRIM(B86))&gt;0,LEN(TRIM(C86))&gt;0),
(D87/26/8*P86),
0
),
0
)</f>
        <v>0</v>
      </c>
      <c r="Q87" s="344">
        <f>IFERROR(
IF(AND(LEN(TRIM(B86))&gt;0,LEN(TRIM(C86))&gt;0),
'Bang TH nop'!BC87,
0
),
0
)</f>
        <v>0</v>
      </c>
      <c r="R87" s="340">
        <f>IFERROR(
IF(AND(LEN(TRIM(B86))&gt;0,LEN(TRIM(C86))&gt;0),
'Bang TH nop'!BD87,
0
),
0
)</f>
        <v>0</v>
      </c>
      <c r="S87" s="340">
        <f>IFERROR(
IF(AND(LEN(TRIM(B86))&gt;0,LEN(TRIM(C86))&gt;0),
'Bang TH nop'!BJ87,
0
),
0
)</f>
        <v>0</v>
      </c>
      <c r="T87" s="340">
        <f>IFERROR(
IF(AND(LEN(TRIM(B86))&gt;0,LEN(TRIM(C86))&gt;0),
IFERROR('Bang TH nop'!AW87,0)+IFERROR('Bang TH nop'!BH87,0),
0
),
0
)</f>
        <v>0</v>
      </c>
      <c r="U87" s="344"/>
      <c r="V87" s="344"/>
      <c r="W87" s="344"/>
      <c r="X87" s="340">
        <f t="shared" ref="X87" si="768">+IF(G87-I87&lt;0,0,G87-I87)</f>
        <v>0</v>
      </c>
      <c r="Y87" s="340">
        <f t="shared" ref="Y87" si="769">+IF(H87-J87&lt;0,0, H87-J87)</f>
        <v>0</v>
      </c>
      <c r="Z87" s="340">
        <f t="shared" ref="Z87" si="770">IFERROR(
IF(AND(LEN(TRIM(B86))&gt;0,LEN(TRIM(C86))&gt;0),
(X87+Y87)*25%,
0
),
0
)</f>
        <v>0</v>
      </c>
      <c r="AA87" s="340">
        <f>IFERROR(
IF(AND(LEN(TRIM(B86))&gt;0,LEN(TRIM(C86))&gt;0),
'Bang TH nop'!BG87,
0
),
0
)</f>
        <v>0</v>
      </c>
      <c r="AB87" s="344">
        <f t="shared" ref="AB87" si="771">IFERROR(
IF(AND(LEN(TRIM(B86))&gt;0,LEN(TRIM(C86))&gt;0),
SUM(I87:W87)+IFERROR(Z87,0)+IFERROR(AA87,0),
0
),
0
)</f>
        <v>0</v>
      </c>
      <c r="AC87" s="340">
        <f t="shared" ref="AC87" si="772">IFERROR(
IF(AND(LEN(TRIM(B86))&gt;0,LEN(TRIM(C86))&gt;0),
IF((26-(IFERROR(I86,0)+IFERROR(K86,0)+IFERROR(L86,0)+IFERROR(M86,0)))&gt;12,0,D87*10.5%),
0
),
0
)</f>
        <v>0</v>
      </c>
      <c r="AD87" s="340">
        <f t="shared" ref="AD87" si="773">IFERROR(
IF(AND(LEN(TRIM(B86))&gt;0,LEN(TRIM(C86))&gt;0),
ROUND(IF(D87=4939000,D87*0.5%,0),-2),
0
),
0
)</f>
        <v>0</v>
      </c>
      <c r="AE87" s="344">
        <f t="shared" ref="AE87" si="774">IFERROR(
IF(AND(LEN(TRIM(B86))&gt;0,LEN(TRIM(C86))&gt;0),
ROUND(IFERROR(AB87,0)-IFERROR(AC87,0)-IFERROR(AD87,0),-2),
0
),
0
)</f>
        <v>0</v>
      </c>
      <c r="AF87" s="347">
        <f>IFERROR(
IF(AND(LEN(TRIM(B86))&gt;0,LEN(TRIM(C86))&gt;0),
IFERROR('Bang TH nop'!AQ87,0)+IFERROR('Bang TH nop'!AT87,0)+IFERROR('Bang TH nop'!BF87,0),
0
),
0
)</f>
        <v>0</v>
      </c>
      <c r="AG87" s="348"/>
      <c r="AH87" s="354"/>
      <c r="AI87" s="355">
        <f t="shared" ref="AI87" si="775">IFERROR(
IF(AND(LEN(TRIM(B86))&gt;0,LEN(TRIM(C86))&gt;0),
AH87/AG87,
0
),
0
)</f>
        <v>0</v>
      </c>
      <c r="AJ87" s="355">
        <f t="shared" ref="AJ87" si="776">IFERROR(
IF(AND(LEN(TRIM(B86))&gt;0,LEN(TRIM(C86))&gt;0),
AL87/AF87,
0
),
0
)</f>
        <v>0</v>
      </c>
      <c r="AK87" s="356">
        <f t="shared" ref="AK87" si="777">IFERROR(
IF(AND(LEN(TRIM(B86))&gt;0,LEN(TRIM(C86))&gt;0),
AJ87/AI87,
0
),
0
)</f>
        <v>0</v>
      </c>
      <c r="AL87" s="357">
        <f t="shared" ref="AL87" si="778">IFERROR(
IF(AND(LEN(TRIM(B86))&gt;0,LEN(TRIM(C86))&gt;0),
AB87/L87,
0
),
0
)</f>
        <v>0</v>
      </c>
    </row>
    <row r="88" spans="1:38" ht="17.100000000000001" customHeight="1">
      <c r="A88" s="424">
        <f t="shared" ref="A88" si="779">A86+1</f>
        <v>41</v>
      </c>
      <c r="B88" s="426">
        <f>'Bang TH nop'!B89</f>
        <v>0</v>
      </c>
      <c r="C88" s="421">
        <f>IFERROR(IF(LEN(TRIM(B88))&gt;0,'Bang TH nop'!C89,""),"")</f>
        <v>0</v>
      </c>
      <c r="D88" s="398">
        <f>IFERROR(IF(AND(LEN(TRIM(B88))&gt;0,LEN(TRIM(C88))&gt;0),'Bang TH nop'!AO89,""),"")</f>
        <v>0</v>
      </c>
      <c r="E88" s="399"/>
      <c r="F88" s="340"/>
      <c r="G88" s="341"/>
      <c r="H88" s="341"/>
      <c r="I88" s="342">
        <f>IFERROR(IF(AND(LEN(TRIM(B88))&gt;0,LEN(TRIM(C88))&gt;0),'Bang TH nop'!BB89,0),0)</f>
        <v>0</v>
      </c>
      <c r="J88" s="342">
        <f>IFERROR(IF(AND(LEN(TRIM(B88))&gt;0,LEN(TRIM(C88))&gt;0),'Bang TH nop'!AV89,0),0)</f>
        <v>0</v>
      </c>
      <c r="K88" s="342">
        <f>IFERROR(IF(AND(LEN(TRIM(B88))&gt;0,LEN(TRIM(C88))&gt;0),'Bang TH nop'!AR89,0),0)</f>
        <v>0</v>
      </c>
      <c r="L88" s="343">
        <f>IFERROR(IF(AND(LEN(TRIM(B88))&gt;0,LEN(TRIM(C88))&gt;0),'Bang TH nop'!AS89,0),0)</f>
        <v>0</v>
      </c>
      <c r="M88" s="342">
        <f>IFERROR(IF(AND(LEN(TRIM(B88))&gt;0,LEN(TRIM(C88))&gt;0),'Bang TH nop'!AT89,0),0)</f>
        <v>0</v>
      </c>
      <c r="N88" s="344">
        <f>IFERROR(IF(AND(LEN(TRIM(B88))&gt;0,LEN(TRIM(C88))&gt;0),'Bang TH nop'!AU89,0),0)</f>
        <v>0</v>
      </c>
      <c r="O88" s="342">
        <f>IFERROR(IF(AND(LEN(TRIM(B88))&gt;0,LEN(TRIM(C88))&gt;0),'Bang TH nop'!BE89,0),0)</f>
        <v>0</v>
      </c>
      <c r="P88" s="345">
        <f>IFERROR(IF(AND(LEN(TRIM(B88))&gt;0,LEN(TRIM(C88))&gt;0),'Bang TH nop'!AZ89,0),0)</f>
        <v>0</v>
      </c>
      <c r="Q88" s="343"/>
      <c r="R88" s="342"/>
      <c r="S88" s="342"/>
      <c r="T88" s="342"/>
      <c r="U88" s="341"/>
      <c r="V88" s="341"/>
      <c r="W88" s="341"/>
      <c r="X88" s="341"/>
      <c r="Y88" s="341"/>
      <c r="Z88" s="341"/>
      <c r="AA88" s="340" t="str">
        <f>IFERROR(
IF(AND(LEN(TRIM(B88))&gt;0,LEN(TRIM(C88))&gt;0),
'Bang TH nop'!AH89,
0
),
0
)</f>
        <v>A</v>
      </c>
      <c r="AB88" s="346"/>
      <c r="AC88" s="346"/>
      <c r="AD88" s="341"/>
      <c r="AE88" s="346"/>
      <c r="AF88" s="347"/>
      <c r="AG88" s="348"/>
      <c r="AH88" s="349"/>
      <c r="AI88" s="350"/>
      <c r="AJ88" s="351"/>
      <c r="AK88" s="350"/>
      <c r="AL88" s="352"/>
    </row>
    <row r="89" spans="1:38" ht="17.100000000000001" customHeight="1">
      <c r="A89" s="425"/>
      <c r="B89" s="426"/>
      <c r="C89" s="422"/>
      <c r="D89" s="397">
        <f>IFERROR(IF(AND(LEN(TRIM(B88))&gt;0,LEN(TRIM(C88))&gt;0),'Bang TH nop'!AP89,""),"")</f>
        <v>0</v>
      </c>
      <c r="E89" s="397"/>
      <c r="F89" s="353">
        <f>IFERROR(IF(AND(LEN(TRIM(B88))&gt;0,LEN(TRIM(C88))&gt;0),'Bang TH nop'!AL89,0),0)</f>
        <v>0</v>
      </c>
      <c r="G89" s="340">
        <f t="shared" ref="G89" si="780">D89*I88/26</f>
        <v>0</v>
      </c>
      <c r="H89" s="340">
        <f t="shared" ref="H89" si="781">D89*J88*150%/(26*8)</f>
        <v>0</v>
      </c>
      <c r="I89" s="340"/>
      <c r="J89" s="340"/>
      <c r="K89" s="344">
        <f t="shared" ref="K89" si="782">IFERROR(
IF(AND(LEN(TRIM(B88))&gt;0,LEN(TRIM(C88))&gt;0),
ROUND(D89/26*K88,0),
0
),
0
)</f>
        <v>0</v>
      </c>
      <c r="L89" s="344">
        <f t="shared" ref="L89" si="783">IFERROR(
IF(AND(LEN(TRIM(B88))&gt;0,LEN(TRIM(C88))&gt;0),
ROUND(D89/26*L88,0),
0
),
0
)</f>
        <v>0</v>
      </c>
      <c r="M89" s="344">
        <f t="shared" ref="M89" si="784">IFERROR(
IF(AND(LEN(TRIM(B88))&gt;0,LEN(TRIM(C88))&gt;0),
ROUND(D89/26*M88,0),
0
),
0
)</f>
        <v>0</v>
      </c>
      <c r="N89" s="344">
        <f t="shared" ref="N89" si="785">IFERROR(
IF(AND(LEN(TRIM(B88))&gt;0,LEN(TRIM(C88))&gt;0),
D89*N88/(26*8),
0
),
0
)</f>
        <v>0</v>
      </c>
      <c r="O89" s="344">
        <f t="shared" ref="O89" si="786">IFERROR(
IF(AND(LEN(TRIM(B88))&gt;0,LEN(TRIM(C88))&gt;0),
D89*O88/(26*8),
0
),
0
)</f>
        <v>0</v>
      </c>
      <c r="P89" s="344">
        <f t="shared" ref="P89" si="787">IFERROR(
IF(AND(LEN(TRIM(B88))&gt;0,LEN(TRIM(C88))&gt;0),
(D89/26/8*P88),
0
),
0
)</f>
        <v>0</v>
      </c>
      <c r="Q89" s="344">
        <f>IFERROR(
IF(AND(LEN(TRIM(B88))&gt;0,LEN(TRIM(C88))&gt;0),
'Bang TH nop'!BC89,
0
),
0
)</f>
        <v>0</v>
      </c>
      <c r="R89" s="340">
        <f>IFERROR(
IF(AND(LEN(TRIM(B88))&gt;0,LEN(TRIM(C88))&gt;0),
'Bang TH nop'!BD89,
0
),
0
)</f>
        <v>0</v>
      </c>
      <c r="S89" s="340">
        <f>IFERROR(
IF(AND(LEN(TRIM(B88))&gt;0,LEN(TRIM(C88))&gt;0),
'Bang TH nop'!BJ89,
0
),
0
)</f>
        <v>0</v>
      </c>
      <c r="T89" s="340">
        <f>IFERROR(
IF(AND(LEN(TRIM(B88))&gt;0,LEN(TRIM(C88))&gt;0),
IFERROR('Bang TH nop'!AW89,0)+IFERROR('Bang TH nop'!BH89,0),
0
),
0
)</f>
        <v>0</v>
      </c>
      <c r="U89" s="344"/>
      <c r="V89" s="344"/>
      <c r="W89" s="344"/>
      <c r="X89" s="340">
        <f t="shared" ref="X89" si="788">+IF(G89-I89&lt;0,0,G89-I89)</f>
        <v>0</v>
      </c>
      <c r="Y89" s="340">
        <f t="shared" ref="Y89" si="789">+IF(H89-J89&lt;0,0, H89-J89)</f>
        <v>0</v>
      </c>
      <c r="Z89" s="340">
        <f t="shared" ref="Z89" si="790">IFERROR(
IF(AND(LEN(TRIM(B88))&gt;0,LEN(TRIM(C88))&gt;0),
(X89+Y89)*25%,
0
),
0
)</f>
        <v>0</v>
      </c>
      <c r="AA89" s="340">
        <f>IFERROR(
IF(AND(LEN(TRIM(B88))&gt;0,LEN(TRIM(C88))&gt;0),
'Bang TH nop'!BG89,
0
),
0
)</f>
        <v>0</v>
      </c>
      <c r="AB89" s="344">
        <f t="shared" ref="AB89" si="791">IFERROR(
IF(AND(LEN(TRIM(B88))&gt;0,LEN(TRIM(C88))&gt;0),
SUM(I89:W89)+IFERROR(Z89,0)+IFERROR(AA89,0),
0
),
0
)</f>
        <v>0</v>
      </c>
      <c r="AC89" s="340">
        <f t="shared" ref="AC89" si="792">IFERROR(
IF(AND(LEN(TRIM(B88))&gt;0,LEN(TRIM(C88))&gt;0),
IF((26-(IFERROR(I88,0)+IFERROR(K88,0)+IFERROR(L88,0)+IFERROR(M88,0)))&gt;12,0,D89*10.5%),
0
),
0
)</f>
        <v>0</v>
      </c>
      <c r="AD89" s="340">
        <f t="shared" ref="AD89" si="793">IFERROR(
IF(AND(LEN(TRIM(B88))&gt;0,LEN(TRIM(C88))&gt;0),
ROUND(IF(D89=4939000,D89*0.5%,0),-2),
0
),
0
)</f>
        <v>0</v>
      </c>
      <c r="AE89" s="344">
        <f t="shared" ref="AE89" si="794">IFERROR(
IF(AND(LEN(TRIM(B88))&gt;0,LEN(TRIM(C88))&gt;0),
ROUND(IFERROR(AB89,0)-IFERROR(AC89,0)-IFERROR(AD89,0),-2),
0
),
0
)</f>
        <v>0</v>
      </c>
      <c r="AF89" s="347">
        <f>IFERROR(
IF(AND(LEN(TRIM(B88))&gt;0,LEN(TRIM(C88))&gt;0),
IFERROR('Bang TH nop'!AQ89,0)+IFERROR('Bang TH nop'!AT89,0)+IFERROR('Bang TH nop'!BF89,0),
0
),
0
)</f>
        <v>0</v>
      </c>
      <c r="AG89" s="348"/>
      <c r="AH89" s="354"/>
      <c r="AI89" s="355">
        <f t="shared" ref="AI89" si="795">IFERROR(
IF(AND(LEN(TRIM(B88))&gt;0,LEN(TRIM(C88))&gt;0),
AH89/AG89,
0
),
0
)</f>
        <v>0</v>
      </c>
      <c r="AJ89" s="355">
        <f t="shared" ref="AJ89" si="796">IFERROR(
IF(AND(LEN(TRIM(B88))&gt;0,LEN(TRIM(C88))&gt;0),
AL89/AF89,
0
),
0
)</f>
        <v>0</v>
      </c>
      <c r="AK89" s="356">
        <f t="shared" ref="AK89" si="797">IFERROR(
IF(AND(LEN(TRIM(B88))&gt;0,LEN(TRIM(C88))&gt;0),
AJ89/AI89,
0
),
0
)</f>
        <v>0</v>
      </c>
      <c r="AL89" s="357">
        <f t="shared" ref="AL89" si="798">IFERROR(
IF(AND(LEN(TRIM(B88))&gt;0,LEN(TRIM(C88))&gt;0),
AB89/L89,
0
),
0
)</f>
        <v>0</v>
      </c>
    </row>
    <row r="90" spans="1:38" ht="17.100000000000001" customHeight="1">
      <c r="A90" s="424">
        <f t="shared" ref="A90" si="799">A88+1</f>
        <v>42</v>
      </c>
      <c r="B90" s="426">
        <f>'Bang TH nop'!B91</f>
        <v>0</v>
      </c>
      <c r="C90" s="421">
        <f>IFERROR(IF(LEN(TRIM(B90))&gt;0,'Bang TH nop'!C91,""),"")</f>
        <v>0</v>
      </c>
      <c r="D90" s="398">
        <f>IFERROR(IF(AND(LEN(TRIM(B90))&gt;0,LEN(TRIM(C90))&gt;0),'Bang TH nop'!AO91,""),"")</f>
        <v>0</v>
      </c>
      <c r="E90" s="399"/>
      <c r="F90" s="340"/>
      <c r="G90" s="341"/>
      <c r="H90" s="341"/>
      <c r="I90" s="342">
        <f>IFERROR(IF(AND(LEN(TRIM(B90))&gt;0,LEN(TRIM(C90))&gt;0),'Bang TH nop'!BB91,0),0)</f>
        <v>0</v>
      </c>
      <c r="J90" s="342">
        <f>IFERROR(IF(AND(LEN(TRIM(B90))&gt;0,LEN(TRIM(C90))&gt;0),'Bang TH nop'!AV91,0),0)</f>
        <v>0</v>
      </c>
      <c r="K90" s="342">
        <f>IFERROR(IF(AND(LEN(TRIM(B90))&gt;0,LEN(TRIM(C90))&gt;0),'Bang TH nop'!AR91,0),0)</f>
        <v>0</v>
      </c>
      <c r="L90" s="343">
        <f>IFERROR(IF(AND(LEN(TRIM(B90))&gt;0,LEN(TRIM(C90))&gt;0),'Bang TH nop'!AS91,0),0)</f>
        <v>0</v>
      </c>
      <c r="M90" s="342">
        <f>IFERROR(IF(AND(LEN(TRIM(B90))&gt;0,LEN(TRIM(C90))&gt;0),'Bang TH nop'!AT91,0),0)</f>
        <v>0</v>
      </c>
      <c r="N90" s="344">
        <f>IFERROR(IF(AND(LEN(TRIM(B90))&gt;0,LEN(TRIM(C90))&gt;0),'Bang TH nop'!AU91,0),0)</f>
        <v>0</v>
      </c>
      <c r="O90" s="342">
        <f>IFERROR(IF(AND(LEN(TRIM(B90))&gt;0,LEN(TRIM(C90))&gt;0),'Bang TH nop'!BE91,0),0)</f>
        <v>0</v>
      </c>
      <c r="P90" s="345">
        <f>IFERROR(IF(AND(LEN(TRIM(B90))&gt;0,LEN(TRIM(C90))&gt;0),'Bang TH nop'!AZ91,0),0)</f>
        <v>0</v>
      </c>
      <c r="Q90" s="343"/>
      <c r="R90" s="342"/>
      <c r="S90" s="342"/>
      <c r="T90" s="342"/>
      <c r="U90" s="341"/>
      <c r="V90" s="341"/>
      <c r="W90" s="341"/>
      <c r="X90" s="341"/>
      <c r="Y90" s="341"/>
      <c r="Z90" s="341"/>
      <c r="AA90" s="340" t="str">
        <f>IFERROR(
IF(AND(LEN(TRIM(B90))&gt;0,LEN(TRIM(C90))&gt;0),
'Bang TH nop'!AH91,
0
),
0
)</f>
        <v>A</v>
      </c>
      <c r="AB90" s="346"/>
      <c r="AC90" s="346"/>
      <c r="AD90" s="341"/>
      <c r="AE90" s="346"/>
      <c r="AF90" s="347"/>
      <c r="AG90" s="348"/>
      <c r="AH90" s="349"/>
      <c r="AI90" s="350"/>
      <c r="AJ90" s="351"/>
      <c r="AK90" s="350"/>
      <c r="AL90" s="352"/>
    </row>
    <row r="91" spans="1:38" ht="17.100000000000001" customHeight="1">
      <c r="A91" s="425"/>
      <c r="B91" s="426"/>
      <c r="C91" s="422"/>
      <c r="D91" s="397">
        <f>IFERROR(IF(AND(LEN(TRIM(B90))&gt;0,LEN(TRIM(C90))&gt;0),'Bang TH nop'!AP91,""),"")</f>
        <v>0</v>
      </c>
      <c r="E91" s="397"/>
      <c r="F91" s="353">
        <f>IFERROR(IF(AND(LEN(TRIM(B90))&gt;0,LEN(TRIM(C90))&gt;0),'Bang TH nop'!AL91,0),0)</f>
        <v>0</v>
      </c>
      <c r="G91" s="340">
        <f t="shared" ref="G91" si="800">D91*I90/26</f>
        <v>0</v>
      </c>
      <c r="H91" s="340">
        <f t="shared" ref="H91" si="801">D91*J90*150%/(26*8)</f>
        <v>0</v>
      </c>
      <c r="I91" s="340"/>
      <c r="J91" s="340"/>
      <c r="K91" s="344">
        <f t="shared" ref="K91" si="802">IFERROR(
IF(AND(LEN(TRIM(B90))&gt;0,LEN(TRIM(C90))&gt;0),
ROUND(D91/26*K90,0),
0
),
0
)</f>
        <v>0</v>
      </c>
      <c r="L91" s="344">
        <f t="shared" ref="L91" si="803">IFERROR(
IF(AND(LEN(TRIM(B90))&gt;0,LEN(TRIM(C90))&gt;0),
ROUND(D91/26*L90,0),
0
),
0
)</f>
        <v>0</v>
      </c>
      <c r="M91" s="344">
        <f t="shared" ref="M91" si="804">IFERROR(
IF(AND(LEN(TRIM(B90))&gt;0,LEN(TRIM(C90))&gt;0),
ROUND(D91/26*M90,0),
0
),
0
)</f>
        <v>0</v>
      </c>
      <c r="N91" s="344">
        <f t="shared" ref="N91" si="805">IFERROR(
IF(AND(LEN(TRIM(B90))&gt;0,LEN(TRIM(C90))&gt;0),
D91*N90/(26*8),
0
),
0
)</f>
        <v>0</v>
      </c>
      <c r="O91" s="344">
        <f t="shared" ref="O91" si="806">IFERROR(
IF(AND(LEN(TRIM(B90))&gt;0,LEN(TRIM(C90))&gt;0),
D91*O90/(26*8),
0
),
0
)</f>
        <v>0</v>
      </c>
      <c r="P91" s="344">
        <f t="shared" ref="P91" si="807">IFERROR(
IF(AND(LEN(TRIM(B90))&gt;0,LEN(TRIM(C90))&gt;0),
(D91/26/8*P90),
0
),
0
)</f>
        <v>0</v>
      </c>
      <c r="Q91" s="344">
        <f>IFERROR(
IF(AND(LEN(TRIM(B90))&gt;0,LEN(TRIM(C90))&gt;0),
'Bang TH nop'!BC91,
0
),
0
)</f>
        <v>0</v>
      </c>
      <c r="R91" s="340">
        <f>IFERROR(
IF(AND(LEN(TRIM(B90))&gt;0,LEN(TRIM(C90))&gt;0),
'Bang TH nop'!BD91,
0
),
0
)</f>
        <v>0</v>
      </c>
      <c r="S91" s="340">
        <f>IFERROR(
IF(AND(LEN(TRIM(B90))&gt;0,LEN(TRIM(C90))&gt;0),
'Bang TH nop'!BJ91,
0
),
0
)</f>
        <v>0</v>
      </c>
      <c r="T91" s="340">
        <f>IFERROR(
IF(AND(LEN(TRIM(B90))&gt;0,LEN(TRIM(C90))&gt;0),
IFERROR('Bang TH nop'!AW91,0)+IFERROR('Bang TH nop'!BH91,0),
0
),
0
)</f>
        <v>0</v>
      </c>
      <c r="U91" s="344"/>
      <c r="V91" s="344"/>
      <c r="W91" s="344"/>
      <c r="X91" s="340">
        <f t="shared" ref="X91" si="808">+IF(G91-I91&lt;0,0,G91-I91)</f>
        <v>0</v>
      </c>
      <c r="Y91" s="340">
        <f t="shared" ref="Y91" si="809">+IF(H91-J91&lt;0,0, H91-J91)</f>
        <v>0</v>
      </c>
      <c r="Z91" s="340">
        <f t="shared" ref="Z91" si="810">IFERROR(
IF(AND(LEN(TRIM(B90))&gt;0,LEN(TRIM(C90))&gt;0),
(X91+Y91)*25%,
0
),
0
)</f>
        <v>0</v>
      </c>
      <c r="AA91" s="340">
        <f>IFERROR(
IF(AND(LEN(TRIM(B90))&gt;0,LEN(TRIM(C90))&gt;0),
'Bang TH nop'!BG91,
0
),
0
)</f>
        <v>0</v>
      </c>
      <c r="AB91" s="344">
        <f t="shared" ref="AB91" si="811">IFERROR(
IF(AND(LEN(TRIM(B90))&gt;0,LEN(TRIM(C90))&gt;0),
SUM(I91:W91)+IFERROR(Z91,0)+IFERROR(AA91,0),
0
),
0
)</f>
        <v>0</v>
      </c>
      <c r="AC91" s="340">
        <f t="shared" ref="AC91" si="812">IFERROR(
IF(AND(LEN(TRIM(B90))&gt;0,LEN(TRIM(C90))&gt;0),
IF((26-(IFERROR(I90,0)+IFERROR(K90,0)+IFERROR(L90,0)+IFERROR(M90,0)))&gt;12,0,D91*10.5%),
0
),
0
)</f>
        <v>0</v>
      </c>
      <c r="AD91" s="340">
        <f t="shared" ref="AD91" si="813">IFERROR(
IF(AND(LEN(TRIM(B90))&gt;0,LEN(TRIM(C90))&gt;0),
ROUND(IF(D91=4939000,D91*0.5%,0),-2),
0
),
0
)</f>
        <v>0</v>
      </c>
      <c r="AE91" s="344">
        <f t="shared" ref="AE91" si="814">IFERROR(
IF(AND(LEN(TRIM(B90))&gt;0,LEN(TRIM(C90))&gt;0),
ROUND(IFERROR(AB91,0)-IFERROR(AC91,0)-IFERROR(AD91,0),-2),
0
),
0
)</f>
        <v>0</v>
      </c>
      <c r="AF91" s="347">
        <f>IFERROR(
IF(AND(LEN(TRIM(B90))&gt;0,LEN(TRIM(C90))&gt;0),
IFERROR('Bang TH nop'!AQ91,0)+IFERROR('Bang TH nop'!AT91,0)+IFERROR('Bang TH nop'!BF91,0),
0
),
0
)</f>
        <v>0</v>
      </c>
      <c r="AG91" s="348"/>
      <c r="AH91" s="354"/>
      <c r="AI91" s="355">
        <f t="shared" ref="AI91" si="815">IFERROR(
IF(AND(LEN(TRIM(B90))&gt;0,LEN(TRIM(C90))&gt;0),
AH91/AG91,
0
),
0
)</f>
        <v>0</v>
      </c>
      <c r="AJ91" s="355">
        <f t="shared" ref="AJ91" si="816">IFERROR(
IF(AND(LEN(TRIM(B90))&gt;0,LEN(TRIM(C90))&gt;0),
AL91/AF91,
0
),
0
)</f>
        <v>0</v>
      </c>
      <c r="AK91" s="356">
        <f t="shared" ref="AK91" si="817">IFERROR(
IF(AND(LEN(TRIM(B90))&gt;0,LEN(TRIM(C90))&gt;0),
AJ91/AI91,
0
),
0
)</f>
        <v>0</v>
      </c>
      <c r="AL91" s="357">
        <f t="shared" ref="AL91" si="818">IFERROR(
IF(AND(LEN(TRIM(B90))&gt;0,LEN(TRIM(C90))&gt;0),
AB91/L91,
0
),
0
)</f>
        <v>0</v>
      </c>
    </row>
    <row r="92" spans="1:38" ht="17.100000000000001" customHeight="1">
      <c r="A92" s="424">
        <f t="shared" ref="A92" si="819">A90+1</f>
        <v>43</v>
      </c>
      <c r="B92" s="426">
        <f>'Bang TH nop'!B93</f>
        <v>0</v>
      </c>
      <c r="C92" s="421">
        <f>IFERROR(IF(LEN(TRIM(B92))&gt;0,'Bang TH nop'!C93,""),"")</f>
        <v>0</v>
      </c>
      <c r="D92" s="398">
        <f>IFERROR(IF(AND(LEN(TRIM(B92))&gt;0,LEN(TRIM(C92))&gt;0),'Bang TH nop'!AO93,""),"")</f>
        <v>0</v>
      </c>
      <c r="E92" s="399"/>
      <c r="F92" s="340"/>
      <c r="G92" s="341"/>
      <c r="H92" s="341"/>
      <c r="I92" s="342">
        <f>IFERROR(IF(AND(LEN(TRIM(B92))&gt;0,LEN(TRIM(C92))&gt;0),'Bang TH nop'!BB93,0),0)</f>
        <v>0</v>
      </c>
      <c r="J92" s="342">
        <f>IFERROR(IF(AND(LEN(TRIM(B92))&gt;0,LEN(TRIM(C92))&gt;0),'Bang TH nop'!AV93,0),0)</f>
        <v>0</v>
      </c>
      <c r="K92" s="342">
        <f>IFERROR(IF(AND(LEN(TRIM(B92))&gt;0,LEN(TRIM(C92))&gt;0),'Bang TH nop'!AR93,0),0)</f>
        <v>0</v>
      </c>
      <c r="L92" s="343">
        <f>IFERROR(IF(AND(LEN(TRIM(B92))&gt;0,LEN(TRIM(C92))&gt;0),'Bang TH nop'!AS93,0),0)</f>
        <v>0</v>
      </c>
      <c r="M92" s="342">
        <f>IFERROR(IF(AND(LEN(TRIM(B92))&gt;0,LEN(TRIM(C92))&gt;0),'Bang TH nop'!AT93,0),0)</f>
        <v>0</v>
      </c>
      <c r="N92" s="344">
        <f>IFERROR(IF(AND(LEN(TRIM(B92))&gt;0,LEN(TRIM(C92))&gt;0),'Bang TH nop'!AU93,0),0)</f>
        <v>0</v>
      </c>
      <c r="O92" s="342">
        <f>IFERROR(IF(AND(LEN(TRIM(B92))&gt;0,LEN(TRIM(C92))&gt;0),'Bang TH nop'!BE93,0),0)</f>
        <v>0</v>
      </c>
      <c r="P92" s="345">
        <f>IFERROR(IF(AND(LEN(TRIM(B92))&gt;0,LEN(TRIM(C92))&gt;0),'Bang TH nop'!AZ93,0),0)</f>
        <v>0</v>
      </c>
      <c r="Q92" s="343"/>
      <c r="R92" s="342"/>
      <c r="S92" s="342"/>
      <c r="T92" s="342"/>
      <c r="U92" s="341"/>
      <c r="V92" s="341"/>
      <c r="W92" s="341"/>
      <c r="X92" s="341"/>
      <c r="Y92" s="341"/>
      <c r="Z92" s="341"/>
      <c r="AA92" s="340" t="str">
        <f>IFERROR(
IF(AND(LEN(TRIM(B92))&gt;0,LEN(TRIM(C92))&gt;0),
'Bang TH nop'!AH93,
0
),
0
)</f>
        <v>A</v>
      </c>
      <c r="AB92" s="346"/>
      <c r="AC92" s="346"/>
      <c r="AD92" s="341"/>
      <c r="AE92" s="346"/>
      <c r="AF92" s="347"/>
      <c r="AG92" s="348"/>
      <c r="AH92" s="349"/>
      <c r="AI92" s="350"/>
      <c r="AJ92" s="351"/>
      <c r="AK92" s="350"/>
      <c r="AL92" s="352"/>
    </row>
    <row r="93" spans="1:38" ht="17.100000000000001" customHeight="1">
      <c r="A93" s="425"/>
      <c r="B93" s="426"/>
      <c r="C93" s="422"/>
      <c r="D93" s="397">
        <f>IFERROR(IF(AND(LEN(TRIM(B92))&gt;0,LEN(TRIM(C92))&gt;0),'Bang TH nop'!AP93,""),"")</f>
        <v>0</v>
      </c>
      <c r="E93" s="397"/>
      <c r="F93" s="353">
        <f>IFERROR(IF(AND(LEN(TRIM(B92))&gt;0,LEN(TRIM(C92))&gt;0),'Bang TH nop'!AL93,0),0)</f>
        <v>0</v>
      </c>
      <c r="G93" s="340">
        <f t="shared" ref="G93" si="820">D93*I92/26</f>
        <v>0</v>
      </c>
      <c r="H93" s="340">
        <f t="shared" ref="H93" si="821">D93*J92*150%/(26*8)</f>
        <v>0</v>
      </c>
      <c r="I93" s="340"/>
      <c r="J93" s="340"/>
      <c r="K93" s="344">
        <f t="shared" ref="K93" si="822">IFERROR(
IF(AND(LEN(TRIM(B92))&gt;0,LEN(TRIM(C92))&gt;0),
ROUND(D93/26*K92,0),
0
),
0
)</f>
        <v>0</v>
      </c>
      <c r="L93" s="344">
        <f t="shared" ref="L93" si="823">IFERROR(
IF(AND(LEN(TRIM(B92))&gt;0,LEN(TRIM(C92))&gt;0),
ROUND(D93/26*L92,0),
0
),
0
)</f>
        <v>0</v>
      </c>
      <c r="M93" s="344">
        <f t="shared" ref="M93" si="824">IFERROR(
IF(AND(LEN(TRIM(B92))&gt;0,LEN(TRIM(C92))&gt;0),
ROUND(D93/26*M92,0),
0
),
0
)</f>
        <v>0</v>
      </c>
      <c r="N93" s="344">
        <f t="shared" ref="N93" si="825">IFERROR(
IF(AND(LEN(TRIM(B92))&gt;0,LEN(TRIM(C92))&gt;0),
D93*N92/(26*8),
0
),
0
)</f>
        <v>0</v>
      </c>
      <c r="O93" s="344">
        <f t="shared" ref="O93" si="826">IFERROR(
IF(AND(LEN(TRIM(B92))&gt;0,LEN(TRIM(C92))&gt;0),
D93*O92/(26*8),
0
),
0
)</f>
        <v>0</v>
      </c>
      <c r="P93" s="344">
        <f t="shared" ref="P93" si="827">IFERROR(
IF(AND(LEN(TRIM(B92))&gt;0,LEN(TRIM(C92))&gt;0),
(D93/26/8*P92),
0
),
0
)</f>
        <v>0</v>
      </c>
      <c r="Q93" s="344">
        <f>IFERROR(
IF(AND(LEN(TRIM(B92))&gt;0,LEN(TRIM(C92))&gt;0),
'Bang TH nop'!BC93,
0
),
0
)</f>
        <v>0</v>
      </c>
      <c r="R93" s="340">
        <f>IFERROR(
IF(AND(LEN(TRIM(B92))&gt;0,LEN(TRIM(C92))&gt;0),
'Bang TH nop'!BD93,
0
),
0
)</f>
        <v>0</v>
      </c>
      <c r="S93" s="340">
        <f>IFERROR(
IF(AND(LEN(TRIM(B92))&gt;0,LEN(TRIM(C92))&gt;0),
'Bang TH nop'!BJ93,
0
),
0
)</f>
        <v>0</v>
      </c>
      <c r="T93" s="340">
        <f>IFERROR(
IF(AND(LEN(TRIM(B92))&gt;0,LEN(TRIM(C92))&gt;0),
IFERROR('Bang TH nop'!AW93,0)+IFERROR('Bang TH nop'!BH93,0),
0
),
0
)</f>
        <v>0</v>
      </c>
      <c r="U93" s="344"/>
      <c r="V93" s="344"/>
      <c r="W93" s="344"/>
      <c r="X93" s="340">
        <f t="shared" ref="X93" si="828">+IF(G93-I93&lt;0,0,G93-I93)</f>
        <v>0</v>
      </c>
      <c r="Y93" s="340">
        <f t="shared" ref="Y93" si="829">+IF(H93-J93&lt;0,0, H93-J93)</f>
        <v>0</v>
      </c>
      <c r="Z93" s="340">
        <f t="shared" ref="Z93" si="830">IFERROR(
IF(AND(LEN(TRIM(B92))&gt;0,LEN(TRIM(C92))&gt;0),
(X93+Y93)*25%,
0
),
0
)</f>
        <v>0</v>
      </c>
      <c r="AA93" s="340">
        <f>IFERROR(
IF(AND(LEN(TRIM(B92))&gt;0,LEN(TRIM(C92))&gt;0),
'Bang TH nop'!BG93,
0
),
0
)</f>
        <v>0</v>
      </c>
      <c r="AB93" s="344">
        <f t="shared" ref="AB93" si="831">IFERROR(
IF(AND(LEN(TRIM(B92))&gt;0,LEN(TRIM(C92))&gt;0),
SUM(I93:W93)+IFERROR(Z93,0)+IFERROR(AA93,0),
0
),
0
)</f>
        <v>0</v>
      </c>
      <c r="AC93" s="340">
        <f t="shared" ref="AC93" si="832">IFERROR(
IF(AND(LEN(TRIM(B92))&gt;0,LEN(TRIM(C92))&gt;0),
IF((26-(IFERROR(I92,0)+IFERROR(K92,0)+IFERROR(L92,0)+IFERROR(M92,0)))&gt;12,0,D93*10.5%),
0
),
0
)</f>
        <v>0</v>
      </c>
      <c r="AD93" s="340">
        <f t="shared" ref="AD93" si="833">IFERROR(
IF(AND(LEN(TRIM(B92))&gt;0,LEN(TRIM(C92))&gt;0),
ROUND(IF(D93=4939000,D93*0.5%,0),-2),
0
),
0
)</f>
        <v>0</v>
      </c>
      <c r="AE93" s="344">
        <f t="shared" ref="AE93" si="834">IFERROR(
IF(AND(LEN(TRIM(B92))&gt;0,LEN(TRIM(C92))&gt;0),
ROUND(IFERROR(AB93,0)-IFERROR(AC93,0)-IFERROR(AD93,0),-2),
0
),
0
)</f>
        <v>0</v>
      </c>
      <c r="AF93" s="347">
        <f>IFERROR(
IF(AND(LEN(TRIM(B92))&gt;0,LEN(TRIM(C92))&gt;0),
IFERROR('Bang TH nop'!AQ93,0)+IFERROR('Bang TH nop'!AT93,0)+IFERROR('Bang TH nop'!BF93,0),
0
),
0
)</f>
        <v>0</v>
      </c>
      <c r="AG93" s="348"/>
      <c r="AH93" s="354"/>
      <c r="AI93" s="355">
        <f t="shared" ref="AI93" si="835">IFERROR(
IF(AND(LEN(TRIM(B92))&gt;0,LEN(TRIM(C92))&gt;0),
AH93/AG93,
0
),
0
)</f>
        <v>0</v>
      </c>
      <c r="AJ93" s="355">
        <f t="shared" ref="AJ93" si="836">IFERROR(
IF(AND(LEN(TRIM(B92))&gt;0,LEN(TRIM(C92))&gt;0),
AL93/AF93,
0
),
0
)</f>
        <v>0</v>
      </c>
      <c r="AK93" s="356">
        <f t="shared" ref="AK93" si="837">IFERROR(
IF(AND(LEN(TRIM(B92))&gt;0,LEN(TRIM(C92))&gt;0),
AJ93/AI93,
0
),
0
)</f>
        <v>0</v>
      </c>
      <c r="AL93" s="357">
        <f t="shared" ref="AL93" si="838">IFERROR(
IF(AND(LEN(TRIM(B92))&gt;0,LEN(TRIM(C92))&gt;0),
AB93/L93,
0
),
0
)</f>
        <v>0</v>
      </c>
    </row>
    <row r="94" spans="1:38" ht="17.100000000000001" customHeight="1">
      <c r="A94" s="424">
        <f t="shared" ref="A94" si="839">A92+1</f>
        <v>44</v>
      </c>
      <c r="B94" s="426">
        <f>'Bang TH nop'!B95</f>
        <v>0</v>
      </c>
      <c r="C94" s="421">
        <f>IFERROR(IF(LEN(TRIM(B94))&gt;0,'Bang TH nop'!C95,""),"")</f>
        <v>0</v>
      </c>
      <c r="D94" s="398">
        <f>IFERROR(IF(AND(LEN(TRIM(B94))&gt;0,LEN(TRIM(C94))&gt;0),'Bang TH nop'!AO95,""),"")</f>
        <v>0</v>
      </c>
      <c r="E94" s="399"/>
      <c r="F94" s="340"/>
      <c r="G94" s="341"/>
      <c r="H94" s="341"/>
      <c r="I94" s="342">
        <f>IFERROR(IF(AND(LEN(TRIM(B94))&gt;0,LEN(TRIM(C94))&gt;0),'Bang TH nop'!BB95,0),0)</f>
        <v>0</v>
      </c>
      <c r="J94" s="342">
        <f>IFERROR(IF(AND(LEN(TRIM(B94))&gt;0,LEN(TRIM(C94))&gt;0),'Bang TH nop'!AV95,0),0)</f>
        <v>0</v>
      </c>
      <c r="K94" s="342">
        <f>IFERROR(IF(AND(LEN(TRIM(B94))&gt;0,LEN(TRIM(C94))&gt;0),'Bang TH nop'!AR95,0),0)</f>
        <v>0</v>
      </c>
      <c r="L94" s="343">
        <f>IFERROR(IF(AND(LEN(TRIM(B94))&gt;0,LEN(TRIM(C94))&gt;0),'Bang TH nop'!AS95,0),0)</f>
        <v>0</v>
      </c>
      <c r="M94" s="342">
        <f>IFERROR(IF(AND(LEN(TRIM(B94))&gt;0,LEN(TRIM(C94))&gt;0),'Bang TH nop'!AT95,0),0)</f>
        <v>0</v>
      </c>
      <c r="N94" s="344">
        <f>IFERROR(IF(AND(LEN(TRIM(B94))&gt;0,LEN(TRIM(C94))&gt;0),'Bang TH nop'!AU95,0),0)</f>
        <v>0</v>
      </c>
      <c r="O94" s="342">
        <f>IFERROR(IF(AND(LEN(TRIM(B94))&gt;0,LEN(TRIM(C94))&gt;0),'Bang TH nop'!BE95,0),0)</f>
        <v>0</v>
      </c>
      <c r="P94" s="345">
        <f>IFERROR(IF(AND(LEN(TRIM(B94))&gt;0,LEN(TRIM(C94))&gt;0),'Bang TH nop'!AZ95,0),0)</f>
        <v>0</v>
      </c>
      <c r="Q94" s="343"/>
      <c r="R94" s="342"/>
      <c r="S94" s="342"/>
      <c r="T94" s="342"/>
      <c r="U94" s="341"/>
      <c r="V94" s="341"/>
      <c r="W94" s="341"/>
      <c r="X94" s="341"/>
      <c r="Y94" s="341"/>
      <c r="Z94" s="341"/>
      <c r="AA94" s="340" t="str">
        <f>IFERROR(
IF(AND(LEN(TRIM(B94))&gt;0,LEN(TRIM(C94))&gt;0),
'Bang TH nop'!AH95,
0
),
0
)</f>
        <v>A</v>
      </c>
      <c r="AB94" s="346"/>
      <c r="AC94" s="346"/>
      <c r="AD94" s="341"/>
      <c r="AE94" s="346"/>
      <c r="AF94" s="347"/>
      <c r="AG94" s="348"/>
      <c r="AH94" s="349"/>
      <c r="AI94" s="350"/>
      <c r="AJ94" s="351"/>
      <c r="AK94" s="350"/>
      <c r="AL94" s="352"/>
    </row>
    <row r="95" spans="1:38" ht="17.100000000000001" customHeight="1">
      <c r="A95" s="425"/>
      <c r="B95" s="426"/>
      <c r="C95" s="422"/>
      <c r="D95" s="397">
        <f>IFERROR(IF(AND(LEN(TRIM(B94))&gt;0,LEN(TRIM(C94))&gt;0),'Bang TH nop'!AP95,""),"")</f>
        <v>0</v>
      </c>
      <c r="E95" s="397"/>
      <c r="F95" s="353">
        <f>IFERROR(IF(AND(LEN(TRIM(B94))&gt;0,LEN(TRIM(C94))&gt;0),'Bang TH nop'!AL95,0),0)</f>
        <v>0</v>
      </c>
      <c r="G95" s="340">
        <f t="shared" ref="G95" si="840">D95*I94/26</f>
        <v>0</v>
      </c>
      <c r="H95" s="340">
        <f t="shared" ref="H95" si="841">D95*J94*150%/(26*8)</f>
        <v>0</v>
      </c>
      <c r="I95" s="340"/>
      <c r="J95" s="340"/>
      <c r="K95" s="344">
        <f t="shared" ref="K95" si="842">IFERROR(
IF(AND(LEN(TRIM(B94))&gt;0,LEN(TRIM(C94))&gt;0),
ROUND(D95/26*K94,0),
0
),
0
)</f>
        <v>0</v>
      </c>
      <c r="L95" s="344">
        <f t="shared" ref="L95" si="843">IFERROR(
IF(AND(LEN(TRIM(B94))&gt;0,LEN(TRIM(C94))&gt;0),
ROUND(D95/26*L94,0),
0
),
0
)</f>
        <v>0</v>
      </c>
      <c r="M95" s="344">
        <f t="shared" ref="M95" si="844">IFERROR(
IF(AND(LEN(TRIM(B94))&gt;0,LEN(TRIM(C94))&gt;0),
ROUND(D95/26*M94,0),
0
),
0
)</f>
        <v>0</v>
      </c>
      <c r="N95" s="344">
        <f t="shared" ref="N95" si="845">IFERROR(
IF(AND(LEN(TRIM(B94))&gt;0,LEN(TRIM(C94))&gt;0),
D95*N94/(26*8),
0
),
0
)</f>
        <v>0</v>
      </c>
      <c r="O95" s="344">
        <f t="shared" ref="O95" si="846">IFERROR(
IF(AND(LEN(TRIM(B94))&gt;0,LEN(TRIM(C94))&gt;0),
D95*O94/(26*8),
0
),
0
)</f>
        <v>0</v>
      </c>
      <c r="P95" s="344">
        <f t="shared" ref="P95" si="847">IFERROR(
IF(AND(LEN(TRIM(B94))&gt;0,LEN(TRIM(C94))&gt;0),
(D95/26/8*P94),
0
),
0
)</f>
        <v>0</v>
      </c>
      <c r="Q95" s="344">
        <f>IFERROR(
IF(AND(LEN(TRIM(B94))&gt;0,LEN(TRIM(C94))&gt;0),
'Bang TH nop'!BC95,
0
),
0
)</f>
        <v>0</v>
      </c>
      <c r="R95" s="340">
        <f>IFERROR(
IF(AND(LEN(TRIM(B94))&gt;0,LEN(TRIM(C94))&gt;0),
'Bang TH nop'!BD95,
0
),
0
)</f>
        <v>0</v>
      </c>
      <c r="S95" s="340">
        <f>IFERROR(
IF(AND(LEN(TRIM(B94))&gt;0,LEN(TRIM(C94))&gt;0),
'Bang TH nop'!BJ95,
0
),
0
)</f>
        <v>0</v>
      </c>
      <c r="T95" s="340">
        <f>IFERROR(
IF(AND(LEN(TRIM(B94))&gt;0,LEN(TRIM(C94))&gt;0),
IFERROR('Bang TH nop'!AW95,0)+IFERROR('Bang TH nop'!BH95,0),
0
),
0
)</f>
        <v>0</v>
      </c>
      <c r="U95" s="344"/>
      <c r="V95" s="344"/>
      <c r="W95" s="344"/>
      <c r="X95" s="340">
        <f t="shared" ref="X95" si="848">+IF(G95-I95&lt;0,0,G95-I95)</f>
        <v>0</v>
      </c>
      <c r="Y95" s="340">
        <f t="shared" ref="Y95" si="849">+IF(H95-J95&lt;0,0, H95-J95)</f>
        <v>0</v>
      </c>
      <c r="Z95" s="340">
        <f t="shared" ref="Z95" si="850">IFERROR(
IF(AND(LEN(TRIM(B94))&gt;0,LEN(TRIM(C94))&gt;0),
(X95+Y95)*25%,
0
),
0
)</f>
        <v>0</v>
      </c>
      <c r="AA95" s="340">
        <f>IFERROR(
IF(AND(LEN(TRIM(B94))&gt;0,LEN(TRIM(C94))&gt;0),
'Bang TH nop'!BG95,
0
),
0
)</f>
        <v>0</v>
      </c>
      <c r="AB95" s="344">
        <f t="shared" ref="AB95" si="851">IFERROR(
IF(AND(LEN(TRIM(B94))&gt;0,LEN(TRIM(C94))&gt;0),
SUM(I95:W95)+IFERROR(Z95,0)+IFERROR(AA95,0),
0
),
0
)</f>
        <v>0</v>
      </c>
      <c r="AC95" s="340">
        <f t="shared" ref="AC95" si="852">IFERROR(
IF(AND(LEN(TRIM(B94))&gt;0,LEN(TRIM(C94))&gt;0),
IF((26-(IFERROR(I94,0)+IFERROR(K94,0)+IFERROR(L94,0)+IFERROR(M94,0)))&gt;12,0,D95*10.5%),
0
),
0
)</f>
        <v>0</v>
      </c>
      <c r="AD95" s="340">
        <f t="shared" ref="AD95" si="853">IFERROR(
IF(AND(LEN(TRIM(B94))&gt;0,LEN(TRIM(C94))&gt;0),
ROUND(IF(D95=4939000,D95*0.5%,0),-2),
0
),
0
)</f>
        <v>0</v>
      </c>
      <c r="AE95" s="344">
        <f t="shared" ref="AE95" si="854">IFERROR(
IF(AND(LEN(TRIM(B94))&gt;0,LEN(TRIM(C94))&gt;0),
ROUND(IFERROR(AB95,0)-IFERROR(AC95,0)-IFERROR(AD95,0),-2),
0
),
0
)</f>
        <v>0</v>
      </c>
      <c r="AF95" s="347">
        <f>IFERROR(
IF(AND(LEN(TRIM(B94))&gt;0,LEN(TRIM(C94))&gt;0),
IFERROR('Bang TH nop'!AQ95,0)+IFERROR('Bang TH nop'!AT95,0)+IFERROR('Bang TH nop'!BF95,0),
0
),
0
)</f>
        <v>0</v>
      </c>
      <c r="AG95" s="348"/>
      <c r="AH95" s="354"/>
      <c r="AI95" s="355">
        <f t="shared" ref="AI95" si="855">IFERROR(
IF(AND(LEN(TRIM(B94))&gt;0,LEN(TRIM(C94))&gt;0),
AH95/AG95,
0
),
0
)</f>
        <v>0</v>
      </c>
      <c r="AJ95" s="355">
        <f t="shared" ref="AJ95" si="856">IFERROR(
IF(AND(LEN(TRIM(B94))&gt;0,LEN(TRIM(C94))&gt;0),
AL95/AF95,
0
),
0
)</f>
        <v>0</v>
      </c>
      <c r="AK95" s="356">
        <f t="shared" ref="AK95" si="857">IFERROR(
IF(AND(LEN(TRIM(B94))&gt;0,LEN(TRIM(C94))&gt;0),
AJ95/AI95,
0
),
0
)</f>
        <v>0</v>
      </c>
      <c r="AL95" s="357">
        <f t="shared" ref="AL95" si="858">IFERROR(
IF(AND(LEN(TRIM(B94))&gt;0,LEN(TRIM(C94))&gt;0),
AB95/L95,
0
),
0
)</f>
        <v>0</v>
      </c>
    </row>
    <row r="96" spans="1:38" ht="17.100000000000001" customHeight="1">
      <c r="A96" s="424">
        <f t="shared" ref="A96" si="859">A94+1</f>
        <v>45</v>
      </c>
      <c r="B96" s="426">
        <f>'Bang TH nop'!B97</f>
        <v>0</v>
      </c>
      <c r="C96" s="421">
        <f>IFERROR(IF(LEN(TRIM(B96))&gt;0,'Bang TH nop'!C97,""),"")</f>
        <v>0</v>
      </c>
      <c r="D96" s="398">
        <f>IFERROR(IF(AND(LEN(TRIM(B96))&gt;0,LEN(TRIM(C96))&gt;0),'Bang TH nop'!AO97,""),"")</f>
        <v>0</v>
      </c>
      <c r="E96" s="399"/>
      <c r="F96" s="340"/>
      <c r="G96" s="341"/>
      <c r="H96" s="341"/>
      <c r="I96" s="342">
        <f>IFERROR(IF(AND(LEN(TRIM(B96))&gt;0,LEN(TRIM(C96))&gt;0),'Bang TH nop'!BB97,0),0)</f>
        <v>0</v>
      </c>
      <c r="J96" s="342">
        <f>IFERROR(IF(AND(LEN(TRIM(B96))&gt;0,LEN(TRIM(C96))&gt;0),'Bang TH nop'!AV97,0),0)</f>
        <v>0</v>
      </c>
      <c r="K96" s="342">
        <f>IFERROR(IF(AND(LEN(TRIM(B96))&gt;0,LEN(TRIM(C96))&gt;0),'Bang TH nop'!AR97,0),0)</f>
        <v>0</v>
      </c>
      <c r="L96" s="343">
        <f>IFERROR(IF(AND(LEN(TRIM(B96))&gt;0,LEN(TRIM(C96))&gt;0),'Bang TH nop'!AS97,0),0)</f>
        <v>0</v>
      </c>
      <c r="M96" s="342">
        <f>IFERROR(IF(AND(LEN(TRIM(B96))&gt;0,LEN(TRIM(C96))&gt;0),'Bang TH nop'!AT97,0),0)</f>
        <v>0</v>
      </c>
      <c r="N96" s="344">
        <f>IFERROR(IF(AND(LEN(TRIM(B96))&gt;0,LEN(TRIM(C96))&gt;0),'Bang TH nop'!AU97,0),0)</f>
        <v>0</v>
      </c>
      <c r="O96" s="342">
        <f>IFERROR(IF(AND(LEN(TRIM(B96))&gt;0,LEN(TRIM(C96))&gt;0),'Bang TH nop'!BE97,0),0)</f>
        <v>0</v>
      </c>
      <c r="P96" s="345">
        <f>IFERROR(IF(AND(LEN(TRIM(B96))&gt;0,LEN(TRIM(C96))&gt;0),'Bang TH nop'!AZ97,0),0)</f>
        <v>0</v>
      </c>
      <c r="Q96" s="343"/>
      <c r="R96" s="342"/>
      <c r="S96" s="342"/>
      <c r="T96" s="342"/>
      <c r="U96" s="341"/>
      <c r="V96" s="341"/>
      <c r="W96" s="341"/>
      <c r="X96" s="341"/>
      <c r="Y96" s="341"/>
      <c r="Z96" s="341"/>
      <c r="AA96" s="340" t="str">
        <f>IFERROR(
IF(AND(LEN(TRIM(B96))&gt;0,LEN(TRIM(C96))&gt;0),
'Bang TH nop'!AH97,
0
),
0
)</f>
        <v>A</v>
      </c>
      <c r="AB96" s="346"/>
      <c r="AC96" s="346"/>
      <c r="AD96" s="341"/>
      <c r="AE96" s="346"/>
      <c r="AF96" s="347"/>
      <c r="AG96" s="348"/>
      <c r="AH96" s="349"/>
      <c r="AI96" s="350"/>
      <c r="AJ96" s="351"/>
      <c r="AK96" s="350"/>
      <c r="AL96" s="352"/>
    </row>
    <row r="97" spans="1:38" ht="17.100000000000001" customHeight="1">
      <c r="A97" s="425"/>
      <c r="B97" s="426"/>
      <c r="C97" s="422"/>
      <c r="D97" s="397">
        <f>IFERROR(IF(AND(LEN(TRIM(B96))&gt;0,LEN(TRIM(C96))&gt;0),'Bang TH nop'!AP97,""),"")</f>
        <v>0</v>
      </c>
      <c r="E97" s="397"/>
      <c r="F97" s="353">
        <f>IFERROR(IF(AND(LEN(TRIM(B96))&gt;0,LEN(TRIM(C96))&gt;0),'Bang TH nop'!AL97,0),0)</f>
        <v>0</v>
      </c>
      <c r="G97" s="340">
        <f t="shared" ref="G97" si="860">D97*I96/26</f>
        <v>0</v>
      </c>
      <c r="H97" s="340">
        <f t="shared" ref="H97" si="861">D97*J96*150%/(26*8)</f>
        <v>0</v>
      </c>
      <c r="I97" s="340"/>
      <c r="J97" s="340"/>
      <c r="K97" s="344">
        <f t="shared" ref="K97" si="862">IFERROR(
IF(AND(LEN(TRIM(B96))&gt;0,LEN(TRIM(C96))&gt;0),
ROUND(D97/26*K96,0),
0
),
0
)</f>
        <v>0</v>
      </c>
      <c r="L97" s="344">
        <f t="shared" ref="L97" si="863">IFERROR(
IF(AND(LEN(TRIM(B96))&gt;0,LEN(TRIM(C96))&gt;0),
ROUND(D97/26*L96,0),
0
),
0
)</f>
        <v>0</v>
      </c>
      <c r="M97" s="344">
        <f t="shared" ref="M97" si="864">IFERROR(
IF(AND(LEN(TRIM(B96))&gt;0,LEN(TRIM(C96))&gt;0),
ROUND(D97/26*M96,0),
0
),
0
)</f>
        <v>0</v>
      </c>
      <c r="N97" s="344">
        <f t="shared" ref="N97" si="865">IFERROR(
IF(AND(LEN(TRIM(B96))&gt;0,LEN(TRIM(C96))&gt;0),
D97*N96/(26*8),
0
),
0
)</f>
        <v>0</v>
      </c>
      <c r="O97" s="344">
        <f t="shared" ref="O97" si="866">IFERROR(
IF(AND(LEN(TRIM(B96))&gt;0,LEN(TRIM(C96))&gt;0),
D97*O96/(26*8),
0
),
0
)</f>
        <v>0</v>
      </c>
      <c r="P97" s="344">
        <f t="shared" ref="P97" si="867">IFERROR(
IF(AND(LEN(TRIM(B96))&gt;0,LEN(TRIM(C96))&gt;0),
(D97/26/8*P96),
0
),
0
)</f>
        <v>0</v>
      </c>
      <c r="Q97" s="344">
        <f>IFERROR(
IF(AND(LEN(TRIM(B96))&gt;0,LEN(TRIM(C96))&gt;0),
'Bang TH nop'!BC97,
0
),
0
)</f>
        <v>0</v>
      </c>
      <c r="R97" s="340">
        <f>IFERROR(
IF(AND(LEN(TRIM(B96))&gt;0,LEN(TRIM(C96))&gt;0),
'Bang TH nop'!BD97,
0
),
0
)</f>
        <v>0</v>
      </c>
      <c r="S97" s="340">
        <f>IFERROR(
IF(AND(LEN(TRIM(B96))&gt;0,LEN(TRIM(C96))&gt;0),
'Bang TH nop'!BJ97,
0
),
0
)</f>
        <v>0</v>
      </c>
      <c r="T97" s="340">
        <f>IFERROR(
IF(AND(LEN(TRIM(B96))&gt;0,LEN(TRIM(C96))&gt;0),
IFERROR('Bang TH nop'!AW97,0)+IFERROR('Bang TH nop'!BH97,0),
0
),
0
)</f>
        <v>0</v>
      </c>
      <c r="U97" s="344"/>
      <c r="V97" s="344"/>
      <c r="W97" s="344"/>
      <c r="X97" s="340">
        <f t="shared" ref="X97" si="868">+IF(G97-I97&lt;0,0,G97-I97)</f>
        <v>0</v>
      </c>
      <c r="Y97" s="340">
        <f t="shared" ref="Y97" si="869">+IF(H97-J97&lt;0,0, H97-J97)</f>
        <v>0</v>
      </c>
      <c r="Z97" s="340">
        <f t="shared" ref="Z97" si="870">IFERROR(
IF(AND(LEN(TRIM(B96))&gt;0,LEN(TRIM(C96))&gt;0),
(X97+Y97)*25%,
0
),
0
)</f>
        <v>0</v>
      </c>
      <c r="AA97" s="340">
        <f>IFERROR(
IF(AND(LEN(TRIM(B96))&gt;0,LEN(TRIM(C96))&gt;0),
'Bang TH nop'!BG97,
0
),
0
)</f>
        <v>0</v>
      </c>
      <c r="AB97" s="344">
        <f t="shared" ref="AB97" si="871">IFERROR(
IF(AND(LEN(TRIM(B96))&gt;0,LEN(TRIM(C96))&gt;0),
SUM(I97:W97)+IFERROR(Z97,0)+IFERROR(AA97,0),
0
),
0
)</f>
        <v>0</v>
      </c>
      <c r="AC97" s="340">
        <f t="shared" ref="AC97" si="872">IFERROR(
IF(AND(LEN(TRIM(B96))&gt;0,LEN(TRIM(C96))&gt;0),
IF((26-(IFERROR(I96,0)+IFERROR(K96,0)+IFERROR(L96,0)+IFERROR(M96,0)))&gt;12,0,D97*10.5%),
0
),
0
)</f>
        <v>0</v>
      </c>
      <c r="AD97" s="340">
        <f t="shared" ref="AD97" si="873">IFERROR(
IF(AND(LEN(TRIM(B96))&gt;0,LEN(TRIM(C96))&gt;0),
ROUND(IF(D97=4939000,D97*0.5%,0),-2),
0
),
0
)</f>
        <v>0</v>
      </c>
      <c r="AE97" s="344">
        <f t="shared" ref="AE97" si="874">IFERROR(
IF(AND(LEN(TRIM(B96))&gt;0,LEN(TRIM(C96))&gt;0),
ROUND(IFERROR(AB97,0)-IFERROR(AC97,0)-IFERROR(AD97,0),-2),
0
),
0
)</f>
        <v>0</v>
      </c>
      <c r="AF97" s="347">
        <f>IFERROR(
IF(AND(LEN(TRIM(B96))&gt;0,LEN(TRIM(C96))&gt;0),
IFERROR('Bang TH nop'!AQ97,0)+IFERROR('Bang TH nop'!AT97,0)+IFERROR('Bang TH nop'!BF97,0),
0
),
0
)</f>
        <v>0</v>
      </c>
      <c r="AG97" s="348"/>
      <c r="AH97" s="354"/>
      <c r="AI97" s="355">
        <f t="shared" ref="AI97" si="875">IFERROR(
IF(AND(LEN(TRIM(B96))&gt;0,LEN(TRIM(C96))&gt;0),
AH97/AG97,
0
),
0
)</f>
        <v>0</v>
      </c>
      <c r="AJ97" s="355">
        <f t="shared" ref="AJ97" si="876">IFERROR(
IF(AND(LEN(TRIM(B96))&gt;0,LEN(TRIM(C96))&gt;0),
AL97/AF97,
0
),
0
)</f>
        <v>0</v>
      </c>
      <c r="AK97" s="356">
        <f t="shared" ref="AK97" si="877">IFERROR(
IF(AND(LEN(TRIM(B96))&gt;0,LEN(TRIM(C96))&gt;0),
AJ97/AI97,
0
),
0
)</f>
        <v>0</v>
      </c>
      <c r="AL97" s="357">
        <f t="shared" ref="AL97" si="878">IFERROR(
IF(AND(LEN(TRIM(B96))&gt;0,LEN(TRIM(C96))&gt;0),
AB97/L97,
0
),
0
)</f>
        <v>0</v>
      </c>
    </row>
    <row r="98" spans="1:38" ht="17.100000000000001" customHeight="1">
      <c r="A98" s="424">
        <f t="shared" ref="A98" si="879">A96+1</f>
        <v>46</v>
      </c>
      <c r="B98" s="426">
        <f>'Bang TH nop'!B99</f>
        <v>0</v>
      </c>
      <c r="C98" s="421">
        <f>IFERROR(IF(LEN(TRIM(B98))&gt;0,'Bang TH nop'!C99,""),"")</f>
        <v>0</v>
      </c>
      <c r="D98" s="398">
        <f>IFERROR(IF(AND(LEN(TRIM(B98))&gt;0,LEN(TRIM(C98))&gt;0),'Bang TH nop'!AO99,""),"")</f>
        <v>0</v>
      </c>
      <c r="E98" s="399"/>
      <c r="F98" s="340"/>
      <c r="G98" s="341"/>
      <c r="H98" s="341"/>
      <c r="I98" s="342">
        <f>IFERROR(IF(AND(LEN(TRIM(B98))&gt;0,LEN(TRIM(C98))&gt;0),'Bang TH nop'!BB99,0),0)</f>
        <v>0</v>
      </c>
      <c r="J98" s="342">
        <f>IFERROR(IF(AND(LEN(TRIM(B98))&gt;0,LEN(TRIM(C98))&gt;0),'Bang TH nop'!AV99,0),0)</f>
        <v>0</v>
      </c>
      <c r="K98" s="342">
        <f>IFERROR(IF(AND(LEN(TRIM(B98))&gt;0,LEN(TRIM(C98))&gt;0),'Bang TH nop'!AR99,0),0)</f>
        <v>0</v>
      </c>
      <c r="L98" s="343">
        <f>IFERROR(IF(AND(LEN(TRIM(B98))&gt;0,LEN(TRIM(C98))&gt;0),'Bang TH nop'!AS99,0),0)</f>
        <v>0</v>
      </c>
      <c r="M98" s="342">
        <f>IFERROR(IF(AND(LEN(TRIM(B98))&gt;0,LEN(TRIM(C98))&gt;0),'Bang TH nop'!AT99,0),0)</f>
        <v>0</v>
      </c>
      <c r="N98" s="344">
        <f>IFERROR(IF(AND(LEN(TRIM(B98))&gt;0,LEN(TRIM(C98))&gt;0),'Bang TH nop'!AU99,0),0)</f>
        <v>0</v>
      </c>
      <c r="O98" s="342">
        <f>IFERROR(IF(AND(LEN(TRIM(B98))&gt;0,LEN(TRIM(C98))&gt;0),'Bang TH nop'!BE99,0),0)</f>
        <v>0</v>
      </c>
      <c r="P98" s="345">
        <f>IFERROR(IF(AND(LEN(TRIM(B98))&gt;0,LEN(TRIM(C98))&gt;0),'Bang TH nop'!AZ99,0),0)</f>
        <v>0</v>
      </c>
      <c r="Q98" s="343"/>
      <c r="R98" s="342"/>
      <c r="S98" s="342"/>
      <c r="T98" s="342"/>
      <c r="U98" s="341"/>
      <c r="V98" s="341"/>
      <c r="W98" s="341"/>
      <c r="X98" s="341"/>
      <c r="Y98" s="341"/>
      <c r="Z98" s="341"/>
      <c r="AA98" s="340" t="str">
        <f>IFERROR(
IF(AND(LEN(TRIM(B98))&gt;0,LEN(TRIM(C98))&gt;0),
'Bang TH nop'!AH99,
0
),
0
)</f>
        <v>A</v>
      </c>
      <c r="AB98" s="346"/>
      <c r="AC98" s="346"/>
      <c r="AD98" s="341"/>
      <c r="AE98" s="346"/>
      <c r="AF98" s="347"/>
      <c r="AG98" s="348"/>
      <c r="AH98" s="349"/>
      <c r="AI98" s="350"/>
      <c r="AJ98" s="351"/>
      <c r="AK98" s="350"/>
      <c r="AL98" s="352"/>
    </row>
    <row r="99" spans="1:38" ht="17.100000000000001" customHeight="1">
      <c r="A99" s="425"/>
      <c r="B99" s="426"/>
      <c r="C99" s="422"/>
      <c r="D99" s="397">
        <f>IFERROR(IF(AND(LEN(TRIM(B98))&gt;0,LEN(TRIM(C98))&gt;0),'Bang TH nop'!AP99,""),"")</f>
        <v>0</v>
      </c>
      <c r="E99" s="397"/>
      <c r="F99" s="353">
        <f>IFERROR(IF(AND(LEN(TRIM(B98))&gt;0,LEN(TRIM(C98))&gt;0),'Bang TH nop'!AL99,0),0)</f>
        <v>0</v>
      </c>
      <c r="G99" s="340">
        <f t="shared" ref="G99" si="880">D99*I98/26</f>
        <v>0</v>
      </c>
      <c r="H99" s="340">
        <f t="shared" ref="H99" si="881">D99*J98*150%/(26*8)</f>
        <v>0</v>
      </c>
      <c r="I99" s="340"/>
      <c r="J99" s="340"/>
      <c r="K99" s="344">
        <f t="shared" ref="K99" si="882">IFERROR(
IF(AND(LEN(TRIM(B98))&gt;0,LEN(TRIM(C98))&gt;0),
ROUND(D99/26*K98,0),
0
),
0
)</f>
        <v>0</v>
      </c>
      <c r="L99" s="344">
        <f t="shared" ref="L99" si="883">IFERROR(
IF(AND(LEN(TRIM(B98))&gt;0,LEN(TRIM(C98))&gt;0),
ROUND(D99/26*L98,0),
0
),
0
)</f>
        <v>0</v>
      </c>
      <c r="M99" s="344">
        <f t="shared" ref="M99" si="884">IFERROR(
IF(AND(LEN(TRIM(B98))&gt;0,LEN(TRIM(C98))&gt;0),
ROUND(D99/26*M98,0),
0
),
0
)</f>
        <v>0</v>
      </c>
      <c r="N99" s="344">
        <f t="shared" ref="N99" si="885">IFERROR(
IF(AND(LEN(TRIM(B98))&gt;0,LEN(TRIM(C98))&gt;0),
D99*N98/(26*8),
0
),
0
)</f>
        <v>0</v>
      </c>
      <c r="O99" s="344">
        <f t="shared" ref="O99" si="886">IFERROR(
IF(AND(LEN(TRIM(B98))&gt;0,LEN(TRIM(C98))&gt;0),
D99*O98/(26*8),
0
),
0
)</f>
        <v>0</v>
      </c>
      <c r="P99" s="344">
        <f t="shared" ref="P99" si="887">IFERROR(
IF(AND(LEN(TRIM(B98))&gt;0,LEN(TRIM(C98))&gt;0),
(D99/26/8*P98),
0
),
0
)</f>
        <v>0</v>
      </c>
      <c r="Q99" s="344">
        <f>IFERROR(
IF(AND(LEN(TRIM(B98))&gt;0,LEN(TRIM(C98))&gt;0),
'Bang TH nop'!BC99,
0
),
0
)</f>
        <v>0</v>
      </c>
      <c r="R99" s="340">
        <f>IFERROR(
IF(AND(LEN(TRIM(B98))&gt;0,LEN(TRIM(C98))&gt;0),
'Bang TH nop'!BD99,
0
),
0
)</f>
        <v>0</v>
      </c>
      <c r="S99" s="340">
        <f>IFERROR(
IF(AND(LEN(TRIM(B98))&gt;0,LEN(TRIM(C98))&gt;0),
'Bang TH nop'!BJ99,
0
),
0
)</f>
        <v>0</v>
      </c>
      <c r="T99" s="340">
        <f>IFERROR(
IF(AND(LEN(TRIM(B98))&gt;0,LEN(TRIM(C98))&gt;0),
IFERROR('Bang TH nop'!AW99,0)+IFERROR('Bang TH nop'!BH99,0),
0
),
0
)</f>
        <v>0</v>
      </c>
      <c r="U99" s="344"/>
      <c r="V99" s="344"/>
      <c r="W99" s="344"/>
      <c r="X99" s="340">
        <f t="shared" ref="X99" si="888">+IF(G99-I99&lt;0,0,G99-I99)</f>
        <v>0</v>
      </c>
      <c r="Y99" s="340">
        <f t="shared" ref="Y99" si="889">+IF(H99-J99&lt;0,0, H99-J99)</f>
        <v>0</v>
      </c>
      <c r="Z99" s="340">
        <f t="shared" ref="Z99" si="890">IFERROR(
IF(AND(LEN(TRIM(B98))&gt;0,LEN(TRIM(C98))&gt;0),
(X99+Y99)*25%,
0
),
0
)</f>
        <v>0</v>
      </c>
      <c r="AA99" s="340">
        <f>IFERROR(
IF(AND(LEN(TRIM(B98))&gt;0,LEN(TRIM(C98))&gt;0),
'Bang TH nop'!BG99,
0
),
0
)</f>
        <v>0</v>
      </c>
      <c r="AB99" s="344">
        <f t="shared" ref="AB99" si="891">IFERROR(
IF(AND(LEN(TRIM(B98))&gt;0,LEN(TRIM(C98))&gt;0),
SUM(I99:W99)+IFERROR(Z99,0)+IFERROR(AA99,0),
0
),
0
)</f>
        <v>0</v>
      </c>
      <c r="AC99" s="340">
        <f t="shared" ref="AC99" si="892">IFERROR(
IF(AND(LEN(TRIM(B98))&gt;0,LEN(TRIM(C98))&gt;0),
IF((26-(IFERROR(I98,0)+IFERROR(K98,0)+IFERROR(L98,0)+IFERROR(M98,0)))&gt;12,0,D99*10.5%),
0
),
0
)</f>
        <v>0</v>
      </c>
      <c r="AD99" s="340">
        <f t="shared" ref="AD99" si="893">IFERROR(
IF(AND(LEN(TRIM(B98))&gt;0,LEN(TRIM(C98))&gt;0),
ROUND(IF(D99=4939000,D99*0.5%,0),-2),
0
),
0
)</f>
        <v>0</v>
      </c>
      <c r="AE99" s="344">
        <f t="shared" ref="AE99" si="894">IFERROR(
IF(AND(LEN(TRIM(B98))&gt;0,LEN(TRIM(C98))&gt;0),
ROUND(IFERROR(AB99,0)-IFERROR(AC99,0)-IFERROR(AD99,0),-2),
0
),
0
)</f>
        <v>0</v>
      </c>
      <c r="AF99" s="347">
        <f>IFERROR(
IF(AND(LEN(TRIM(B98))&gt;0,LEN(TRIM(C98))&gt;0),
IFERROR('Bang TH nop'!AQ99,0)+IFERROR('Bang TH nop'!AT99,0)+IFERROR('Bang TH nop'!BF99,0),
0
),
0
)</f>
        <v>0</v>
      </c>
      <c r="AG99" s="348"/>
      <c r="AH99" s="354"/>
      <c r="AI99" s="355">
        <f t="shared" ref="AI99" si="895">IFERROR(
IF(AND(LEN(TRIM(B98))&gt;0,LEN(TRIM(C98))&gt;0),
AH99/AG99,
0
),
0
)</f>
        <v>0</v>
      </c>
      <c r="AJ99" s="355">
        <f t="shared" ref="AJ99" si="896">IFERROR(
IF(AND(LEN(TRIM(B98))&gt;0,LEN(TRIM(C98))&gt;0),
AL99/AF99,
0
),
0
)</f>
        <v>0</v>
      </c>
      <c r="AK99" s="356">
        <f t="shared" ref="AK99" si="897">IFERROR(
IF(AND(LEN(TRIM(B98))&gt;0,LEN(TRIM(C98))&gt;0),
AJ99/AI99,
0
),
0
)</f>
        <v>0</v>
      </c>
      <c r="AL99" s="357">
        <f t="shared" ref="AL99" si="898">IFERROR(
IF(AND(LEN(TRIM(B98))&gt;0,LEN(TRIM(C98))&gt;0),
AB99/L99,
0
),
0
)</f>
        <v>0</v>
      </c>
    </row>
    <row r="100" spans="1:38" ht="17.100000000000001" customHeight="1">
      <c r="A100" s="424">
        <f t="shared" ref="A100" si="899">A98+1</f>
        <v>47</v>
      </c>
      <c r="B100" s="426">
        <f>'Bang TH nop'!B101</f>
        <v>0</v>
      </c>
      <c r="C100" s="421">
        <f>IFERROR(IF(LEN(TRIM(B100))&gt;0,'Bang TH nop'!C101,""),"")</f>
        <v>0</v>
      </c>
      <c r="D100" s="398">
        <f>IFERROR(IF(AND(LEN(TRIM(B100))&gt;0,LEN(TRIM(C100))&gt;0),'Bang TH nop'!AO101,""),"")</f>
        <v>0</v>
      </c>
      <c r="E100" s="399"/>
      <c r="F100" s="340"/>
      <c r="G100" s="341"/>
      <c r="H100" s="341"/>
      <c r="I100" s="342">
        <f>IFERROR(IF(AND(LEN(TRIM(B100))&gt;0,LEN(TRIM(C100))&gt;0),'Bang TH nop'!BB101,0),0)</f>
        <v>0</v>
      </c>
      <c r="J100" s="342">
        <f>IFERROR(IF(AND(LEN(TRIM(B100))&gt;0,LEN(TRIM(C100))&gt;0),'Bang TH nop'!AV101,0),0)</f>
        <v>0</v>
      </c>
      <c r="K100" s="342">
        <f>IFERROR(IF(AND(LEN(TRIM(B100))&gt;0,LEN(TRIM(C100))&gt;0),'Bang TH nop'!AR101,0),0)</f>
        <v>0</v>
      </c>
      <c r="L100" s="343">
        <f>IFERROR(IF(AND(LEN(TRIM(B100))&gt;0,LEN(TRIM(C100))&gt;0),'Bang TH nop'!AS101,0),0)</f>
        <v>0</v>
      </c>
      <c r="M100" s="342">
        <f>IFERROR(IF(AND(LEN(TRIM(B100))&gt;0,LEN(TRIM(C100))&gt;0),'Bang TH nop'!AT101,0),0)</f>
        <v>0</v>
      </c>
      <c r="N100" s="344">
        <f>IFERROR(IF(AND(LEN(TRIM(B100))&gt;0,LEN(TRIM(C100))&gt;0),'Bang TH nop'!AU101,0),0)</f>
        <v>0</v>
      </c>
      <c r="O100" s="342">
        <f>IFERROR(IF(AND(LEN(TRIM(B100))&gt;0,LEN(TRIM(C100))&gt;0),'Bang TH nop'!BE101,0),0)</f>
        <v>0</v>
      </c>
      <c r="P100" s="345">
        <f>IFERROR(IF(AND(LEN(TRIM(B100))&gt;0,LEN(TRIM(C100))&gt;0),'Bang TH nop'!AZ101,0),0)</f>
        <v>0</v>
      </c>
      <c r="Q100" s="343"/>
      <c r="R100" s="342"/>
      <c r="S100" s="342"/>
      <c r="T100" s="342"/>
      <c r="U100" s="341"/>
      <c r="V100" s="341"/>
      <c r="W100" s="341"/>
      <c r="X100" s="341"/>
      <c r="Y100" s="341"/>
      <c r="Z100" s="341"/>
      <c r="AA100" s="340" t="str">
        <f>IFERROR(
IF(AND(LEN(TRIM(B100))&gt;0,LEN(TRIM(C100))&gt;0),
'Bang TH nop'!AH101,
0
),
0
)</f>
        <v>A</v>
      </c>
      <c r="AB100" s="346"/>
      <c r="AC100" s="346"/>
      <c r="AD100" s="341"/>
      <c r="AE100" s="346"/>
      <c r="AF100" s="347"/>
      <c r="AG100" s="348"/>
      <c r="AH100" s="349"/>
      <c r="AI100" s="350"/>
      <c r="AJ100" s="351"/>
      <c r="AK100" s="350"/>
      <c r="AL100" s="352"/>
    </row>
    <row r="101" spans="1:38" ht="17.100000000000001" customHeight="1">
      <c r="A101" s="425"/>
      <c r="B101" s="426"/>
      <c r="C101" s="422"/>
      <c r="D101" s="397">
        <f>IFERROR(IF(AND(LEN(TRIM(B100))&gt;0,LEN(TRIM(C100))&gt;0),'Bang TH nop'!AP101,""),"")</f>
        <v>0</v>
      </c>
      <c r="E101" s="397"/>
      <c r="F101" s="353">
        <f>IFERROR(IF(AND(LEN(TRIM(B100))&gt;0,LEN(TRIM(C100))&gt;0),'Bang TH nop'!AL101,0),0)</f>
        <v>0</v>
      </c>
      <c r="G101" s="340">
        <f t="shared" ref="G101" si="900">D101*I100/26</f>
        <v>0</v>
      </c>
      <c r="H101" s="340">
        <f t="shared" ref="H101" si="901">D101*J100*150%/(26*8)</f>
        <v>0</v>
      </c>
      <c r="I101" s="340"/>
      <c r="J101" s="340"/>
      <c r="K101" s="344">
        <f t="shared" ref="K101" si="902">IFERROR(
IF(AND(LEN(TRIM(B100))&gt;0,LEN(TRIM(C100))&gt;0),
ROUND(D101/26*K100,0),
0
),
0
)</f>
        <v>0</v>
      </c>
      <c r="L101" s="344">
        <f t="shared" ref="L101" si="903">IFERROR(
IF(AND(LEN(TRIM(B100))&gt;0,LEN(TRIM(C100))&gt;0),
ROUND(D101/26*L100,0),
0
),
0
)</f>
        <v>0</v>
      </c>
      <c r="M101" s="344">
        <f t="shared" ref="M101" si="904">IFERROR(
IF(AND(LEN(TRIM(B100))&gt;0,LEN(TRIM(C100))&gt;0),
ROUND(D101/26*M100,0),
0
),
0
)</f>
        <v>0</v>
      </c>
      <c r="N101" s="344">
        <f t="shared" ref="N101" si="905">IFERROR(
IF(AND(LEN(TRIM(B100))&gt;0,LEN(TRIM(C100))&gt;0),
D101*N100/(26*8),
0
),
0
)</f>
        <v>0</v>
      </c>
      <c r="O101" s="344">
        <f t="shared" ref="O101" si="906">IFERROR(
IF(AND(LEN(TRIM(B100))&gt;0,LEN(TRIM(C100))&gt;0),
D101*O100/(26*8),
0
),
0
)</f>
        <v>0</v>
      </c>
      <c r="P101" s="344">
        <f t="shared" ref="P101" si="907">IFERROR(
IF(AND(LEN(TRIM(B100))&gt;0,LEN(TRIM(C100))&gt;0),
(D101/26/8*P100),
0
),
0
)</f>
        <v>0</v>
      </c>
      <c r="Q101" s="344">
        <f>IFERROR(
IF(AND(LEN(TRIM(B100))&gt;0,LEN(TRIM(C100))&gt;0),
'Bang TH nop'!BC101,
0
),
0
)</f>
        <v>0</v>
      </c>
      <c r="R101" s="340">
        <f>IFERROR(
IF(AND(LEN(TRIM(B100))&gt;0,LEN(TRIM(C100))&gt;0),
'Bang TH nop'!BD101,
0
),
0
)</f>
        <v>0</v>
      </c>
      <c r="S101" s="340">
        <f>IFERROR(
IF(AND(LEN(TRIM(B100))&gt;0,LEN(TRIM(C100))&gt;0),
'Bang TH nop'!BJ101,
0
),
0
)</f>
        <v>0</v>
      </c>
      <c r="T101" s="340">
        <f>IFERROR(
IF(AND(LEN(TRIM(B100))&gt;0,LEN(TRIM(C100))&gt;0),
IFERROR('Bang TH nop'!AW101,0)+IFERROR('Bang TH nop'!BH101,0),
0
),
0
)</f>
        <v>0</v>
      </c>
      <c r="U101" s="344"/>
      <c r="V101" s="344"/>
      <c r="W101" s="344"/>
      <c r="X101" s="340">
        <f t="shared" ref="X101" si="908">+IF(G101-I101&lt;0,0,G101-I101)</f>
        <v>0</v>
      </c>
      <c r="Y101" s="340">
        <f t="shared" ref="Y101" si="909">+IF(H101-J101&lt;0,0, H101-J101)</f>
        <v>0</v>
      </c>
      <c r="Z101" s="340">
        <f t="shared" ref="Z101" si="910">IFERROR(
IF(AND(LEN(TRIM(B100))&gt;0,LEN(TRIM(C100))&gt;0),
(X101+Y101)*25%,
0
),
0
)</f>
        <v>0</v>
      </c>
      <c r="AA101" s="340">
        <f>IFERROR(
IF(AND(LEN(TRIM(B100))&gt;0,LEN(TRIM(C100))&gt;0),
'Bang TH nop'!BG101,
0
),
0
)</f>
        <v>0</v>
      </c>
      <c r="AB101" s="344">
        <f t="shared" ref="AB101" si="911">IFERROR(
IF(AND(LEN(TRIM(B100))&gt;0,LEN(TRIM(C100))&gt;0),
SUM(I101:W101)+IFERROR(Z101,0)+IFERROR(AA101,0),
0
),
0
)</f>
        <v>0</v>
      </c>
      <c r="AC101" s="340">
        <f t="shared" ref="AC101" si="912">IFERROR(
IF(AND(LEN(TRIM(B100))&gt;0,LEN(TRIM(C100))&gt;0),
IF((26-(IFERROR(I100,0)+IFERROR(K100,0)+IFERROR(L100,0)+IFERROR(M100,0)))&gt;12,0,D101*10.5%),
0
),
0
)</f>
        <v>0</v>
      </c>
      <c r="AD101" s="340">
        <f t="shared" ref="AD101" si="913">IFERROR(
IF(AND(LEN(TRIM(B100))&gt;0,LEN(TRIM(C100))&gt;0),
ROUND(IF(D101=4939000,D101*0.5%,0),-2),
0
),
0
)</f>
        <v>0</v>
      </c>
      <c r="AE101" s="344">
        <f t="shared" ref="AE101" si="914">IFERROR(
IF(AND(LEN(TRIM(B100))&gt;0,LEN(TRIM(C100))&gt;0),
ROUND(IFERROR(AB101,0)-IFERROR(AC101,0)-IFERROR(AD101,0),-2),
0
),
0
)</f>
        <v>0</v>
      </c>
      <c r="AF101" s="347">
        <f>IFERROR(
IF(AND(LEN(TRIM(B100))&gt;0,LEN(TRIM(C100))&gt;0),
IFERROR('Bang TH nop'!AQ101,0)+IFERROR('Bang TH nop'!AT101,0)+IFERROR('Bang TH nop'!BF101,0),
0
),
0
)</f>
        <v>0</v>
      </c>
      <c r="AG101" s="348"/>
      <c r="AH101" s="354"/>
      <c r="AI101" s="355">
        <f t="shared" ref="AI101" si="915">IFERROR(
IF(AND(LEN(TRIM(B100))&gt;0,LEN(TRIM(C100))&gt;0),
AH101/AG101,
0
),
0
)</f>
        <v>0</v>
      </c>
      <c r="AJ101" s="355">
        <f t="shared" ref="AJ101" si="916">IFERROR(
IF(AND(LEN(TRIM(B100))&gt;0,LEN(TRIM(C100))&gt;0),
AL101/AF101,
0
),
0
)</f>
        <v>0</v>
      </c>
      <c r="AK101" s="356">
        <f t="shared" ref="AK101" si="917">IFERROR(
IF(AND(LEN(TRIM(B100))&gt;0,LEN(TRIM(C100))&gt;0),
AJ101/AI101,
0
),
0
)</f>
        <v>0</v>
      </c>
      <c r="AL101" s="357">
        <f t="shared" ref="AL101" si="918">IFERROR(
IF(AND(LEN(TRIM(B100))&gt;0,LEN(TRIM(C100))&gt;0),
AB101/L101,
0
),
0
)</f>
        <v>0</v>
      </c>
    </row>
    <row r="102" spans="1:38" ht="17.100000000000001" customHeight="1">
      <c r="A102" s="424">
        <f t="shared" ref="A102" si="919">A100+1</f>
        <v>48</v>
      </c>
      <c r="B102" s="426">
        <f>'Bang TH nop'!B103</f>
        <v>0</v>
      </c>
      <c r="C102" s="421">
        <f>IFERROR(IF(LEN(TRIM(B102))&gt;0,'Bang TH nop'!C103,""),"")</f>
        <v>0</v>
      </c>
      <c r="D102" s="398">
        <f>IFERROR(IF(AND(LEN(TRIM(B102))&gt;0,LEN(TRIM(C102))&gt;0),'Bang TH nop'!AO103,""),"")</f>
        <v>0</v>
      </c>
      <c r="E102" s="399"/>
      <c r="F102" s="340"/>
      <c r="G102" s="341"/>
      <c r="H102" s="341"/>
      <c r="I102" s="342">
        <f>IFERROR(IF(AND(LEN(TRIM(B102))&gt;0,LEN(TRIM(C102))&gt;0),'Bang TH nop'!BB103,0),0)</f>
        <v>0</v>
      </c>
      <c r="J102" s="342">
        <f>IFERROR(IF(AND(LEN(TRIM(B102))&gt;0,LEN(TRIM(C102))&gt;0),'Bang TH nop'!AV103,0),0)</f>
        <v>0</v>
      </c>
      <c r="K102" s="342">
        <f>IFERROR(IF(AND(LEN(TRIM(B102))&gt;0,LEN(TRIM(C102))&gt;0),'Bang TH nop'!AR103,0),0)</f>
        <v>0</v>
      </c>
      <c r="L102" s="343">
        <f>IFERROR(IF(AND(LEN(TRIM(B102))&gt;0,LEN(TRIM(C102))&gt;0),'Bang TH nop'!AS103,0),0)</f>
        <v>0</v>
      </c>
      <c r="M102" s="342">
        <f>IFERROR(IF(AND(LEN(TRIM(B102))&gt;0,LEN(TRIM(C102))&gt;0),'Bang TH nop'!AT103,0),0)</f>
        <v>0</v>
      </c>
      <c r="N102" s="344">
        <f>IFERROR(IF(AND(LEN(TRIM(B102))&gt;0,LEN(TRIM(C102))&gt;0),'Bang TH nop'!AU103,0),0)</f>
        <v>0</v>
      </c>
      <c r="O102" s="342">
        <f>IFERROR(IF(AND(LEN(TRIM(B102))&gt;0,LEN(TRIM(C102))&gt;0),'Bang TH nop'!BE103,0),0)</f>
        <v>0</v>
      </c>
      <c r="P102" s="345">
        <f>IFERROR(IF(AND(LEN(TRIM(B102))&gt;0,LEN(TRIM(C102))&gt;0),'Bang TH nop'!AZ103,0),0)</f>
        <v>0</v>
      </c>
      <c r="Q102" s="343"/>
      <c r="R102" s="342"/>
      <c r="S102" s="342"/>
      <c r="T102" s="342"/>
      <c r="U102" s="341"/>
      <c r="V102" s="341"/>
      <c r="W102" s="341"/>
      <c r="X102" s="341"/>
      <c r="Y102" s="341"/>
      <c r="Z102" s="341"/>
      <c r="AA102" s="340" t="str">
        <f>IFERROR(
IF(AND(LEN(TRIM(B102))&gt;0,LEN(TRIM(C102))&gt;0),
'Bang TH nop'!AH103,
0
),
0
)</f>
        <v>A</v>
      </c>
      <c r="AB102" s="346"/>
      <c r="AC102" s="346"/>
      <c r="AD102" s="341"/>
      <c r="AE102" s="346"/>
      <c r="AF102" s="347"/>
      <c r="AG102" s="348"/>
      <c r="AH102" s="349"/>
      <c r="AI102" s="350"/>
      <c r="AJ102" s="351"/>
      <c r="AK102" s="350"/>
      <c r="AL102" s="352"/>
    </row>
    <row r="103" spans="1:38" ht="17.100000000000001" customHeight="1">
      <c r="A103" s="425"/>
      <c r="B103" s="426"/>
      <c r="C103" s="422"/>
      <c r="D103" s="397">
        <f>IFERROR(IF(AND(LEN(TRIM(B102))&gt;0,LEN(TRIM(C102))&gt;0),'Bang TH nop'!AP103,""),"")</f>
        <v>0</v>
      </c>
      <c r="E103" s="397"/>
      <c r="F103" s="353">
        <f>IFERROR(IF(AND(LEN(TRIM(B102))&gt;0,LEN(TRIM(C102))&gt;0),'Bang TH nop'!AL103,0),0)</f>
        <v>0</v>
      </c>
      <c r="G103" s="340">
        <f t="shared" ref="G103" si="920">D103*I102/26</f>
        <v>0</v>
      </c>
      <c r="H103" s="340">
        <f t="shared" ref="H103" si="921">D103*J102*150%/(26*8)</f>
        <v>0</v>
      </c>
      <c r="I103" s="340"/>
      <c r="J103" s="340"/>
      <c r="K103" s="344">
        <f t="shared" ref="K103" si="922">IFERROR(
IF(AND(LEN(TRIM(B102))&gt;0,LEN(TRIM(C102))&gt;0),
ROUND(D103/26*K102,0),
0
),
0
)</f>
        <v>0</v>
      </c>
      <c r="L103" s="344">
        <f t="shared" ref="L103" si="923">IFERROR(
IF(AND(LEN(TRIM(B102))&gt;0,LEN(TRIM(C102))&gt;0),
ROUND(D103/26*L102,0),
0
),
0
)</f>
        <v>0</v>
      </c>
      <c r="M103" s="344">
        <f t="shared" ref="M103" si="924">IFERROR(
IF(AND(LEN(TRIM(B102))&gt;0,LEN(TRIM(C102))&gt;0),
ROUND(D103/26*M102,0),
0
),
0
)</f>
        <v>0</v>
      </c>
      <c r="N103" s="344">
        <f t="shared" ref="N103" si="925">IFERROR(
IF(AND(LEN(TRIM(B102))&gt;0,LEN(TRIM(C102))&gt;0),
D103*N102/(26*8),
0
),
0
)</f>
        <v>0</v>
      </c>
      <c r="O103" s="344">
        <f t="shared" ref="O103" si="926">IFERROR(
IF(AND(LEN(TRIM(B102))&gt;0,LEN(TRIM(C102))&gt;0),
D103*O102/(26*8),
0
),
0
)</f>
        <v>0</v>
      </c>
      <c r="P103" s="344">
        <f t="shared" ref="P103" si="927">IFERROR(
IF(AND(LEN(TRIM(B102))&gt;0,LEN(TRIM(C102))&gt;0),
(D103/26/8*P102),
0
),
0
)</f>
        <v>0</v>
      </c>
      <c r="Q103" s="344">
        <f>IFERROR(
IF(AND(LEN(TRIM(B102))&gt;0,LEN(TRIM(C102))&gt;0),
'Bang TH nop'!BC103,
0
),
0
)</f>
        <v>0</v>
      </c>
      <c r="R103" s="340">
        <f>IFERROR(
IF(AND(LEN(TRIM(B102))&gt;0,LEN(TRIM(C102))&gt;0),
'Bang TH nop'!BD103,
0
),
0
)</f>
        <v>0</v>
      </c>
      <c r="S103" s="340">
        <f>IFERROR(
IF(AND(LEN(TRIM(B102))&gt;0,LEN(TRIM(C102))&gt;0),
'Bang TH nop'!BJ103,
0
),
0
)</f>
        <v>0</v>
      </c>
      <c r="T103" s="340">
        <f>IFERROR(
IF(AND(LEN(TRIM(B102))&gt;0,LEN(TRIM(C102))&gt;0),
IFERROR('Bang TH nop'!AW103,0)+IFERROR('Bang TH nop'!BH103,0),
0
),
0
)</f>
        <v>0</v>
      </c>
      <c r="U103" s="344"/>
      <c r="V103" s="344"/>
      <c r="W103" s="344"/>
      <c r="X103" s="340">
        <f t="shared" ref="X103" si="928">+IF(G103-I103&lt;0,0,G103-I103)</f>
        <v>0</v>
      </c>
      <c r="Y103" s="340">
        <f t="shared" ref="Y103" si="929">+IF(H103-J103&lt;0,0, H103-J103)</f>
        <v>0</v>
      </c>
      <c r="Z103" s="340">
        <f t="shared" ref="Z103" si="930">IFERROR(
IF(AND(LEN(TRIM(B102))&gt;0,LEN(TRIM(C102))&gt;0),
(X103+Y103)*25%,
0
),
0
)</f>
        <v>0</v>
      </c>
      <c r="AA103" s="340">
        <f>IFERROR(
IF(AND(LEN(TRIM(B102))&gt;0,LEN(TRIM(C102))&gt;0),
'Bang TH nop'!BG103,
0
),
0
)</f>
        <v>0</v>
      </c>
      <c r="AB103" s="344">
        <f t="shared" ref="AB103" si="931">IFERROR(
IF(AND(LEN(TRIM(B102))&gt;0,LEN(TRIM(C102))&gt;0),
SUM(I103:W103)+IFERROR(Z103,0)+IFERROR(AA103,0),
0
),
0
)</f>
        <v>0</v>
      </c>
      <c r="AC103" s="340">
        <f t="shared" ref="AC103" si="932">IFERROR(
IF(AND(LEN(TRIM(B102))&gt;0,LEN(TRIM(C102))&gt;0),
IF((26-(IFERROR(I102,0)+IFERROR(K102,0)+IFERROR(L102,0)+IFERROR(M102,0)))&gt;12,0,D103*10.5%),
0
),
0
)</f>
        <v>0</v>
      </c>
      <c r="AD103" s="340">
        <f t="shared" ref="AD103" si="933">IFERROR(
IF(AND(LEN(TRIM(B102))&gt;0,LEN(TRIM(C102))&gt;0),
ROUND(IF(D103=4939000,D103*0.5%,0),-2),
0
),
0
)</f>
        <v>0</v>
      </c>
      <c r="AE103" s="344">
        <f t="shared" ref="AE103" si="934">IFERROR(
IF(AND(LEN(TRIM(B102))&gt;0,LEN(TRIM(C102))&gt;0),
ROUND(IFERROR(AB103,0)-IFERROR(AC103,0)-IFERROR(AD103,0),-2),
0
),
0
)</f>
        <v>0</v>
      </c>
      <c r="AF103" s="347">
        <f>IFERROR(
IF(AND(LEN(TRIM(B102))&gt;0,LEN(TRIM(C102))&gt;0),
IFERROR('Bang TH nop'!AQ103,0)+IFERROR('Bang TH nop'!AT103,0)+IFERROR('Bang TH nop'!BF103,0),
0
),
0
)</f>
        <v>0</v>
      </c>
      <c r="AG103" s="348"/>
      <c r="AH103" s="354"/>
      <c r="AI103" s="355">
        <f t="shared" ref="AI103" si="935">IFERROR(
IF(AND(LEN(TRIM(B102))&gt;0,LEN(TRIM(C102))&gt;0),
AH103/AG103,
0
),
0
)</f>
        <v>0</v>
      </c>
      <c r="AJ103" s="355">
        <f t="shared" ref="AJ103" si="936">IFERROR(
IF(AND(LEN(TRIM(B102))&gt;0,LEN(TRIM(C102))&gt;0),
AL103/AF103,
0
),
0
)</f>
        <v>0</v>
      </c>
      <c r="AK103" s="356">
        <f t="shared" ref="AK103" si="937">IFERROR(
IF(AND(LEN(TRIM(B102))&gt;0,LEN(TRIM(C102))&gt;0),
AJ103/AI103,
0
),
0
)</f>
        <v>0</v>
      </c>
      <c r="AL103" s="357">
        <f t="shared" ref="AL103" si="938">IFERROR(
IF(AND(LEN(TRIM(B102))&gt;0,LEN(TRIM(C102))&gt;0),
AB103/L103,
0
),
0
)</f>
        <v>0</v>
      </c>
    </row>
    <row r="104" spans="1:38" ht="17.100000000000001" customHeight="1">
      <c r="A104" s="424">
        <f t="shared" ref="A104" si="939">A102+1</f>
        <v>49</v>
      </c>
      <c r="B104" s="426">
        <f>'Bang TH nop'!B105</f>
        <v>0</v>
      </c>
      <c r="C104" s="421">
        <f>IFERROR(IF(LEN(TRIM(B104))&gt;0,'Bang TH nop'!C105,""),"")</f>
        <v>0</v>
      </c>
      <c r="D104" s="398">
        <f>IFERROR(IF(AND(LEN(TRIM(B104))&gt;0,LEN(TRIM(C104))&gt;0),'Bang TH nop'!AO105,""),"")</f>
        <v>0</v>
      </c>
      <c r="E104" s="399"/>
      <c r="F104" s="340"/>
      <c r="G104" s="341"/>
      <c r="H104" s="341"/>
      <c r="I104" s="342">
        <f>IFERROR(IF(AND(LEN(TRIM(B104))&gt;0,LEN(TRIM(C104))&gt;0),'Bang TH nop'!BB105,0),0)</f>
        <v>0</v>
      </c>
      <c r="J104" s="342">
        <f>IFERROR(IF(AND(LEN(TRIM(B104))&gt;0,LEN(TRIM(C104))&gt;0),'Bang TH nop'!AV105,0),0)</f>
        <v>0</v>
      </c>
      <c r="K104" s="342">
        <f>IFERROR(IF(AND(LEN(TRIM(B104))&gt;0,LEN(TRIM(C104))&gt;0),'Bang TH nop'!AR105,0),0)</f>
        <v>0</v>
      </c>
      <c r="L104" s="343">
        <f>IFERROR(IF(AND(LEN(TRIM(B104))&gt;0,LEN(TRIM(C104))&gt;0),'Bang TH nop'!AS105,0),0)</f>
        <v>0</v>
      </c>
      <c r="M104" s="342">
        <f>IFERROR(IF(AND(LEN(TRIM(B104))&gt;0,LEN(TRIM(C104))&gt;0),'Bang TH nop'!AT105,0),0)</f>
        <v>0</v>
      </c>
      <c r="N104" s="344">
        <f>IFERROR(IF(AND(LEN(TRIM(B104))&gt;0,LEN(TRIM(C104))&gt;0),'Bang TH nop'!AU105,0),0)</f>
        <v>0</v>
      </c>
      <c r="O104" s="342">
        <f>IFERROR(IF(AND(LEN(TRIM(B104))&gt;0,LEN(TRIM(C104))&gt;0),'Bang TH nop'!BE105,0),0)</f>
        <v>0</v>
      </c>
      <c r="P104" s="345">
        <f>IFERROR(IF(AND(LEN(TRIM(B104))&gt;0,LEN(TRIM(C104))&gt;0),'Bang TH nop'!AZ105,0),0)</f>
        <v>0</v>
      </c>
      <c r="Q104" s="343"/>
      <c r="R104" s="342"/>
      <c r="S104" s="342"/>
      <c r="T104" s="342"/>
      <c r="U104" s="341"/>
      <c r="V104" s="341"/>
      <c r="W104" s="341"/>
      <c r="X104" s="341"/>
      <c r="Y104" s="341"/>
      <c r="Z104" s="341"/>
      <c r="AA104" s="340" t="str">
        <f>IFERROR(
IF(AND(LEN(TRIM(B104))&gt;0,LEN(TRIM(C104))&gt;0),
'Bang TH nop'!AH105,
0
),
0
)</f>
        <v>A</v>
      </c>
      <c r="AB104" s="346"/>
      <c r="AC104" s="346"/>
      <c r="AD104" s="341"/>
      <c r="AE104" s="346"/>
      <c r="AF104" s="347"/>
      <c r="AG104" s="348"/>
      <c r="AH104" s="349"/>
      <c r="AI104" s="350"/>
      <c r="AJ104" s="351"/>
      <c r="AK104" s="350"/>
      <c r="AL104" s="352"/>
    </row>
    <row r="105" spans="1:38" ht="17.100000000000001" customHeight="1">
      <c r="A105" s="425"/>
      <c r="B105" s="426"/>
      <c r="C105" s="422"/>
      <c r="D105" s="397">
        <f>IFERROR(IF(AND(LEN(TRIM(B104))&gt;0,LEN(TRIM(C104))&gt;0),'Bang TH nop'!AP105,""),"")</f>
        <v>0</v>
      </c>
      <c r="E105" s="397"/>
      <c r="F105" s="353">
        <f>IFERROR(IF(AND(LEN(TRIM(B104))&gt;0,LEN(TRIM(C104))&gt;0),'Bang TH nop'!AL105,0),0)</f>
        <v>0</v>
      </c>
      <c r="G105" s="340">
        <f t="shared" ref="G105" si="940">D105*I104/26</f>
        <v>0</v>
      </c>
      <c r="H105" s="340">
        <f t="shared" ref="H105" si="941">D105*J104*150%/(26*8)</f>
        <v>0</v>
      </c>
      <c r="I105" s="340"/>
      <c r="J105" s="340"/>
      <c r="K105" s="344">
        <f t="shared" ref="K105" si="942">IFERROR(
IF(AND(LEN(TRIM(B104))&gt;0,LEN(TRIM(C104))&gt;0),
ROUND(D105/26*K104,0),
0
),
0
)</f>
        <v>0</v>
      </c>
      <c r="L105" s="344">
        <f t="shared" ref="L105" si="943">IFERROR(
IF(AND(LEN(TRIM(B104))&gt;0,LEN(TRIM(C104))&gt;0),
ROUND(D105/26*L104,0),
0
),
0
)</f>
        <v>0</v>
      </c>
      <c r="M105" s="344">
        <f t="shared" ref="M105" si="944">IFERROR(
IF(AND(LEN(TRIM(B104))&gt;0,LEN(TRIM(C104))&gt;0),
ROUND(D105/26*M104,0),
0
),
0
)</f>
        <v>0</v>
      </c>
      <c r="N105" s="344">
        <f t="shared" ref="N105" si="945">IFERROR(
IF(AND(LEN(TRIM(B104))&gt;0,LEN(TRIM(C104))&gt;0),
D105*N104/(26*8),
0
),
0
)</f>
        <v>0</v>
      </c>
      <c r="O105" s="344">
        <f t="shared" ref="O105" si="946">IFERROR(
IF(AND(LEN(TRIM(B104))&gt;0,LEN(TRIM(C104))&gt;0),
D105*O104/(26*8),
0
),
0
)</f>
        <v>0</v>
      </c>
      <c r="P105" s="344">
        <f t="shared" ref="P105" si="947">IFERROR(
IF(AND(LEN(TRIM(B104))&gt;0,LEN(TRIM(C104))&gt;0),
(D105/26/8*P104),
0
),
0
)</f>
        <v>0</v>
      </c>
      <c r="Q105" s="344">
        <f>IFERROR(
IF(AND(LEN(TRIM(B104))&gt;0,LEN(TRIM(C104))&gt;0),
'Bang TH nop'!BC105,
0
),
0
)</f>
        <v>0</v>
      </c>
      <c r="R105" s="340">
        <f>IFERROR(
IF(AND(LEN(TRIM(B104))&gt;0,LEN(TRIM(C104))&gt;0),
'Bang TH nop'!BD105,
0
),
0
)</f>
        <v>0</v>
      </c>
      <c r="S105" s="340">
        <f>IFERROR(
IF(AND(LEN(TRIM(B104))&gt;0,LEN(TRIM(C104))&gt;0),
'Bang TH nop'!BJ105,
0
),
0
)</f>
        <v>0</v>
      </c>
      <c r="T105" s="340">
        <f>IFERROR(
IF(AND(LEN(TRIM(B104))&gt;0,LEN(TRIM(C104))&gt;0),
IFERROR('Bang TH nop'!AW105,0)+IFERROR('Bang TH nop'!BH105,0),
0
),
0
)</f>
        <v>0</v>
      </c>
      <c r="U105" s="344"/>
      <c r="V105" s="344"/>
      <c r="W105" s="344"/>
      <c r="X105" s="340">
        <f t="shared" ref="X105" si="948">+IF(G105-I105&lt;0,0,G105-I105)</f>
        <v>0</v>
      </c>
      <c r="Y105" s="340">
        <f t="shared" ref="Y105" si="949">+IF(H105-J105&lt;0,0, H105-J105)</f>
        <v>0</v>
      </c>
      <c r="Z105" s="340">
        <f t="shared" ref="Z105" si="950">IFERROR(
IF(AND(LEN(TRIM(B104))&gt;0,LEN(TRIM(C104))&gt;0),
(X105+Y105)*25%,
0
),
0
)</f>
        <v>0</v>
      </c>
      <c r="AA105" s="340">
        <f>IFERROR(
IF(AND(LEN(TRIM(B104))&gt;0,LEN(TRIM(C104))&gt;0),
'Bang TH nop'!BG105,
0
),
0
)</f>
        <v>0</v>
      </c>
      <c r="AB105" s="344">
        <f t="shared" ref="AB105" si="951">IFERROR(
IF(AND(LEN(TRIM(B104))&gt;0,LEN(TRIM(C104))&gt;0),
SUM(I105:W105)+IFERROR(Z105,0)+IFERROR(AA105,0),
0
),
0
)</f>
        <v>0</v>
      </c>
      <c r="AC105" s="340">
        <f t="shared" ref="AC105" si="952">IFERROR(
IF(AND(LEN(TRIM(B104))&gt;0,LEN(TRIM(C104))&gt;0),
IF((26-(IFERROR(I104,0)+IFERROR(K104,0)+IFERROR(L104,0)+IFERROR(M104,0)))&gt;12,0,D105*10.5%),
0
),
0
)</f>
        <v>0</v>
      </c>
      <c r="AD105" s="340">
        <f t="shared" ref="AD105" si="953">IFERROR(
IF(AND(LEN(TRIM(B104))&gt;0,LEN(TRIM(C104))&gt;0),
ROUND(IF(D105=4939000,D105*0.5%,0),-2),
0
),
0
)</f>
        <v>0</v>
      </c>
      <c r="AE105" s="344">
        <f t="shared" ref="AE105" si="954">IFERROR(
IF(AND(LEN(TRIM(B104))&gt;0,LEN(TRIM(C104))&gt;0),
ROUND(IFERROR(AB105,0)-IFERROR(AC105,0)-IFERROR(AD105,0),-2),
0
),
0
)</f>
        <v>0</v>
      </c>
      <c r="AF105" s="347">
        <f>IFERROR(
IF(AND(LEN(TRIM(B104))&gt;0,LEN(TRIM(C104))&gt;0),
IFERROR('Bang TH nop'!AQ105,0)+IFERROR('Bang TH nop'!AT105,0)+IFERROR('Bang TH nop'!BF105,0),
0
),
0
)</f>
        <v>0</v>
      </c>
      <c r="AG105" s="348"/>
      <c r="AH105" s="354"/>
      <c r="AI105" s="355">
        <f t="shared" ref="AI105" si="955">IFERROR(
IF(AND(LEN(TRIM(B104))&gt;0,LEN(TRIM(C104))&gt;0),
AH105/AG105,
0
),
0
)</f>
        <v>0</v>
      </c>
      <c r="AJ105" s="355">
        <f t="shared" ref="AJ105" si="956">IFERROR(
IF(AND(LEN(TRIM(B104))&gt;0,LEN(TRIM(C104))&gt;0),
AL105/AF105,
0
),
0
)</f>
        <v>0</v>
      </c>
      <c r="AK105" s="356">
        <f t="shared" ref="AK105" si="957">IFERROR(
IF(AND(LEN(TRIM(B104))&gt;0,LEN(TRIM(C104))&gt;0),
AJ105/AI105,
0
),
0
)</f>
        <v>0</v>
      </c>
      <c r="AL105" s="357">
        <f t="shared" ref="AL105" si="958">IFERROR(
IF(AND(LEN(TRIM(B104))&gt;0,LEN(TRIM(C104))&gt;0),
AB105/L105,
0
),
0
)</f>
        <v>0</v>
      </c>
    </row>
    <row r="106" spans="1:38" ht="17.100000000000001" customHeight="1">
      <c r="A106" s="424">
        <f t="shared" ref="A106" si="959">A104+1</f>
        <v>50</v>
      </c>
      <c r="B106" s="426">
        <f>'Bang TH nop'!B107</f>
        <v>0</v>
      </c>
      <c r="C106" s="421">
        <f>IFERROR(IF(LEN(TRIM(B106))&gt;0,'Bang TH nop'!C107,""),"")</f>
        <v>0</v>
      </c>
      <c r="D106" s="398">
        <f>IFERROR(IF(AND(LEN(TRIM(B106))&gt;0,LEN(TRIM(C106))&gt;0),'Bang TH nop'!AO107,""),"")</f>
        <v>0</v>
      </c>
      <c r="E106" s="399"/>
      <c r="F106" s="340"/>
      <c r="G106" s="341"/>
      <c r="H106" s="341"/>
      <c r="I106" s="342">
        <f>IFERROR(IF(AND(LEN(TRIM(B106))&gt;0,LEN(TRIM(C106))&gt;0),'Bang TH nop'!BB107,0),0)</f>
        <v>0</v>
      </c>
      <c r="J106" s="342">
        <f>IFERROR(IF(AND(LEN(TRIM(B106))&gt;0,LEN(TRIM(C106))&gt;0),'Bang TH nop'!AV107,0),0)</f>
        <v>0</v>
      </c>
      <c r="K106" s="342">
        <f>IFERROR(IF(AND(LEN(TRIM(B106))&gt;0,LEN(TRIM(C106))&gt;0),'Bang TH nop'!AR107,0),0)</f>
        <v>0</v>
      </c>
      <c r="L106" s="343">
        <f>IFERROR(IF(AND(LEN(TRIM(B106))&gt;0,LEN(TRIM(C106))&gt;0),'Bang TH nop'!AS107,0),0)</f>
        <v>0</v>
      </c>
      <c r="M106" s="342">
        <f>IFERROR(IF(AND(LEN(TRIM(B106))&gt;0,LEN(TRIM(C106))&gt;0),'Bang TH nop'!AT107,0),0)</f>
        <v>0</v>
      </c>
      <c r="N106" s="344">
        <f>IFERROR(IF(AND(LEN(TRIM(B106))&gt;0,LEN(TRIM(C106))&gt;0),'Bang TH nop'!AU107,0),0)</f>
        <v>0</v>
      </c>
      <c r="O106" s="342">
        <f>IFERROR(IF(AND(LEN(TRIM(B106))&gt;0,LEN(TRIM(C106))&gt;0),'Bang TH nop'!BE107,0),0)</f>
        <v>0</v>
      </c>
      <c r="P106" s="345">
        <f>IFERROR(IF(AND(LEN(TRIM(B106))&gt;0,LEN(TRIM(C106))&gt;0),'Bang TH nop'!AZ107,0),0)</f>
        <v>0</v>
      </c>
      <c r="Q106" s="343"/>
      <c r="R106" s="342"/>
      <c r="S106" s="342"/>
      <c r="T106" s="342"/>
      <c r="U106" s="341"/>
      <c r="V106" s="341"/>
      <c r="W106" s="341"/>
      <c r="X106" s="341"/>
      <c r="Y106" s="341"/>
      <c r="Z106" s="341"/>
      <c r="AA106" s="340" t="str">
        <f>IFERROR(
IF(AND(LEN(TRIM(B106))&gt;0,LEN(TRIM(C106))&gt;0),
'Bang TH nop'!AH107,
0
),
0
)</f>
        <v>A</v>
      </c>
      <c r="AB106" s="346"/>
      <c r="AC106" s="346"/>
      <c r="AD106" s="341"/>
      <c r="AE106" s="346"/>
      <c r="AF106" s="347"/>
      <c r="AG106" s="348"/>
      <c r="AH106" s="349"/>
      <c r="AI106" s="350"/>
      <c r="AJ106" s="351"/>
      <c r="AK106" s="350"/>
      <c r="AL106" s="352"/>
    </row>
    <row r="107" spans="1:38" ht="17.100000000000001" customHeight="1">
      <c r="A107" s="425"/>
      <c r="B107" s="426"/>
      <c r="C107" s="422"/>
      <c r="D107" s="397">
        <f>IFERROR(IF(AND(LEN(TRIM(B106))&gt;0,LEN(TRIM(C106))&gt;0),'Bang TH nop'!AP107,""),"")</f>
        <v>0</v>
      </c>
      <c r="E107" s="397"/>
      <c r="F107" s="353">
        <f>IFERROR(IF(AND(LEN(TRIM(B106))&gt;0,LEN(TRIM(C106))&gt;0),'Bang TH nop'!AL107,0),0)</f>
        <v>0</v>
      </c>
      <c r="G107" s="340">
        <f t="shared" ref="G107" si="960">D107*I106/26</f>
        <v>0</v>
      </c>
      <c r="H107" s="340">
        <f t="shared" ref="H107" si="961">D107*J106*150%/(26*8)</f>
        <v>0</v>
      </c>
      <c r="I107" s="340"/>
      <c r="J107" s="340"/>
      <c r="K107" s="344">
        <f t="shared" ref="K107" si="962">IFERROR(
IF(AND(LEN(TRIM(B106))&gt;0,LEN(TRIM(C106))&gt;0),
ROUND(D107/26*K106,0),
0
),
0
)</f>
        <v>0</v>
      </c>
      <c r="L107" s="344">
        <f t="shared" ref="L107" si="963">IFERROR(
IF(AND(LEN(TRIM(B106))&gt;0,LEN(TRIM(C106))&gt;0),
ROUND(D107/26*L106,0),
0
),
0
)</f>
        <v>0</v>
      </c>
      <c r="M107" s="344">
        <f t="shared" ref="M107" si="964">IFERROR(
IF(AND(LEN(TRIM(B106))&gt;0,LEN(TRIM(C106))&gt;0),
ROUND(D107/26*M106,0),
0
),
0
)</f>
        <v>0</v>
      </c>
      <c r="N107" s="344">
        <f t="shared" ref="N107" si="965">IFERROR(
IF(AND(LEN(TRIM(B106))&gt;0,LEN(TRIM(C106))&gt;0),
D107*N106/(26*8),
0
),
0
)</f>
        <v>0</v>
      </c>
      <c r="O107" s="344">
        <f t="shared" ref="O107" si="966">IFERROR(
IF(AND(LEN(TRIM(B106))&gt;0,LEN(TRIM(C106))&gt;0),
D107*O106/(26*8),
0
),
0
)</f>
        <v>0</v>
      </c>
      <c r="P107" s="344">
        <f t="shared" ref="P107" si="967">IFERROR(
IF(AND(LEN(TRIM(B106))&gt;0,LEN(TRIM(C106))&gt;0),
(D107/26/8*P106),
0
),
0
)</f>
        <v>0</v>
      </c>
      <c r="Q107" s="344">
        <f>IFERROR(
IF(AND(LEN(TRIM(B106))&gt;0,LEN(TRIM(C106))&gt;0),
'Bang TH nop'!BC107,
0
),
0
)</f>
        <v>0</v>
      </c>
      <c r="R107" s="340">
        <f>IFERROR(
IF(AND(LEN(TRIM(B106))&gt;0,LEN(TRIM(C106))&gt;0),
'Bang TH nop'!BD107,
0
),
0
)</f>
        <v>0</v>
      </c>
      <c r="S107" s="340">
        <f>IFERROR(
IF(AND(LEN(TRIM(B106))&gt;0,LEN(TRIM(C106))&gt;0),
'Bang TH nop'!BJ107,
0
),
0
)</f>
        <v>0</v>
      </c>
      <c r="T107" s="340">
        <f>IFERROR(
IF(AND(LEN(TRIM(B106))&gt;0,LEN(TRIM(C106))&gt;0),
IFERROR('Bang TH nop'!AW107,0)+IFERROR('Bang TH nop'!BH107,0),
0
),
0
)</f>
        <v>0</v>
      </c>
      <c r="U107" s="344"/>
      <c r="V107" s="344"/>
      <c r="W107" s="344"/>
      <c r="X107" s="340">
        <f t="shared" ref="X107" si="968">+IF(G107-I107&lt;0,0,G107-I107)</f>
        <v>0</v>
      </c>
      <c r="Y107" s="340">
        <f t="shared" ref="Y107" si="969">+IF(H107-J107&lt;0,0, H107-J107)</f>
        <v>0</v>
      </c>
      <c r="Z107" s="340">
        <f t="shared" ref="Z107" si="970">IFERROR(
IF(AND(LEN(TRIM(B106))&gt;0,LEN(TRIM(C106))&gt;0),
(X107+Y107)*25%,
0
),
0
)</f>
        <v>0</v>
      </c>
      <c r="AA107" s="340">
        <f>IFERROR(
IF(AND(LEN(TRIM(B106))&gt;0,LEN(TRIM(C106))&gt;0),
'Bang TH nop'!BG107,
0
),
0
)</f>
        <v>0</v>
      </c>
      <c r="AB107" s="344">
        <f t="shared" ref="AB107" si="971">IFERROR(
IF(AND(LEN(TRIM(B106))&gt;0,LEN(TRIM(C106))&gt;0),
SUM(I107:W107)+IFERROR(Z107,0)+IFERROR(AA107,0),
0
),
0
)</f>
        <v>0</v>
      </c>
      <c r="AC107" s="340">
        <f t="shared" ref="AC107" si="972">IFERROR(
IF(AND(LEN(TRIM(B106))&gt;0,LEN(TRIM(C106))&gt;0),
IF((26-(IFERROR(I106,0)+IFERROR(K106,0)+IFERROR(L106,0)+IFERROR(M106,0)))&gt;12,0,D107*10.5%),
0
),
0
)</f>
        <v>0</v>
      </c>
      <c r="AD107" s="340">
        <f t="shared" ref="AD107" si="973">IFERROR(
IF(AND(LEN(TRIM(B106))&gt;0,LEN(TRIM(C106))&gt;0),
ROUND(IF(D107=4939000,D107*0.5%,0),-2),
0
),
0
)</f>
        <v>0</v>
      </c>
      <c r="AE107" s="344">
        <f t="shared" ref="AE107" si="974">IFERROR(
IF(AND(LEN(TRIM(B106))&gt;0,LEN(TRIM(C106))&gt;0),
ROUND(IFERROR(AB107,0)-IFERROR(AC107,0)-IFERROR(AD107,0),-2),
0
),
0
)</f>
        <v>0</v>
      </c>
      <c r="AF107" s="347">
        <f>IFERROR(
IF(AND(LEN(TRIM(B106))&gt;0,LEN(TRIM(C106))&gt;0),
IFERROR('Bang TH nop'!AQ107,0)+IFERROR('Bang TH nop'!AT107,0)+IFERROR('Bang TH nop'!BF107,0),
0
),
0
)</f>
        <v>0</v>
      </c>
      <c r="AG107" s="348"/>
      <c r="AH107" s="354"/>
      <c r="AI107" s="355">
        <f t="shared" ref="AI107" si="975">IFERROR(
IF(AND(LEN(TRIM(B106))&gt;0,LEN(TRIM(C106))&gt;0),
AH107/AG107,
0
),
0
)</f>
        <v>0</v>
      </c>
      <c r="AJ107" s="355">
        <f t="shared" ref="AJ107" si="976">IFERROR(
IF(AND(LEN(TRIM(B106))&gt;0,LEN(TRIM(C106))&gt;0),
AL107/AF107,
0
),
0
)</f>
        <v>0</v>
      </c>
      <c r="AK107" s="356">
        <f t="shared" ref="AK107" si="977">IFERROR(
IF(AND(LEN(TRIM(B106))&gt;0,LEN(TRIM(C106))&gt;0),
AJ107/AI107,
0
),
0
)</f>
        <v>0</v>
      </c>
      <c r="AL107" s="357">
        <f t="shared" ref="AL107" si="978">IFERROR(
IF(AND(LEN(TRIM(B106))&gt;0,LEN(TRIM(C106))&gt;0),
AB107/L107,
0
),
0
)</f>
        <v>0</v>
      </c>
    </row>
    <row r="108" spans="1:38" ht="17.100000000000001" customHeight="1">
      <c r="A108" s="424">
        <f t="shared" ref="A108" si="979">A106+1</f>
        <v>51</v>
      </c>
      <c r="B108" s="426">
        <f>'Bang TH nop'!B109</f>
        <v>0</v>
      </c>
      <c r="C108" s="421">
        <f>IFERROR(IF(LEN(TRIM(B108))&gt;0,'Bang TH nop'!C109,""),"")</f>
        <v>0</v>
      </c>
      <c r="D108" s="398">
        <f>IFERROR(IF(AND(LEN(TRIM(B108))&gt;0,LEN(TRIM(C108))&gt;0),'Bang TH nop'!AO109,""),"")</f>
        <v>0</v>
      </c>
      <c r="E108" s="399"/>
      <c r="F108" s="340"/>
      <c r="G108" s="341"/>
      <c r="H108" s="341"/>
      <c r="I108" s="342">
        <f>IFERROR(IF(AND(LEN(TRIM(B108))&gt;0,LEN(TRIM(C108))&gt;0),'Bang TH nop'!BB109,0),0)</f>
        <v>0</v>
      </c>
      <c r="J108" s="342">
        <f>IFERROR(IF(AND(LEN(TRIM(B108))&gt;0,LEN(TRIM(C108))&gt;0),'Bang TH nop'!AV109,0),0)</f>
        <v>0</v>
      </c>
      <c r="K108" s="342">
        <f>IFERROR(IF(AND(LEN(TRIM(B108))&gt;0,LEN(TRIM(C108))&gt;0),'Bang TH nop'!AR109,0),0)</f>
        <v>0</v>
      </c>
      <c r="L108" s="343">
        <f>IFERROR(IF(AND(LEN(TRIM(B108))&gt;0,LEN(TRIM(C108))&gt;0),'Bang TH nop'!AS109,0),0)</f>
        <v>0</v>
      </c>
      <c r="M108" s="342">
        <f>IFERROR(IF(AND(LEN(TRIM(B108))&gt;0,LEN(TRIM(C108))&gt;0),'Bang TH nop'!AT109,0),0)</f>
        <v>0</v>
      </c>
      <c r="N108" s="344">
        <f>IFERROR(IF(AND(LEN(TRIM(B108))&gt;0,LEN(TRIM(C108))&gt;0),'Bang TH nop'!AU109,0),0)</f>
        <v>0</v>
      </c>
      <c r="O108" s="342">
        <f>IFERROR(IF(AND(LEN(TRIM(B108))&gt;0,LEN(TRIM(C108))&gt;0),'Bang TH nop'!BE109,0),0)</f>
        <v>0</v>
      </c>
      <c r="P108" s="345">
        <f>IFERROR(IF(AND(LEN(TRIM(B108))&gt;0,LEN(TRIM(C108))&gt;0),'Bang TH nop'!AZ109,0),0)</f>
        <v>0</v>
      </c>
      <c r="Q108" s="343"/>
      <c r="R108" s="342"/>
      <c r="S108" s="342"/>
      <c r="T108" s="342"/>
      <c r="U108" s="341"/>
      <c r="V108" s="341"/>
      <c r="W108" s="341"/>
      <c r="X108" s="341"/>
      <c r="Y108" s="341"/>
      <c r="Z108" s="341"/>
      <c r="AA108" s="340" t="str">
        <f>IFERROR(
IF(AND(LEN(TRIM(B108))&gt;0,LEN(TRIM(C108))&gt;0),
'Bang TH nop'!AH109,
0
),
0
)</f>
        <v>A</v>
      </c>
      <c r="AB108" s="346"/>
      <c r="AC108" s="346"/>
      <c r="AD108" s="341"/>
      <c r="AE108" s="346"/>
      <c r="AF108" s="347"/>
      <c r="AG108" s="348"/>
      <c r="AH108" s="349"/>
      <c r="AI108" s="350"/>
      <c r="AJ108" s="351"/>
      <c r="AK108" s="350"/>
      <c r="AL108" s="352"/>
    </row>
    <row r="109" spans="1:38" ht="17.100000000000001" customHeight="1">
      <c r="A109" s="425"/>
      <c r="B109" s="426"/>
      <c r="C109" s="422"/>
      <c r="D109" s="397">
        <f>IFERROR(IF(AND(LEN(TRIM(B108))&gt;0,LEN(TRIM(C108))&gt;0),'Bang TH nop'!AP109,""),"")</f>
        <v>0</v>
      </c>
      <c r="E109" s="397"/>
      <c r="F109" s="353">
        <f>IFERROR(IF(AND(LEN(TRIM(B108))&gt;0,LEN(TRIM(C108))&gt;0),'Bang TH nop'!AL109,0),0)</f>
        <v>0</v>
      </c>
      <c r="G109" s="340">
        <f t="shared" ref="G109" si="980">D109*I108/26</f>
        <v>0</v>
      </c>
      <c r="H109" s="340">
        <f t="shared" ref="H109" si="981">D109*J108*150%/(26*8)</f>
        <v>0</v>
      </c>
      <c r="I109" s="340"/>
      <c r="J109" s="340"/>
      <c r="K109" s="344">
        <f t="shared" ref="K109" si="982">IFERROR(
IF(AND(LEN(TRIM(B108))&gt;0,LEN(TRIM(C108))&gt;0),
ROUND(D109/26*K108,0),
0
),
0
)</f>
        <v>0</v>
      </c>
      <c r="L109" s="344">
        <f t="shared" ref="L109" si="983">IFERROR(
IF(AND(LEN(TRIM(B108))&gt;0,LEN(TRIM(C108))&gt;0),
ROUND(D109/26*L108,0),
0
),
0
)</f>
        <v>0</v>
      </c>
      <c r="M109" s="344">
        <f t="shared" ref="M109" si="984">IFERROR(
IF(AND(LEN(TRIM(B108))&gt;0,LEN(TRIM(C108))&gt;0),
ROUND(D109/26*M108,0),
0
),
0
)</f>
        <v>0</v>
      </c>
      <c r="N109" s="344">
        <f t="shared" ref="N109" si="985">IFERROR(
IF(AND(LEN(TRIM(B108))&gt;0,LEN(TRIM(C108))&gt;0),
D109*N108/(26*8),
0
),
0
)</f>
        <v>0</v>
      </c>
      <c r="O109" s="344">
        <f t="shared" ref="O109" si="986">IFERROR(
IF(AND(LEN(TRIM(B108))&gt;0,LEN(TRIM(C108))&gt;0),
D109*O108/(26*8),
0
),
0
)</f>
        <v>0</v>
      </c>
      <c r="P109" s="344">
        <f t="shared" ref="P109" si="987">IFERROR(
IF(AND(LEN(TRIM(B108))&gt;0,LEN(TRIM(C108))&gt;0),
(D109/26/8*P108),
0
),
0
)</f>
        <v>0</v>
      </c>
      <c r="Q109" s="344">
        <f>IFERROR(
IF(AND(LEN(TRIM(B108))&gt;0,LEN(TRIM(C108))&gt;0),
'Bang TH nop'!BC109,
0
),
0
)</f>
        <v>0</v>
      </c>
      <c r="R109" s="340">
        <f>IFERROR(
IF(AND(LEN(TRIM(B108))&gt;0,LEN(TRIM(C108))&gt;0),
'Bang TH nop'!BD109,
0
),
0
)</f>
        <v>0</v>
      </c>
      <c r="S109" s="340">
        <f>IFERROR(
IF(AND(LEN(TRIM(B108))&gt;0,LEN(TRIM(C108))&gt;0),
'Bang TH nop'!BJ109,
0
),
0
)</f>
        <v>0</v>
      </c>
      <c r="T109" s="340">
        <f>IFERROR(
IF(AND(LEN(TRIM(B108))&gt;0,LEN(TRIM(C108))&gt;0),
IFERROR('Bang TH nop'!AW109,0)+IFERROR('Bang TH nop'!BH109,0),
0
),
0
)</f>
        <v>0</v>
      </c>
      <c r="U109" s="344"/>
      <c r="V109" s="344"/>
      <c r="W109" s="344"/>
      <c r="X109" s="340">
        <f t="shared" ref="X109" si="988">+IF(G109-I109&lt;0,0,G109-I109)</f>
        <v>0</v>
      </c>
      <c r="Y109" s="340">
        <f t="shared" ref="Y109" si="989">+IF(H109-J109&lt;0,0, H109-J109)</f>
        <v>0</v>
      </c>
      <c r="Z109" s="340">
        <f t="shared" ref="Z109" si="990">IFERROR(
IF(AND(LEN(TRIM(B108))&gt;0,LEN(TRIM(C108))&gt;0),
(X109+Y109)*25%,
0
),
0
)</f>
        <v>0</v>
      </c>
      <c r="AA109" s="340">
        <f>IFERROR(
IF(AND(LEN(TRIM(B108))&gt;0,LEN(TRIM(C108))&gt;0),
'Bang TH nop'!BG109,
0
),
0
)</f>
        <v>0</v>
      </c>
      <c r="AB109" s="344">
        <f t="shared" ref="AB109" si="991">IFERROR(
IF(AND(LEN(TRIM(B108))&gt;0,LEN(TRIM(C108))&gt;0),
SUM(I109:W109)+IFERROR(Z109,0)+IFERROR(AA109,0),
0
),
0
)</f>
        <v>0</v>
      </c>
      <c r="AC109" s="340">
        <f t="shared" ref="AC109" si="992">IFERROR(
IF(AND(LEN(TRIM(B108))&gt;0,LEN(TRIM(C108))&gt;0),
IF((26-(IFERROR(I108,0)+IFERROR(K108,0)+IFERROR(L108,0)+IFERROR(M108,0)))&gt;12,0,D109*10.5%),
0
),
0
)</f>
        <v>0</v>
      </c>
      <c r="AD109" s="340">
        <f t="shared" ref="AD109" si="993">IFERROR(
IF(AND(LEN(TRIM(B108))&gt;0,LEN(TRIM(C108))&gt;0),
ROUND(IF(D109=4939000,D109*0.5%,0),-2),
0
),
0
)</f>
        <v>0</v>
      </c>
      <c r="AE109" s="344">
        <f t="shared" ref="AE109" si="994">IFERROR(
IF(AND(LEN(TRIM(B108))&gt;0,LEN(TRIM(C108))&gt;0),
ROUND(IFERROR(AB109,0)-IFERROR(AC109,0)-IFERROR(AD109,0),-2),
0
),
0
)</f>
        <v>0</v>
      </c>
      <c r="AF109" s="347">
        <f>IFERROR(
IF(AND(LEN(TRIM(B108))&gt;0,LEN(TRIM(C108))&gt;0),
IFERROR('Bang TH nop'!AQ109,0)+IFERROR('Bang TH nop'!AT109,0)+IFERROR('Bang TH nop'!BF109,0),
0
),
0
)</f>
        <v>0</v>
      </c>
      <c r="AG109" s="348"/>
      <c r="AH109" s="354"/>
      <c r="AI109" s="355">
        <f t="shared" ref="AI109" si="995">IFERROR(
IF(AND(LEN(TRIM(B108))&gt;0,LEN(TRIM(C108))&gt;0),
AH109/AG109,
0
),
0
)</f>
        <v>0</v>
      </c>
      <c r="AJ109" s="355">
        <f t="shared" ref="AJ109" si="996">IFERROR(
IF(AND(LEN(TRIM(B108))&gt;0,LEN(TRIM(C108))&gt;0),
AL109/AF109,
0
),
0
)</f>
        <v>0</v>
      </c>
      <c r="AK109" s="356">
        <f t="shared" ref="AK109" si="997">IFERROR(
IF(AND(LEN(TRIM(B108))&gt;0,LEN(TRIM(C108))&gt;0),
AJ109/AI109,
0
),
0
)</f>
        <v>0</v>
      </c>
      <c r="AL109" s="357">
        <f t="shared" ref="AL109" si="998">IFERROR(
IF(AND(LEN(TRIM(B108))&gt;0,LEN(TRIM(C108))&gt;0),
AB109/L109,
0
),
0
)</f>
        <v>0</v>
      </c>
    </row>
    <row r="110" spans="1:38" ht="17.100000000000001" customHeight="1">
      <c r="A110" s="424">
        <f t="shared" ref="A110" si="999">A108+1</f>
        <v>52</v>
      </c>
      <c r="B110" s="426">
        <f>'Bang TH nop'!B111</f>
        <v>0</v>
      </c>
      <c r="C110" s="421">
        <f>IFERROR(IF(LEN(TRIM(B110))&gt;0,'Bang TH nop'!C111,""),"")</f>
        <v>0</v>
      </c>
      <c r="D110" s="398">
        <f>IFERROR(IF(AND(LEN(TRIM(B110))&gt;0,LEN(TRIM(C110))&gt;0),'Bang TH nop'!AO111,""),"")</f>
        <v>0</v>
      </c>
      <c r="E110" s="399"/>
      <c r="F110" s="340"/>
      <c r="G110" s="341"/>
      <c r="H110" s="341"/>
      <c r="I110" s="342">
        <f>IFERROR(IF(AND(LEN(TRIM(B110))&gt;0,LEN(TRIM(C110))&gt;0),'Bang TH nop'!BB111,0),0)</f>
        <v>0</v>
      </c>
      <c r="J110" s="342">
        <f>IFERROR(IF(AND(LEN(TRIM(B110))&gt;0,LEN(TRIM(C110))&gt;0),'Bang TH nop'!AV111,0),0)</f>
        <v>0</v>
      </c>
      <c r="K110" s="342">
        <f>IFERROR(IF(AND(LEN(TRIM(B110))&gt;0,LEN(TRIM(C110))&gt;0),'Bang TH nop'!AR111,0),0)</f>
        <v>0</v>
      </c>
      <c r="L110" s="343">
        <f>IFERROR(IF(AND(LEN(TRIM(B110))&gt;0,LEN(TRIM(C110))&gt;0),'Bang TH nop'!AS111,0),0)</f>
        <v>0</v>
      </c>
      <c r="M110" s="342">
        <f>IFERROR(IF(AND(LEN(TRIM(B110))&gt;0,LEN(TRIM(C110))&gt;0),'Bang TH nop'!AT111,0),0)</f>
        <v>0</v>
      </c>
      <c r="N110" s="344">
        <f>IFERROR(IF(AND(LEN(TRIM(B110))&gt;0,LEN(TRIM(C110))&gt;0),'Bang TH nop'!AU111,0),0)</f>
        <v>0</v>
      </c>
      <c r="O110" s="342">
        <f>IFERROR(IF(AND(LEN(TRIM(B110))&gt;0,LEN(TRIM(C110))&gt;0),'Bang TH nop'!BE111,0),0)</f>
        <v>0</v>
      </c>
      <c r="P110" s="345">
        <f>IFERROR(IF(AND(LEN(TRIM(B110))&gt;0,LEN(TRIM(C110))&gt;0),'Bang TH nop'!AZ111,0),0)</f>
        <v>0</v>
      </c>
      <c r="Q110" s="343"/>
      <c r="R110" s="342"/>
      <c r="S110" s="342"/>
      <c r="T110" s="342"/>
      <c r="U110" s="341"/>
      <c r="V110" s="341"/>
      <c r="W110" s="341"/>
      <c r="X110" s="341"/>
      <c r="Y110" s="341"/>
      <c r="Z110" s="341"/>
      <c r="AA110" s="340" t="str">
        <f>IFERROR(
IF(AND(LEN(TRIM(B110))&gt;0,LEN(TRIM(C110))&gt;0),
'Bang TH nop'!AH111,
0
),
0
)</f>
        <v>A</v>
      </c>
      <c r="AB110" s="346"/>
      <c r="AC110" s="346"/>
      <c r="AD110" s="341"/>
      <c r="AE110" s="346"/>
      <c r="AF110" s="347"/>
      <c r="AG110" s="348"/>
      <c r="AH110" s="349"/>
      <c r="AI110" s="350"/>
      <c r="AJ110" s="351"/>
      <c r="AK110" s="350"/>
      <c r="AL110" s="352"/>
    </row>
    <row r="111" spans="1:38" ht="17.100000000000001" customHeight="1">
      <c r="A111" s="425"/>
      <c r="B111" s="426"/>
      <c r="C111" s="422"/>
      <c r="D111" s="397">
        <f>IFERROR(IF(AND(LEN(TRIM(B110))&gt;0,LEN(TRIM(C110))&gt;0),'Bang TH nop'!AP111,""),"")</f>
        <v>0</v>
      </c>
      <c r="E111" s="397"/>
      <c r="F111" s="353">
        <f>IFERROR(IF(AND(LEN(TRIM(B110))&gt;0,LEN(TRIM(C110))&gt;0),'Bang TH nop'!AL111,0),0)</f>
        <v>0</v>
      </c>
      <c r="G111" s="340">
        <f t="shared" ref="G111" si="1000">D111*I110/26</f>
        <v>0</v>
      </c>
      <c r="H111" s="340">
        <f t="shared" ref="H111" si="1001">D111*J110*150%/(26*8)</f>
        <v>0</v>
      </c>
      <c r="I111" s="340"/>
      <c r="J111" s="340"/>
      <c r="K111" s="344">
        <f t="shared" ref="K111" si="1002">IFERROR(
IF(AND(LEN(TRIM(B110))&gt;0,LEN(TRIM(C110))&gt;0),
ROUND(D111/26*K110,0),
0
),
0
)</f>
        <v>0</v>
      </c>
      <c r="L111" s="344">
        <f t="shared" ref="L111" si="1003">IFERROR(
IF(AND(LEN(TRIM(B110))&gt;0,LEN(TRIM(C110))&gt;0),
ROUND(D111/26*L110,0),
0
),
0
)</f>
        <v>0</v>
      </c>
      <c r="M111" s="344">
        <f t="shared" ref="M111" si="1004">IFERROR(
IF(AND(LEN(TRIM(B110))&gt;0,LEN(TRIM(C110))&gt;0),
ROUND(D111/26*M110,0),
0
),
0
)</f>
        <v>0</v>
      </c>
      <c r="N111" s="344">
        <f t="shared" ref="N111" si="1005">IFERROR(
IF(AND(LEN(TRIM(B110))&gt;0,LEN(TRIM(C110))&gt;0),
D111*N110/(26*8),
0
),
0
)</f>
        <v>0</v>
      </c>
      <c r="O111" s="344">
        <f t="shared" ref="O111" si="1006">IFERROR(
IF(AND(LEN(TRIM(B110))&gt;0,LEN(TRIM(C110))&gt;0),
D111*O110/(26*8),
0
),
0
)</f>
        <v>0</v>
      </c>
      <c r="P111" s="344">
        <f t="shared" ref="P111" si="1007">IFERROR(
IF(AND(LEN(TRIM(B110))&gt;0,LEN(TRIM(C110))&gt;0),
(D111/26/8*P110),
0
),
0
)</f>
        <v>0</v>
      </c>
      <c r="Q111" s="344">
        <f>IFERROR(
IF(AND(LEN(TRIM(B110))&gt;0,LEN(TRIM(C110))&gt;0),
'Bang TH nop'!BC111,
0
),
0
)</f>
        <v>0</v>
      </c>
      <c r="R111" s="340">
        <f>IFERROR(
IF(AND(LEN(TRIM(B110))&gt;0,LEN(TRIM(C110))&gt;0),
'Bang TH nop'!BD111,
0
),
0
)</f>
        <v>0</v>
      </c>
      <c r="S111" s="340">
        <f>IFERROR(
IF(AND(LEN(TRIM(B110))&gt;0,LEN(TRIM(C110))&gt;0),
'Bang TH nop'!BJ111,
0
),
0
)</f>
        <v>0</v>
      </c>
      <c r="T111" s="340">
        <f>IFERROR(
IF(AND(LEN(TRIM(B110))&gt;0,LEN(TRIM(C110))&gt;0),
IFERROR('Bang TH nop'!AW111,0)+IFERROR('Bang TH nop'!BH111,0),
0
),
0
)</f>
        <v>0</v>
      </c>
      <c r="U111" s="344"/>
      <c r="V111" s="344"/>
      <c r="W111" s="344"/>
      <c r="X111" s="340">
        <f t="shared" ref="X111" si="1008">+IF(G111-I111&lt;0,0,G111-I111)</f>
        <v>0</v>
      </c>
      <c r="Y111" s="340">
        <f t="shared" ref="Y111" si="1009">+IF(H111-J111&lt;0,0, H111-J111)</f>
        <v>0</v>
      </c>
      <c r="Z111" s="340">
        <f t="shared" ref="Z111" si="1010">IFERROR(
IF(AND(LEN(TRIM(B110))&gt;0,LEN(TRIM(C110))&gt;0),
(X111+Y111)*25%,
0
),
0
)</f>
        <v>0</v>
      </c>
      <c r="AA111" s="340">
        <f>IFERROR(
IF(AND(LEN(TRIM(B110))&gt;0,LEN(TRIM(C110))&gt;0),
'Bang TH nop'!BG111,
0
),
0
)</f>
        <v>0</v>
      </c>
      <c r="AB111" s="344">
        <f t="shared" ref="AB111" si="1011">IFERROR(
IF(AND(LEN(TRIM(B110))&gt;0,LEN(TRIM(C110))&gt;0),
SUM(I111:W111)+IFERROR(Z111,0)+IFERROR(AA111,0),
0
),
0
)</f>
        <v>0</v>
      </c>
      <c r="AC111" s="340">
        <f t="shared" ref="AC111" si="1012">IFERROR(
IF(AND(LEN(TRIM(B110))&gt;0,LEN(TRIM(C110))&gt;0),
IF((26-(IFERROR(I110,0)+IFERROR(K110,0)+IFERROR(L110,0)+IFERROR(M110,0)))&gt;12,0,D111*10.5%),
0
),
0
)</f>
        <v>0</v>
      </c>
      <c r="AD111" s="340">
        <f t="shared" ref="AD111" si="1013">IFERROR(
IF(AND(LEN(TRIM(B110))&gt;0,LEN(TRIM(C110))&gt;0),
ROUND(IF(D111=4939000,D111*0.5%,0),-2),
0
),
0
)</f>
        <v>0</v>
      </c>
      <c r="AE111" s="344">
        <f t="shared" ref="AE111" si="1014">IFERROR(
IF(AND(LEN(TRIM(B110))&gt;0,LEN(TRIM(C110))&gt;0),
ROUND(IFERROR(AB111,0)-IFERROR(AC111,0)-IFERROR(AD111,0),-2),
0
),
0
)</f>
        <v>0</v>
      </c>
      <c r="AF111" s="347">
        <f>IFERROR(
IF(AND(LEN(TRIM(B110))&gt;0,LEN(TRIM(C110))&gt;0),
IFERROR('Bang TH nop'!AQ111,0)+IFERROR('Bang TH nop'!AT111,0)+IFERROR('Bang TH nop'!BF111,0),
0
),
0
)</f>
        <v>0</v>
      </c>
      <c r="AG111" s="348"/>
      <c r="AH111" s="354"/>
      <c r="AI111" s="355">
        <f t="shared" ref="AI111" si="1015">IFERROR(
IF(AND(LEN(TRIM(B110))&gt;0,LEN(TRIM(C110))&gt;0),
AH111/AG111,
0
),
0
)</f>
        <v>0</v>
      </c>
      <c r="AJ111" s="355">
        <f t="shared" ref="AJ111" si="1016">IFERROR(
IF(AND(LEN(TRIM(B110))&gt;0,LEN(TRIM(C110))&gt;0),
AL111/AF111,
0
),
0
)</f>
        <v>0</v>
      </c>
      <c r="AK111" s="356">
        <f t="shared" ref="AK111" si="1017">IFERROR(
IF(AND(LEN(TRIM(B110))&gt;0,LEN(TRIM(C110))&gt;0),
AJ111/AI111,
0
),
0
)</f>
        <v>0</v>
      </c>
      <c r="AL111" s="357">
        <f t="shared" ref="AL111" si="1018">IFERROR(
IF(AND(LEN(TRIM(B110))&gt;0,LEN(TRIM(C110))&gt;0),
AB111/L111,
0
),
0
)</f>
        <v>0</v>
      </c>
    </row>
    <row r="112" spans="1:38" ht="17.100000000000001" customHeight="1">
      <c r="A112" s="424">
        <f t="shared" ref="A112" si="1019">A110+1</f>
        <v>53</v>
      </c>
      <c r="B112" s="426">
        <f>'Bang TH nop'!B113</f>
        <v>0</v>
      </c>
      <c r="C112" s="421">
        <f>IFERROR(IF(LEN(TRIM(B112))&gt;0,'Bang TH nop'!C113,""),"")</f>
        <v>0</v>
      </c>
      <c r="D112" s="398">
        <f>IFERROR(IF(AND(LEN(TRIM(B112))&gt;0,LEN(TRIM(C112))&gt;0),'Bang TH nop'!AO113,""),"")</f>
        <v>0</v>
      </c>
      <c r="E112" s="399"/>
      <c r="F112" s="340"/>
      <c r="G112" s="341"/>
      <c r="H112" s="341"/>
      <c r="I112" s="342">
        <f>IFERROR(IF(AND(LEN(TRIM(B112))&gt;0,LEN(TRIM(C112))&gt;0),'Bang TH nop'!BB113,0),0)</f>
        <v>0</v>
      </c>
      <c r="J112" s="342">
        <f>IFERROR(IF(AND(LEN(TRIM(B112))&gt;0,LEN(TRIM(C112))&gt;0),'Bang TH nop'!AV113,0),0)</f>
        <v>0</v>
      </c>
      <c r="K112" s="342">
        <f>IFERROR(IF(AND(LEN(TRIM(B112))&gt;0,LEN(TRIM(C112))&gt;0),'Bang TH nop'!AR113,0),0)</f>
        <v>0</v>
      </c>
      <c r="L112" s="343">
        <f>IFERROR(IF(AND(LEN(TRIM(B112))&gt;0,LEN(TRIM(C112))&gt;0),'Bang TH nop'!AS113,0),0)</f>
        <v>0</v>
      </c>
      <c r="M112" s="342">
        <f>IFERROR(IF(AND(LEN(TRIM(B112))&gt;0,LEN(TRIM(C112))&gt;0),'Bang TH nop'!AT113,0),0)</f>
        <v>0</v>
      </c>
      <c r="N112" s="344">
        <f>IFERROR(IF(AND(LEN(TRIM(B112))&gt;0,LEN(TRIM(C112))&gt;0),'Bang TH nop'!AU113,0),0)</f>
        <v>0</v>
      </c>
      <c r="O112" s="342">
        <f>IFERROR(IF(AND(LEN(TRIM(B112))&gt;0,LEN(TRIM(C112))&gt;0),'Bang TH nop'!BE113,0),0)</f>
        <v>0</v>
      </c>
      <c r="P112" s="345">
        <f>IFERROR(IF(AND(LEN(TRIM(B112))&gt;0,LEN(TRIM(C112))&gt;0),'Bang TH nop'!AZ113,0),0)</f>
        <v>0</v>
      </c>
      <c r="Q112" s="343"/>
      <c r="R112" s="342"/>
      <c r="S112" s="342"/>
      <c r="T112" s="342"/>
      <c r="U112" s="341"/>
      <c r="V112" s="341"/>
      <c r="W112" s="341"/>
      <c r="X112" s="341"/>
      <c r="Y112" s="341"/>
      <c r="Z112" s="341"/>
      <c r="AA112" s="340" t="str">
        <f>IFERROR(
IF(AND(LEN(TRIM(B112))&gt;0,LEN(TRIM(C112))&gt;0),
'Bang TH nop'!AH113,
0
),
0
)</f>
        <v>A</v>
      </c>
      <c r="AB112" s="346"/>
      <c r="AC112" s="346"/>
      <c r="AD112" s="341"/>
      <c r="AE112" s="346"/>
      <c r="AF112" s="347"/>
      <c r="AG112" s="348"/>
      <c r="AH112" s="349"/>
      <c r="AI112" s="350"/>
      <c r="AJ112" s="351"/>
      <c r="AK112" s="350"/>
      <c r="AL112" s="352"/>
    </row>
    <row r="113" spans="1:38" ht="17.100000000000001" customHeight="1">
      <c r="A113" s="425"/>
      <c r="B113" s="426"/>
      <c r="C113" s="422"/>
      <c r="D113" s="397">
        <f>IFERROR(IF(AND(LEN(TRIM(B112))&gt;0,LEN(TRIM(C112))&gt;0),'Bang TH nop'!AP113,""),"")</f>
        <v>0</v>
      </c>
      <c r="E113" s="397"/>
      <c r="F113" s="353">
        <f>IFERROR(IF(AND(LEN(TRIM(B112))&gt;0,LEN(TRIM(C112))&gt;0),'Bang TH nop'!AL113,0),0)</f>
        <v>0</v>
      </c>
      <c r="G113" s="340">
        <f t="shared" ref="G113" si="1020">D113*I112/26</f>
        <v>0</v>
      </c>
      <c r="H113" s="340">
        <f t="shared" ref="H113" si="1021">D113*J112*150%/(26*8)</f>
        <v>0</v>
      </c>
      <c r="I113" s="340"/>
      <c r="J113" s="340"/>
      <c r="K113" s="344">
        <f t="shared" ref="K113" si="1022">IFERROR(
IF(AND(LEN(TRIM(B112))&gt;0,LEN(TRIM(C112))&gt;0),
ROUND(D113/26*K112,0),
0
),
0
)</f>
        <v>0</v>
      </c>
      <c r="L113" s="344">
        <f t="shared" ref="L113" si="1023">IFERROR(
IF(AND(LEN(TRIM(B112))&gt;0,LEN(TRIM(C112))&gt;0),
ROUND(D113/26*L112,0),
0
),
0
)</f>
        <v>0</v>
      </c>
      <c r="M113" s="344">
        <f t="shared" ref="M113" si="1024">IFERROR(
IF(AND(LEN(TRIM(B112))&gt;0,LEN(TRIM(C112))&gt;0),
ROUND(D113/26*M112,0),
0
),
0
)</f>
        <v>0</v>
      </c>
      <c r="N113" s="344">
        <f t="shared" ref="N113" si="1025">IFERROR(
IF(AND(LEN(TRIM(B112))&gt;0,LEN(TRIM(C112))&gt;0),
D113*N112/(26*8),
0
),
0
)</f>
        <v>0</v>
      </c>
      <c r="O113" s="344">
        <f t="shared" ref="O113" si="1026">IFERROR(
IF(AND(LEN(TRIM(B112))&gt;0,LEN(TRIM(C112))&gt;0),
D113*O112/(26*8),
0
),
0
)</f>
        <v>0</v>
      </c>
      <c r="P113" s="344">
        <f t="shared" ref="P113" si="1027">IFERROR(
IF(AND(LEN(TRIM(B112))&gt;0,LEN(TRIM(C112))&gt;0),
(D113/26/8*P112),
0
),
0
)</f>
        <v>0</v>
      </c>
      <c r="Q113" s="344">
        <f>IFERROR(
IF(AND(LEN(TRIM(B112))&gt;0,LEN(TRIM(C112))&gt;0),
'Bang TH nop'!BC113,
0
),
0
)</f>
        <v>0</v>
      </c>
      <c r="R113" s="340">
        <f>IFERROR(
IF(AND(LEN(TRIM(B112))&gt;0,LEN(TRIM(C112))&gt;0),
'Bang TH nop'!BD113,
0
),
0
)</f>
        <v>0</v>
      </c>
      <c r="S113" s="340">
        <f>IFERROR(
IF(AND(LEN(TRIM(B112))&gt;0,LEN(TRIM(C112))&gt;0),
'Bang TH nop'!BJ113,
0
),
0
)</f>
        <v>0</v>
      </c>
      <c r="T113" s="340">
        <f>IFERROR(
IF(AND(LEN(TRIM(B112))&gt;0,LEN(TRIM(C112))&gt;0),
IFERROR('Bang TH nop'!AW113,0)+IFERROR('Bang TH nop'!BH113,0),
0
),
0
)</f>
        <v>0</v>
      </c>
      <c r="U113" s="344"/>
      <c r="V113" s="344"/>
      <c r="W113" s="344"/>
      <c r="X113" s="340">
        <f t="shared" ref="X113" si="1028">+IF(G113-I113&lt;0,0,G113-I113)</f>
        <v>0</v>
      </c>
      <c r="Y113" s="340">
        <f t="shared" ref="Y113" si="1029">+IF(H113-J113&lt;0,0, H113-J113)</f>
        <v>0</v>
      </c>
      <c r="Z113" s="340">
        <f t="shared" ref="Z113" si="1030">IFERROR(
IF(AND(LEN(TRIM(B112))&gt;0,LEN(TRIM(C112))&gt;0),
(X113+Y113)*25%,
0
),
0
)</f>
        <v>0</v>
      </c>
      <c r="AA113" s="340">
        <f>IFERROR(
IF(AND(LEN(TRIM(B112))&gt;0,LEN(TRIM(C112))&gt;0),
'Bang TH nop'!BG113,
0
),
0
)</f>
        <v>0</v>
      </c>
      <c r="AB113" s="344">
        <f t="shared" ref="AB113" si="1031">IFERROR(
IF(AND(LEN(TRIM(B112))&gt;0,LEN(TRIM(C112))&gt;0),
SUM(I113:W113)+IFERROR(Z113,0)+IFERROR(AA113,0),
0
),
0
)</f>
        <v>0</v>
      </c>
      <c r="AC113" s="340">
        <f t="shared" ref="AC113" si="1032">IFERROR(
IF(AND(LEN(TRIM(B112))&gt;0,LEN(TRIM(C112))&gt;0),
IF((26-(IFERROR(I112,0)+IFERROR(K112,0)+IFERROR(L112,0)+IFERROR(M112,0)))&gt;12,0,D113*10.5%),
0
),
0
)</f>
        <v>0</v>
      </c>
      <c r="AD113" s="340">
        <f t="shared" ref="AD113" si="1033">IFERROR(
IF(AND(LEN(TRIM(B112))&gt;0,LEN(TRIM(C112))&gt;0),
ROUND(IF(D113=4939000,D113*0.5%,0),-2),
0
),
0
)</f>
        <v>0</v>
      </c>
      <c r="AE113" s="344">
        <f t="shared" ref="AE113" si="1034">IFERROR(
IF(AND(LEN(TRIM(B112))&gt;0,LEN(TRIM(C112))&gt;0),
ROUND(IFERROR(AB113,0)-IFERROR(AC113,0)-IFERROR(AD113,0),-2),
0
),
0
)</f>
        <v>0</v>
      </c>
      <c r="AF113" s="347">
        <f>IFERROR(
IF(AND(LEN(TRIM(B112))&gt;0,LEN(TRIM(C112))&gt;0),
IFERROR('Bang TH nop'!AQ113,0)+IFERROR('Bang TH nop'!AT113,0)+IFERROR('Bang TH nop'!BF113,0),
0
),
0
)</f>
        <v>0</v>
      </c>
      <c r="AG113" s="348"/>
      <c r="AH113" s="354"/>
      <c r="AI113" s="355">
        <f t="shared" ref="AI113" si="1035">IFERROR(
IF(AND(LEN(TRIM(B112))&gt;0,LEN(TRIM(C112))&gt;0),
AH113/AG113,
0
),
0
)</f>
        <v>0</v>
      </c>
      <c r="AJ113" s="355">
        <f t="shared" ref="AJ113" si="1036">IFERROR(
IF(AND(LEN(TRIM(B112))&gt;0,LEN(TRIM(C112))&gt;0),
AL113/AF113,
0
),
0
)</f>
        <v>0</v>
      </c>
      <c r="AK113" s="356">
        <f t="shared" ref="AK113" si="1037">IFERROR(
IF(AND(LEN(TRIM(B112))&gt;0,LEN(TRIM(C112))&gt;0),
AJ113/AI113,
0
),
0
)</f>
        <v>0</v>
      </c>
      <c r="AL113" s="357">
        <f t="shared" ref="AL113" si="1038">IFERROR(
IF(AND(LEN(TRIM(B112))&gt;0,LEN(TRIM(C112))&gt;0),
AB113/L113,
0
),
0
)</f>
        <v>0</v>
      </c>
    </row>
    <row r="114" spans="1:38" ht="17.100000000000001" customHeight="1">
      <c r="A114" s="424">
        <f t="shared" ref="A114" si="1039">A112+1</f>
        <v>54</v>
      </c>
      <c r="B114" s="426">
        <f>'Bang TH nop'!B115</f>
        <v>0</v>
      </c>
      <c r="C114" s="421">
        <f>IFERROR(IF(LEN(TRIM(B114))&gt;0,'Bang TH nop'!C115,""),"")</f>
        <v>0</v>
      </c>
      <c r="D114" s="398">
        <f>IFERROR(IF(AND(LEN(TRIM(B114))&gt;0,LEN(TRIM(C114))&gt;0),'Bang TH nop'!AO115,""),"")</f>
        <v>0</v>
      </c>
      <c r="E114" s="399"/>
      <c r="F114" s="340"/>
      <c r="G114" s="341"/>
      <c r="H114" s="341"/>
      <c r="I114" s="342">
        <f>IFERROR(IF(AND(LEN(TRIM(B114))&gt;0,LEN(TRIM(C114))&gt;0),'Bang TH nop'!BB115,0),0)</f>
        <v>0</v>
      </c>
      <c r="J114" s="342">
        <f>IFERROR(IF(AND(LEN(TRIM(B114))&gt;0,LEN(TRIM(C114))&gt;0),'Bang TH nop'!AV115,0),0)</f>
        <v>0</v>
      </c>
      <c r="K114" s="342">
        <f>IFERROR(IF(AND(LEN(TRIM(B114))&gt;0,LEN(TRIM(C114))&gt;0),'Bang TH nop'!AR115,0),0)</f>
        <v>0</v>
      </c>
      <c r="L114" s="343">
        <f>IFERROR(IF(AND(LEN(TRIM(B114))&gt;0,LEN(TRIM(C114))&gt;0),'Bang TH nop'!AS115,0),0)</f>
        <v>0</v>
      </c>
      <c r="M114" s="342">
        <f>IFERROR(IF(AND(LEN(TRIM(B114))&gt;0,LEN(TRIM(C114))&gt;0),'Bang TH nop'!AT115,0),0)</f>
        <v>0</v>
      </c>
      <c r="N114" s="344">
        <f>IFERROR(IF(AND(LEN(TRIM(B114))&gt;0,LEN(TRIM(C114))&gt;0),'Bang TH nop'!AU115,0),0)</f>
        <v>0</v>
      </c>
      <c r="O114" s="342">
        <f>IFERROR(IF(AND(LEN(TRIM(B114))&gt;0,LEN(TRIM(C114))&gt;0),'Bang TH nop'!BE115,0),0)</f>
        <v>0</v>
      </c>
      <c r="P114" s="345">
        <f>IFERROR(IF(AND(LEN(TRIM(B114))&gt;0,LEN(TRIM(C114))&gt;0),'Bang TH nop'!AZ115,0),0)</f>
        <v>0</v>
      </c>
      <c r="Q114" s="343"/>
      <c r="R114" s="342"/>
      <c r="S114" s="342"/>
      <c r="T114" s="342"/>
      <c r="U114" s="341"/>
      <c r="V114" s="341"/>
      <c r="W114" s="341"/>
      <c r="X114" s="341"/>
      <c r="Y114" s="341"/>
      <c r="Z114" s="341"/>
      <c r="AA114" s="340" t="str">
        <f>IFERROR(
IF(AND(LEN(TRIM(B114))&gt;0,LEN(TRIM(C114))&gt;0),
'Bang TH nop'!AH115,
0
),
0
)</f>
        <v>A</v>
      </c>
      <c r="AB114" s="346"/>
      <c r="AC114" s="346"/>
      <c r="AD114" s="341"/>
      <c r="AE114" s="346"/>
      <c r="AF114" s="347"/>
      <c r="AG114" s="348"/>
      <c r="AH114" s="349"/>
      <c r="AI114" s="350"/>
      <c r="AJ114" s="351"/>
      <c r="AK114" s="350"/>
      <c r="AL114" s="352"/>
    </row>
    <row r="115" spans="1:38" ht="17.100000000000001" customHeight="1">
      <c r="A115" s="425"/>
      <c r="B115" s="426"/>
      <c r="C115" s="422"/>
      <c r="D115" s="397">
        <f>IFERROR(IF(AND(LEN(TRIM(B114))&gt;0,LEN(TRIM(C114))&gt;0),'Bang TH nop'!AP115,""),"")</f>
        <v>0</v>
      </c>
      <c r="E115" s="397"/>
      <c r="F115" s="353">
        <f>IFERROR(IF(AND(LEN(TRIM(B114))&gt;0,LEN(TRIM(C114))&gt;0),'Bang TH nop'!AL115,0),0)</f>
        <v>0</v>
      </c>
      <c r="G115" s="340">
        <f t="shared" ref="G115" si="1040">D115*I114/26</f>
        <v>0</v>
      </c>
      <c r="H115" s="340">
        <f t="shared" ref="H115" si="1041">D115*J114*150%/(26*8)</f>
        <v>0</v>
      </c>
      <c r="I115" s="340"/>
      <c r="J115" s="340"/>
      <c r="K115" s="344">
        <f t="shared" ref="K115" si="1042">IFERROR(
IF(AND(LEN(TRIM(B114))&gt;0,LEN(TRIM(C114))&gt;0),
ROUND(D115/26*K114,0),
0
),
0
)</f>
        <v>0</v>
      </c>
      <c r="L115" s="344">
        <f t="shared" ref="L115" si="1043">IFERROR(
IF(AND(LEN(TRIM(B114))&gt;0,LEN(TRIM(C114))&gt;0),
ROUND(D115/26*L114,0),
0
),
0
)</f>
        <v>0</v>
      </c>
      <c r="M115" s="344">
        <f t="shared" ref="M115" si="1044">IFERROR(
IF(AND(LEN(TRIM(B114))&gt;0,LEN(TRIM(C114))&gt;0),
ROUND(D115/26*M114,0),
0
),
0
)</f>
        <v>0</v>
      </c>
      <c r="N115" s="344">
        <f t="shared" ref="N115" si="1045">IFERROR(
IF(AND(LEN(TRIM(B114))&gt;0,LEN(TRIM(C114))&gt;0),
D115*N114/(26*8),
0
),
0
)</f>
        <v>0</v>
      </c>
      <c r="O115" s="344">
        <f t="shared" ref="O115" si="1046">IFERROR(
IF(AND(LEN(TRIM(B114))&gt;0,LEN(TRIM(C114))&gt;0),
D115*O114/(26*8),
0
),
0
)</f>
        <v>0</v>
      </c>
      <c r="P115" s="344">
        <f t="shared" ref="P115" si="1047">IFERROR(
IF(AND(LEN(TRIM(B114))&gt;0,LEN(TRIM(C114))&gt;0),
(D115/26/8*P114),
0
),
0
)</f>
        <v>0</v>
      </c>
      <c r="Q115" s="344">
        <f>IFERROR(
IF(AND(LEN(TRIM(B114))&gt;0,LEN(TRIM(C114))&gt;0),
'Bang TH nop'!BC115,
0
),
0
)</f>
        <v>0</v>
      </c>
      <c r="R115" s="340">
        <f>IFERROR(
IF(AND(LEN(TRIM(B114))&gt;0,LEN(TRIM(C114))&gt;0),
'Bang TH nop'!BD115,
0
),
0
)</f>
        <v>0</v>
      </c>
      <c r="S115" s="340">
        <f>IFERROR(
IF(AND(LEN(TRIM(B114))&gt;0,LEN(TRIM(C114))&gt;0),
'Bang TH nop'!BJ115,
0
),
0
)</f>
        <v>0</v>
      </c>
      <c r="T115" s="340">
        <f>IFERROR(
IF(AND(LEN(TRIM(B114))&gt;0,LEN(TRIM(C114))&gt;0),
IFERROR('Bang TH nop'!AW115,0)+IFERROR('Bang TH nop'!BH115,0),
0
),
0
)</f>
        <v>0</v>
      </c>
      <c r="U115" s="344"/>
      <c r="V115" s="344"/>
      <c r="W115" s="344"/>
      <c r="X115" s="340">
        <f t="shared" ref="X115" si="1048">+IF(G115-I115&lt;0,0,G115-I115)</f>
        <v>0</v>
      </c>
      <c r="Y115" s="340">
        <f t="shared" ref="Y115" si="1049">+IF(H115-J115&lt;0,0, H115-J115)</f>
        <v>0</v>
      </c>
      <c r="Z115" s="340">
        <f t="shared" ref="Z115" si="1050">IFERROR(
IF(AND(LEN(TRIM(B114))&gt;0,LEN(TRIM(C114))&gt;0),
(X115+Y115)*25%,
0
),
0
)</f>
        <v>0</v>
      </c>
      <c r="AA115" s="340">
        <f>IFERROR(
IF(AND(LEN(TRIM(B114))&gt;0,LEN(TRIM(C114))&gt;0),
'Bang TH nop'!BG115,
0
),
0
)</f>
        <v>0</v>
      </c>
      <c r="AB115" s="344">
        <f t="shared" ref="AB115" si="1051">IFERROR(
IF(AND(LEN(TRIM(B114))&gt;0,LEN(TRIM(C114))&gt;0),
SUM(I115:W115)+IFERROR(Z115,0)+IFERROR(AA115,0),
0
),
0
)</f>
        <v>0</v>
      </c>
      <c r="AC115" s="340">
        <f t="shared" ref="AC115" si="1052">IFERROR(
IF(AND(LEN(TRIM(B114))&gt;0,LEN(TRIM(C114))&gt;0),
IF((26-(IFERROR(I114,0)+IFERROR(K114,0)+IFERROR(L114,0)+IFERROR(M114,0)))&gt;12,0,D115*10.5%),
0
),
0
)</f>
        <v>0</v>
      </c>
      <c r="AD115" s="340">
        <f t="shared" ref="AD115" si="1053">IFERROR(
IF(AND(LEN(TRIM(B114))&gt;0,LEN(TRIM(C114))&gt;0),
ROUND(IF(D115=4939000,D115*0.5%,0),-2),
0
),
0
)</f>
        <v>0</v>
      </c>
      <c r="AE115" s="344">
        <f t="shared" ref="AE115" si="1054">IFERROR(
IF(AND(LEN(TRIM(B114))&gt;0,LEN(TRIM(C114))&gt;0),
ROUND(IFERROR(AB115,0)-IFERROR(AC115,0)-IFERROR(AD115,0),-2),
0
),
0
)</f>
        <v>0</v>
      </c>
      <c r="AF115" s="347">
        <f>IFERROR(
IF(AND(LEN(TRIM(B114))&gt;0,LEN(TRIM(C114))&gt;0),
IFERROR('Bang TH nop'!AQ115,0)+IFERROR('Bang TH nop'!AT115,0)+IFERROR('Bang TH nop'!BF115,0),
0
),
0
)</f>
        <v>0</v>
      </c>
      <c r="AG115" s="348"/>
      <c r="AH115" s="354"/>
      <c r="AI115" s="355">
        <f t="shared" ref="AI115" si="1055">IFERROR(
IF(AND(LEN(TRIM(B114))&gt;0,LEN(TRIM(C114))&gt;0),
AH115/AG115,
0
),
0
)</f>
        <v>0</v>
      </c>
      <c r="AJ115" s="355">
        <f t="shared" ref="AJ115" si="1056">IFERROR(
IF(AND(LEN(TRIM(B114))&gt;0,LEN(TRIM(C114))&gt;0),
AL115/AF115,
0
),
0
)</f>
        <v>0</v>
      </c>
      <c r="AK115" s="356">
        <f t="shared" ref="AK115" si="1057">IFERROR(
IF(AND(LEN(TRIM(B114))&gt;0,LEN(TRIM(C114))&gt;0),
AJ115/AI115,
0
),
0
)</f>
        <v>0</v>
      </c>
      <c r="AL115" s="357">
        <f t="shared" ref="AL115" si="1058">IFERROR(
IF(AND(LEN(TRIM(B114))&gt;0,LEN(TRIM(C114))&gt;0),
AB115/L115,
0
),
0
)</f>
        <v>0</v>
      </c>
    </row>
    <row r="116" spans="1:38" ht="17.100000000000001" customHeight="1">
      <c r="A116" s="424">
        <f t="shared" ref="A116" si="1059">A114+1</f>
        <v>55</v>
      </c>
      <c r="B116" s="426">
        <f>'Bang TH nop'!B117</f>
        <v>0</v>
      </c>
      <c r="C116" s="421">
        <f>IFERROR(IF(LEN(TRIM(B116))&gt;0,'Bang TH nop'!C117,""),"")</f>
        <v>0</v>
      </c>
      <c r="D116" s="398">
        <f>IFERROR(IF(AND(LEN(TRIM(B116))&gt;0,LEN(TRIM(C116))&gt;0),'Bang TH nop'!AO117,""),"")</f>
        <v>0</v>
      </c>
      <c r="E116" s="399"/>
      <c r="F116" s="340"/>
      <c r="G116" s="341"/>
      <c r="H116" s="341"/>
      <c r="I116" s="342">
        <f>IFERROR(IF(AND(LEN(TRIM(B116))&gt;0,LEN(TRIM(C116))&gt;0),'Bang TH nop'!BB117,0),0)</f>
        <v>0</v>
      </c>
      <c r="J116" s="342">
        <f>IFERROR(IF(AND(LEN(TRIM(B116))&gt;0,LEN(TRIM(C116))&gt;0),'Bang TH nop'!AV117,0),0)</f>
        <v>0</v>
      </c>
      <c r="K116" s="342">
        <f>IFERROR(IF(AND(LEN(TRIM(B116))&gt;0,LEN(TRIM(C116))&gt;0),'Bang TH nop'!AR117,0),0)</f>
        <v>0</v>
      </c>
      <c r="L116" s="343">
        <f>IFERROR(IF(AND(LEN(TRIM(B116))&gt;0,LEN(TRIM(C116))&gt;0),'Bang TH nop'!AS117,0),0)</f>
        <v>0</v>
      </c>
      <c r="M116" s="342">
        <f>IFERROR(IF(AND(LEN(TRIM(B116))&gt;0,LEN(TRIM(C116))&gt;0),'Bang TH nop'!AT117,0),0)</f>
        <v>0</v>
      </c>
      <c r="N116" s="344">
        <f>IFERROR(IF(AND(LEN(TRIM(B116))&gt;0,LEN(TRIM(C116))&gt;0),'Bang TH nop'!AU117,0),0)</f>
        <v>0</v>
      </c>
      <c r="O116" s="342">
        <f>IFERROR(IF(AND(LEN(TRIM(B116))&gt;0,LEN(TRIM(C116))&gt;0),'Bang TH nop'!BE117,0),0)</f>
        <v>0</v>
      </c>
      <c r="P116" s="345">
        <f>IFERROR(IF(AND(LEN(TRIM(B116))&gt;0,LEN(TRIM(C116))&gt;0),'Bang TH nop'!AZ117,0),0)</f>
        <v>0</v>
      </c>
      <c r="Q116" s="343"/>
      <c r="R116" s="342"/>
      <c r="S116" s="342"/>
      <c r="T116" s="342"/>
      <c r="U116" s="341"/>
      <c r="V116" s="341"/>
      <c r="W116" s="341"/>
      <c r="X116" s="341"/>
      <c r="Y116" s="341"/>
      <c r="Z116" s="341"/>
      <c r="AA116" s="340" t="str">
        <f>IFERROR(
IF(AND(LEN(TRIM(B116))&gt;0,LEN(TRIM(C116))&gt;0),
'Bang TH nop'!AH117,
0
),
0
)</f>
        <v>A</v>
      </c>
      <c r="AB116" s="346"/>
      <c r="AC116" s="346"/>
      <c r="AD116" s="341"/>
      <c r="AE116" s="346"/>
      <c r="AF116" s="347"/>
      <c r="AG116" s="348"/>
      <c r="AH116" s="349"/>
      <c r="AI116" s="350"/>
      <c r="AJ116" s="351"/>
      <c r="AK116" s="350"/>
      <c r="AL116" s="352"/>
    </row>
    <row r="117" spans="1:38" ht="17.100000000000001" customHeight="1">
      <c r="A117" s="425"/>
      <c r="B117" s="426"/>
      <c r="C117" s="422"/>
      <c r="D117" s="397">
        <f>IFERROR(IF(AND(LEN(TRIM(B116))&gt;0,LEN(TRIM(C116))&gt;0),'Bang TH nop'!AP117,""),"")</f>
        <v>0</v>
      </c>
      <c r="E117" s="397"/>
      <c r="F117" s="353">
        <f>IFERROR(IF(AND(LEN(TRIM(B116))&gt;0,LEN(TRIM(C116))&gt;0),'Bang TH nop'!AL117,0),0)</f>
        <v>0</v>
      </c>
      <c r="G117" s="340">
        <f t="shared" ref="G117" si="1060">D117*I116/26</f>
        <v>0</v>
      </c>
      <c r="H117" s="340">
        <f t="shared" ref="H117" si="1061">D117*J116*150%/(26*8)</f>
        <v>0</v>
      </c>
      <c r="I117" s="340"/>
      <c r="J117" s="340"/>
      <c r="K117" s="344">
        <f t="shared" ref="K117" si="1062">IFERROR(
IF(AND(LEN(TRIM(B116))&gt;0,LEN(TRIM(C116))&gt;0),
ROUND(D117/26*K116,0),
0
),
0
)</f>
        <v>0</v>
      </c>
      <c r="L117" s="344">
        <f t="shared" ref="L117" si="1063">IFERROR(
IF(AND(LEN(TRIM(B116))&gt;0,LEN(TRIM(C116))&gt;0),
ROUND(D117/26*L116,0),
0
),
0
)</f>
        <v>0</v>
      </c>
      <c r="M117" s="344">
        <f t="shared" ref="M117" si="1064">IFERROR(
IF(AND(LEN(TRIM(B116))&gt;0,LEN(TRIM(C116))&gt;0),
ROUND(D117/26*M116,0),
0
),
0
)</f>
        <v>0</v>
      </c>
      <c r="N117" s="344">
        <f t="shared" ref="N117" si="1065">IFERROR(
IF(AND(LEN(TRIM(B116))&gt;0,LEN(TRIM(C116))&gt;0),
D117*N116/(26*8),
0
),
0
)</f>
        <v>0</v>
      </c>
      <c r="O117" s="344">
        <f t="shared" ref="O117" si="1066">IFERROR(
IF(AND(LEN(TRIM(B116))&gt;0,LEN(TRIM(C116))&gt;0),
D117*O116/(26*8),
0
),
0
)</f>
        <v>0</v>
      </c>
      <c r="P117" s="344">
        <f t="shared" ref="P117" si="1067">IFERROR(
IF(AND(LEN(TRIM(B116))&gt;0,LEN(TRIM(C116))&gt;0),
(D117/26/8*P116),
0
),
0
)</f>
        <v>0</v>
      </c>
      <c r="Q117" s="344">
        <f>IFERROR(
IF(AND(LEN(TRIM(B116))&gt;0,LEN(TRIM(C116))&gt;0),
'Bang TH nop'!BC117,
0
),
0
)</f>
        <v>0</v>
      </c>
      <c r="R117" s="340">
        <f>IFERROR(
IF(AND(LEN(TRIM(B116))&gt;0,LEN(TRIM(C116))&gt;0),
'Bang TH nop'!BD117,
0
),
0
)</f>
        <v>0</v>
      </c>
      <c r="S117" s="340">
        <f>IFERROR(
IF(AND(LEN(TRIM(B116))&gt;0,LEN(TRIM(C116))&gt;0),
'Bang TH nop'!BJ117,
0
),
0
)</f>
        <v>0</v>
      </c>
      <c r="T117" s="340">
        <f>IFERROR(
IF(AND(LEN(TRIM(B116))&gt;0,LEN(TRIM(C116))&gt;0),
IFERROR('Bang TH nop'!AW117,0)+IFERROR('Bang TH nop'!BH117,0),
0
),
0
)</f>
        <v>0</v>
      </c>
      <c r="U117" s="344"/>
      <c r="V117" s="344"/>
      <c r="W117" s="344"/>
      <c r="X117" s="340">
        <f t="shared" ref="X117" si="1068">+IF(G117-I117&lt;0,0,G117-I117)</f>
        <v>0</v>
      </c>
      <c r="Y117" s="340">
        <f t="shared" ref="Y117" si="1069">+IF(H117-J117&lt;0,0, H117-J117)</f>
        <v>0</v>
      </c>
      <c r="Z117" s="340">
        <f t="shared" ref="Z117" si="1070">IFERROR(
IF(AND(LEN(TRIM(B116))&gt;0,LEN(TRIM(C116))&gt;0),
(X117+Y117)*25%,
0
),
0
)</f>
        <v>0</v>
      </c>
      <c r="AA117" s="340">
        <f>IFERROR(
IF(AND(LEN(TRIM(B116))&gt;0,LEN(TRIM(C116))&gt;0),
'Bang TH nop'!BG117,
0
),
0
)</f>
        <v>0</v>
      </c>
      <c r="AB117" s="344">
        <f t="shared" ref="AB117" si="1071">IFERROR(
IF(AND(LEN(TRIM(B116))&gt;0,LEN(TRIM(C116))&gt;0),
SUM(I117:W117)+IFERROR(Z117,0)+IFERROR(AA117,0),
0
),
0
)</f>
        <v>0</v>
      </c>
      <c r="AC117" s="340">
        <f t="shared" ref="AC117" si="1072">IFERROR(
IF(AND(LEN(TRIM(B116))&gt;0,LEN(TRIM(C116))&gt;0),
IF((26-(IFERROR(I116,0)+IFERROR(K116,0)+IFERROR(L116,0)+IFERROR(M116,0)))&gt;12,0,D117*10.5%),
0
),
0
)</f>
        <v>0</v>
      </c>
      <c r="AD117" s="340">
        <f t="shared" ref="AD117" si="1073">IFERROR(
IF(AND(LEN(TRIM(B116))&gt;0,LEN(TRIM(C116))&gt;0),
ROUND(IF(D117=4939000,D117*0.5%,0),-2),
0
),
0
)</f>
        <v>0</v>
      </c>
      <c r="AE117" s="344">
        <f t="shared" ref="AE117" si="1074">IFERROR(
IF(AND(LEN(TRIM(B116))&gt;0,LEN(TRIM(C116))&gt;0),
ROUND(IFERROR(AB117,0)-IFERROR(AC117,0)-IFERROR(AD117,0),-2),
0
),
0
)</f>
        <v>0</v>
      </c>
      <c r="AF117" s="347">
        <f>IFERROR(
IF(AND(LEN(TRIM(B116))&gt;0,LEN(TRIM(C116))&gt;0),
IFERROR('Bang TH nop'!AQ117,0)+IFERROR('Bang TH nop'!AT117,0)+IFERROR('Bang TH nop'!BF117,0),
0
),
0
)</f>
        <v>0</v>
      </c>
      <c r="AG117" s="348"/>
      <c r="AH117" s="354"/>
      <c r="AI117" s="355">
        <f t="shared" ref="AI117" si="1075">IFERROR(
IF(AND(LEN(TRIM(B116))&gt;0,LEN(TRIM(C116))&gt;0),
AH117/AG117,
0
),
0
)</f>
        <v>0</v>
      </c>
      <c r="AJ117" s="355">
        <f t="shared" ref="AJ117" si="1076">IFERROR(
IF(AND(LEN(TRIM(B116))&gt;0,LEN(TRIM(C116))&gt;0),
AL117/AF117,
0
),
0
)</f>
        <v>0</v>
      </c>
      <c r="AK117" s="356">
        <f t="shared" ref="AK117" si="1077">IFERROR(
IF(AND(LEN(TRIM(B116))&gt;0,LEN(TRIM(C116))&gt;0),
AJ117/AI117,
0
),
0
)</f>
        <v>0</v>
      </c>
      <c r="AL117" s="357">
        <f t="shared" ref="AL117" si="1078">IFERROR(
IF(AND(LEN(TRIM(B116))&gt;0,LEN(TRIM(C116))&gt;0),
AB117/L117,
0
),
0
)</f>
        <v>0</v>
      </c>
    </row>
    <row r="118" spans="1:38" ht="17.100000000000001" customHeight="1">
      <c r="A118" s="424">
        <f t="shared" ref="A118" si="1079">A116+1</f>
        <v>56</v>
      </c>
      <c r="B118" s="426">
        <f>'Bang TH nop'!B119</f>
        <v>0</v>
      </c>
      <c r="C118" s="421">
        <f>IFERROR(IF(LEN(TRIM(B118))&gt;0,'Bang TH nop'!C119,""),"")</f>
        <v>0</v>
      </c>
      <c r="D118" s="398">
        <f>IFERROR(IF(AND(LEN(TRIM(B118))&gt;0,LEN(TRIM(C118))&gt;0),'Bang TH nop'!AO119,""),"")</f>
        <v>0</v>
      </c>
      <c r="E118" s="399"/>
      <c r="F118" s="340"/>
      <c r="G118" s="341"/>
      <c r="H118" s="341"/>
      <c r="I118" s="342">
        <f>IFERROR(IF(AND(LEN(TRIM(B118))&gt;0,LEN(TRIM(C118))&gt;0),'Bang TH nop'!BB119,0),0)</f>
        <v>0</v>
      </c>
      <c r="J118" s="342">
        <f>IFERROR(IF(AND(LEN(TRIM(B118))&gt;0,LEN(TRIM(C118))&gt;0),'Bang TH nop'!AV119,0),0)</f>
        <v>0</v>
      </c>
      <c r="K118" s="342">
        <f>IFERROR(IF(AND(LEN(TRIM(B118))&gt;0,LEN(TRIM(C118))&gt;0),'Bang TH nop'!AR119,0),0)</f>
        <v>0</v>
      </c>
      <c r="L118" s="343">
        <f>IFERROR(IF(AND(LEN(TRIM(B118))&gt;0,LEN(TRIM(C118))&gt;0),'Bang TH nop'!AS119,0),0)</f>
        <v>0</v>
      </c>
      <c r="M118" s="342">
        <f>IFERROR(IF(AND(LEN(TRIM(B118))&gt;0,LEN(TRIM(C118))&gt;0),'Bang TH nop'!AT119,0),0)</f>
        <v>0</v>
      </c>
      <c r="N118" s="344">
        <f>IFERROR(IF(AND(LEN(TRIM(B118))&gt;0,LEN(TRIM(C118))&gt;0),'Bang TH nop'!AU119,0),0)</f>
        <v>0</v>
      </c>
      <c r="O118" s="342">
        <f>IFERROR(IF(AND(LEN(TRIM(B118))&gt;0,LEN(TRIM(C118))&gt;0),'Bang TH nop'!BE119,0),0)</f>
        <v>0</v>
      </c>
      <c r="P118" s="345">
        <f>IFERROR(IF(AND(LEN(TRIM(B118))&gt;0,LEN(TRIM(C118))&gt;0),'Bang TH nop'!AZ119,0),0)</f>
        <v>0</v>
      </c>
      <c r="Q118" s="343"/>
      <c r="R118" s="342"/>
      <c r="S118" s="342"/>
      <c r="T118" s="342"/>
      <c r="U118" s="341"/>
      <c r="V118" s="341"/>
      <c r="W118" s="341"/>
      <c r="X118" s="341"/>
      <c r="Y118" s="341"/>
      <c r="Z118" s="341"/>
      <c r="AA118" s="340" t="str">
        <f>IFERROR(
IF(AND(LEN(TRIM(B118))&gt;0,LEN(TRIM(C118))&gt;0),
'Bang TH nop'!AH119,
0
),
0
)</f>
        <v>A</v>
      </c>
      <c r="AB118" s="346"/>
      <c r="AC118" s="346"/>
      <c r="AD118" s="341"/>
      <c r="AE118" s="346"/>
      <c r="AF118" s="347"/>
      <c r="AG118" s="348"/>
      <c r="AH118" s="349"/>
      <c r="AI118" s="350"/>
      <c r="AJ118" s="351"/>
      <c r="AK118" s="350"/>
      <c r="AL118" s="352"/>
    </row>
    <row r="119" spans="1:38" ht="17.100000000000001" customHeight="1">
      <c r="A119" s="425"/>
      <c r="B119" s="426"/>
      <c r="C119" s="422"/>
      <c r="D119" s="397">
        <f>IFERROR(IF(AND(LEN(TRIM(B118))&gt;0,LEN(TRIM(C118))&gt;0),'Bang TH nop'!AP119,""),"")</f>
        <v>0</v>
      </c>
      <c r="E119" s="397"/>
      <c r="F119" s="353">
        <f>IFERROR(IF(AND(LEN(TRIM(B118))&gt;0,LEN(TRIM(C118))&gt;0),'Bang TH nop'!AL119,0),0)</f>
        <v>0</v>
      </c>
      <c r="G119" s="340">
        <f t="shared" ref="G119" si="1080">D119*I118/26</f>
        <v>0</v>
      </c>
      <c r="H119" s="340">
        <f t="shared" ref="H119" si="1081">D119*J118*150%/(26*8)</f>
        <v>0</v>
      </c>
      <c r="I119" s="340"/>
      <c r="J119" s="340"/>
      <c r="K119" s="344">
        <f t="shared" ref="K119" si="1082">IFERROR(
IF(AND(LEN(TRIM(B118))&gt;0,LEN(TRIM(C118))&gt;0),
ROUND(D119/26*K118,0),
0
),
0
)</f>
        <v>0</v>
      </c>
      <c r="L119" s="344">
        <f t="shared" ref="L119" si="1083">IFERROR(
IF(AND(LEN(TRIM(B118))&gt;0,LEN(TRIM(C118))&gt;0),
ROUND(D119/26*L118,0),
0
),
0
)</f>
        <v>0</v>
      </c>
      <c r="M119" s="344">
        <f t="shared" ref="M119" si="1084">IFERROR(
IF(AND(LEN(TRIM(B118))&gt;0,LEN(TRIM(C118))&gt;0),
ROUND(D119/26*M118,0),
0
),
0
)</f>
        <v>0</v>
      </c>
      <c r="N119" s="344">
        <f t="shared" ref="N119" si="1085">IFERROR(
IF(AND(LEN(TRIM(B118))&gt;0,LEN(TRIM(C118))&gt;0),
D119*N118/(26*8),
0
),
0
)</f>
        <v>0</v>
      </c>
      <c r="O119" s="344">
        <f t="shared" ref="O119" si="1086">IFERROR(
IF(AND(LEN(TRIM(B118))&gt;0,LEN(TRIM(C118))&gt;0),
D119*O118/(26*8),
0
),
0
)</f>
        <v>0</v>
      </c>
      <c r="P119" s="344">
        <f t="shared" ref="P119" si="1087">IFERROR(
IF(AND(LEN(TRIM(B118))&gt;0,LEN(TRIM(C118))&gt;0),
(D119/26/8*P118),
0
),
0
)</f>
        <v>0</v>
      </c>
      <c r="Q119" s="344">
        <f>IFERROR(
IF(AND(LEN(TRIM(B118))&gt;0,LEN(TRIM(C118))&gt;0),
'Bang TH nop'!BC119,
0
),
0
)</f>
        <v>0</v>
      </c>
      <c r="R119" s="340">
        <f>IFERROR(
IF(AND(LEN(TRIM(B118))&gt;0,LEN(TRIM(C118))&gt;0),
'Bang TH nop'!BD119,
0
),
0
)</f>
        <v>0</v>
      </c>
      <c r="S119" s="340">
        <f>IFERROR(
IF(AND(LEN(TRIM(B118))&gt;0,LEN(TRIM(C118))&gt;0),
'Bang TH nop'!BJ119,
0
),
0
)</f>
        <v>0</v>
      </c>
      <c r="T119" s="340">
        <f>IFERROR(
IF(AND(LEN(TRIM(B118))&gt;0,LEN(TRIM(C118))&gt;0),
IFERROR('Bang TH nop'!AW119,0)+IFERROR('Bang TH nop'!BH119,0),
0
),
0
)</f>
        <v>0</v>
      </c>
      <c r="U119" s="344"/>
      <c r="V119" s="344"/>
      <c r="W119" s="344"/>
      <c r="X119" s="340">
        <f t="shared" ref="X119" si="1088">+IF(G119-I119&lt;0,0,G119-I119)</f>
        <v>0</v>
      </c>
      <c r="Y119" s="340">
        <f t="shared" ref="Y119" si="1089">+IF(H119-J119&lt;0,0, H119-J119)</f>
        <v>0</v>
      </c>
      <c r="Z119" s="340">
        <f t="shared" ref="Z119" si="1090">IFERROR(
IF(AND(LEN(TRIM(B118))&gt;0,LEN(TRIM(C118))&gt;0),
(X119+Y119)*25%,
0
),
0
)</f>
        <v>0</v>
      </c>
      <c r="AA119" s="340">
        <f>IFERROR(
IF(AND(LEN(TRIM(B118))&gt;0,LEN(TRIM(C118))&gt;0),
'Bang TH nop'!BG119,
0
),
0
)</f>
        <v>0</v>
      </c>
      <c r="AB119" s="344">
        <f t="shared" ref="AB119" si="1091">IFERROR(
IF(AND(LEN(TRIM(B118))&gt;0,LEN(TRIM(C118))&gt;0),
SUM(I119:W119)+IFERROR(Z119,0)+IFERROR(AA119,0),
0
),
0
)</f>
        <v>0</v>
      </c>
      <c r="AC119" s="340">
        <f t="shared" ref="AC119" si="1092">IFERROR(
IF(AND(LEN(TRIM(B118))&gt;0,LEN(TRIM(C118))&gt;0),
IF((26-(IFERROR(I118,0)+IFERROR(K118,0)+IFERROR(L118,0)+IFERROR(M118,0)))&gt;12,0,D119*10.5%),
0
),
0
)</f>
        <v>0</v>
      </c>
      <c r="AD119" s="340">
        <f t="shared" ref="AD119" si="1093">IFERROR(
IF(AND(LEN(TRIM(B118))&gt;0,LEN(TRIM(C118))&gt;0),
ROUND(IF(D119=4939000,D119*0.5%,0),-2),
0
),
0
)</f>
        <v>0</v>
      </c>
      <c r="AE119" s="344">
        <f t="shared" ref="AE119" si="1094">IFERROR(
IF(AND(LEN(TRIM(B118))&gt;0,LEN(TRIM(C118))&gt;0),
ROUND(IFERROR(AB119,0)-IFERROR(AC119,0)-IFERROR(AD119,0),-2),
0
),
0
)</f>
        <v>0</v>
      </c>
      <c r="AF119" s="347">
        <f>IFERROR(
IF(AND(LEN(TRIM(B118))&gt;0,LEN(TRIM(C118))&gt;0),
IFERROR('Bang TH nop'!AQ119,0)+IFERROR('Bang TH nop'!AT119,0)+IFERROR('Bang TH nop'!BF119,0),
0
),
0
)</f>
        <v>0</v>
      </c>
      <c r="AG119" s="348"/>
      <c r="AH119" s="354"/>
      <c r="AI119" s="355">
        <f t="shared" ref="AI119" si="1095">IFERROR(
IF(AND(LEN(TRIM(B118))&gt;0,LEN(TRIM(C118))&gt;0),
AH119/AG119,
0
),
0
)</f>
        <v>0</v>
      </c>
      <c r="AJ119" s="355">
        <f t="shared" ref="AJ119" si="1096">IFERROR(
IF(AND(LEN(TRIM(B118))&gt;0,LEN(TRIM(C118))&gt;0),
AL119/AF119,
0
),
0
)</f>
        <v>0</v>
      </c>
      <c r="AK119" s="356">
        <f t="shared" ref="AK119" si="1097">IFERROR(
IF(AND(LEN(TRIM(B118))&gt;0,LEN(TRIM(C118))&gt;0),
AJ119/AI119,
0
),
0
)</f>
        <v>0</v>
      </c>
      <c r="AL119" s="357">
        <f t="shared" ref="AL119" si="1098">IFERROR(
IF(AND(LEN(TRIM(B118))&gt;0,LEN(TRIM(C118))&gt;0),
AB119/L119,
0
),
0
)</f>
        <v>0</v>
      </c>
    </row>
    <row r="120" spans="1:38" ht="17.100000000000001" customHeight="1">
      <c r="A120" s="424">
        <f t="shared" ref="A120" si="1099">A118+1</f>
        <v>57</v>
      </c>
      <c r="B120" s="426">
        <f>'Bang TH nop'!B121</f>
        <v>0</v>
      </c>
      <c r="C120" s="421">
        <f>IFERROR(IF(LEN(TRIM(B120))&gt;0,'Bang TH nop'!C121,""),"")</f>
        <v>0</v>
      </c>
      <c r="D120" s="398">
        <f>IFERROR(IF(AND(LEN(TRIM(B120))&gt;0,LEN(TRIM(C120))&gt;0),'Bang TH nop'!AO121,""),"")</f>
        <v>0</v>
      </c>
      <c r="E120" s="399"/>
      <c r="F120" s="340"/>
      <c r="G120" s="341"/>
      <c r="H120" s="341"/>
      <c r="I120" s="342">
        <f>IFERROR(IF(AND(LEN(TRIM(B120))&gt;0,LEN(TRIM(C120))&gt;0),'Bang TH nop'!BB121,0),0)</f>
        <v>0</v>
      </c>
      <c r="J120" s="342">
        <f>IFERROR(IF(AND(LEN(TRIM(B120))&gt;0,LEN(TRIM(C120))&gt;0),'Bang TH nop'!AV121,0),0)</f>
        <v>0</v>
      </c>
      <c r="K120" s="342">
        <f>IFERROR(IF(AND(LEN(TRIM(B120))&gt;0,LEN(TRIM(C120))&gt;0),'Bang TH nop'!AR121,0),0)</f>
        <v>0</v>
      </c>
      <c r="L120" s="343">
        <f>IFERROR(IF(AND(LEN(TRIM(B120))&gt;0,LEN(TRIM(C120))&gt;0),'Bang TH nop'!AS121,0),0)</f>
        <v>0</v>
      </c>
      <c r="M120" s="342">
        <f>IFERROR(IF(AND(LEN(TRIM(B120))&gt;0,LEN(TRIM(C120))&gt;0),'Bang TH nop'!AT121,0),0)</f>
        <v>0</v>
      </c>
      <c r="N120" s="344">
        <f>IFERROR(IF(AND(LEN(TRIM(B120))&gt;0,LEN(TRIM(C120))&gt;0),'Bang TH nop'!AU121,0),0)</f>
        <v>0</v>
      </c>
      <c r="O120" s="342">
        <f>IFERROR(IF(AND(LEN(TRIM(B120))&gt;0,LEN(TRIM(C120))&gt;0),'Bang TH nop'!BE121,0),0)</f>
        <v>0</v>
      </c>
      <c r="P120" s="345">
        <f>IFERROR(IF(AND(LEN(TRIM(B120))&gt;0,LEN(TRIM(C120))&gt;0),'Bang TH nop'!AZ121,0),0)</f>
        <v>0</v>
      </c>
      <c r="Q120" s="343"/>
      <c r="R120" s="342"/>
      <c r="S120" s="342"/>
      <c r="T120" s="342"/>
      <c r="U120" s="341"/>
      <c r="V120" s="341"/>
      <c r="W120" s="341"/>
      <c r="X120" s="341"/>
      <c r="Y120" s="341"/>
      <c r="Z120" s="341"/>
      <c r="AA120" s="340" t="str">
        <f>IFERROR(
IF(AND(LEN(TRIM(B120))&gt;0,LEN(TRIM(C120))&gt;0),
'Bang TH nop'!AH121,
0
),
0
)</f>
        <v>A</v>
      </c>
      <c r="AB120" s="346"/>
      <c r="AC120" s="346"/>
      <c r="AD120" s="341"/>
      <c r="AE120" s="346"/>
      <c r="AF120" s="347"/>
      <c r="AG120" s="348"/>
      <c r="AH120" s="349"/>
      <c r="AI120" s="350"/>
      <c r="AJ120" s="351"/>
      <c r="AK120" s="350"/>
      <c r="AL120" s="352"/>
    </row>
    <row r="121" spans="1:38" ht="17.100000000000001" customHeight="1">
      <c r="A121" s="425"/>
      <c r="B121" s="426"/>
      <c r="C121" s="422"/>
      <c r="D121" s="397">
        <f>IFERROR(IF(AND(LEN(TRIM(B120))&gt;0,LEN(TRIM(C120))&gt;0),'Bang TH nop'!AP121,""),"")</f>
        <v>0</v>
      </c>
      <c r="E121" s="397"/>
      <c r="F121" s="353">
        <f>IFERROR(IF(AND(LEN(TRIM(B120))&gt;0,LEN(TRIM(C120))&gt;0),'Bang TH nop'!AL121,0),0)</f>
        <v>0</v>
      </c>
      <c r="G121" s="340">
        <f t="shared" ref="G121" si="1100">D121*I120/26</f>
        <v>0</v>
      </c>
      <c r="H121" s="340">
        <f t="shared" ref="H121" si="1101">D121*J120*150%/(26*8)</f>
        <v>0</v>
      </c>
      <c r="I121" s="340"/>
      <c r="J121" s="340"/>
      <c r="K121" s="344">
        <f t="shared" ref="K121" si="1102">IFERROR(
IF(AND(LEN(TRIM(B120))&gt;0,LEN(TRIM(C120))&gt;0),
ROUND(D121/26*K120,0),
0
),
0
)</f>
        <v>0</v>
      </c>
      <c r="L121" s="344">
        <f t="shared" ref="L121" si="1103">IFERROR(
IF(AND(LEN(TRIM(B120))&gt;0,LEN(TRIM(C120))&gt;0),
ROUND(D121/26*L120,0),
0
),
0
)</f>
        <v>0</v>
      </c>
      <c r="M121" s="344">
        <f t="shared" ref="M121" si="1104">IFERROR(
IF(AND(LEN(TRIM(B120))&gt;0,LEN(TRIM(C120))&gt;0),
ROUND(D121/26*M120,0),
0
),
0
)</f>
        <v>0</v>
      </c>
      <c r="N121" s="344">
        <f t="shared" ref="N121" si="1105">IFERROR(
IF(AND(LEN(TRIM(B120))&gt;0,LEN(TRIM(C120))&gt;0),
D121*N120/(26*8),
0
),
0
)</f>
        <v>0</v>
      </c>
      <c r="O121" s="344">
        <f t="shared" ref="O121" si="1106">IFERROR(
IF(AND(LEN(TRIM(B120))&gt;0,LEN(TRIM(C120))&gt;0),
D121*O120/(26*8),
0
),
0
)</f>
        <v>0</v>
      </c>
      <c r="P121" s="344">
        <f t="shared" ref="P121" si="1107">IFERROR(
IF(AND(LEN(TRIM(B120))&gt;0,LEN(TRIM(C120))&gt;0),
(D121/26/8*P120),
0
),
0
)</f>
        <v>0</v>
      </c>
      <c r="Q121" s="344">
        <f>IFERROR(
IF(AND(LEN(TRIM(B120))&gt;0,LEN(TRIM(C120))&gt;0),
'Bang TH nop'!BC121,
0
),
0
)</f>
        <v>0</v>
      </c>
      <c r="R121" s="340">
        <f>IFERROR(
IF(AND(LEN(TRIM(B120))&gt;0,LEN(TRIM(C120))&gt;0),
'Bang TH nop'!BD121,
0
),
0
)</f>
        <v>0</v>
      </c>
      <c r="S121" s="340">
        <f>IFERROR(
IF(AND(LEN(TRIM(B120))&gt;0,LEN(TRIM(C120))&gt;0),
'Bang TH nop'!BJ121,
0
),
0
)</f>
        <v>0</v>
      </c>
      <c r="T121" s="340">
        <f>IFERROR(
IF(AND(LEN(TRIM(B120))&gt;0,LEN(TRIM(C120))&gt;0),
IFERROR('Bang TH nop'!AW121,0)+IFERROR('Bang TH nop'!BH121,0),
0
),
0
)</f>
        <v>0</v>
      </c>
      <c r="U121" s="344"/>
      <c r="V121" s="344"/>
      <c r="W121" s="344"/>
      <c r="X121" s="340">
        <f t="shared" ref="X121" si="1108">+IF(G121-I121&lt;0,0,G121-I121)</f>
        <v>0</v>
      </c>
      <c r="Y121" s="340">
        <f t="shared" ref="Y121" si="1109">+IF(H121-J121&lt;0,0, H121-J121)</f>
        <v>0</v>
      </c>
      <c r="Z121" s="340">
        <f t="shared" ref="Z121" si="1110">IFERROR(
IF(AND(LEN(TRIM(B120))&gt;0,LEN(TRIM(C120))&gt;0),
(X121+Y121)*25%,
0
),
0
)</f>
        <v>0</v>
      </c>
      <c r="AA121" s="340">
        <f>IFERROR(
IF(AND(LEN(TRIM(B120))&gt;0,LEN(TRIM(C120))&gt;0),
'Bang TH nop'!BG121,
0
),
0
)</f>
        <v>0</v>
      </c>
      <c r="AB121" s="344">
        <f t="shared" ref="AB121" si="1111">IFERROR(
IF(AND(LEN(TRIM(B120))&gt;0,LEN(TRIM(C120))&gt;0),
SUM(I121:W121)+IFERROR(Z121,0)+IFERROR(AA121,0),
0
),
0
)</f>
        <v>0</v>
      </c>
      <c r="AC121" s="340">
        <f t="shared" ref="AC121" si="1112">IFERROR(
IF(AND(LEN(TRIM(B120))&gt;0,LEN(TRIM(C120))&gt;0),
IF((26-(IFERROR(I120,0)+IFERROR(K120,0)+IFERROR(L120,0)+IFERROR(M120,0)))&gt;12,0,D121*10.5%),
0
),
0
)</f>
        <v>0</v>
      </c>
      <c r="AD121" s="340">
        <f t="shared" ref="AD121" si="1113">IFERROR(
IF(AND(LEN(TRIM(B120))&gt;0,LEN(TRIM(C120))&gt;0),
ROUND(IF(D121=4939000,D121*0.5%,0),-2),
0
),
0
)</f>
        <v>0</v>
      </c>
      <c r="AE121" s="344">
        <f t="shared" ref="AE121" si="1114">IFERROR(
IF(AND(LEN(TRIM(B120))&gt;0,LEN(TRIM(C120))&gt;0),
ROUND(IFERROR(AB121,0)-IFERROR(AC121,0)-IFERROR(AD121,0),-2),
0
),
0
)</f>
        <v>0</v>
      </c>
      <c r="AF121" s="347">
        <f>IFERROR(
IF(AND(LEN(TRIM(B120))&gt;0,LEN(TRIM(C120))&gt;0),
IFERROR('Bang TH nop'!AQ121,0)+IFERROR('Bang TH nop'!AT121,0)+IFERROR('Bang TH nop'!BF121,0),
0
),
0
)</f>
        <v>0</v>
      </c>
      <c r="AG121" s="348"/>
      <c r="AH121" s="354"/>
      <c r="AI121" s="355">
        <f t="shared" ref="AI121" si="1115">IFERROR(
IF(AND(LEN(TRIM(B120))&gt;0,LEN(TRIM(C120))&gt;0),
AH121/AG121,
0
),
0
)</f>
        <v>0</v>
      </c>
      <c r="AJ121" s="355">
        <f t="shared" ref="AJ121" si="1116">IFERROR(
IF(AND(LEN(TRIM(B120))&gt;0,LEN(TRIM(C120))&gt;0),
AL121/AF121,
0
),
0
)</f>
        <v>0</v>
      </c>
      <c r="AK121" s="356">
        <f t="shared" ref="AK121" si="1117">IFERROR(
IF(AND(LEN(TRIM(B120))&gt;0,LEN(TRIM(C120))&gt;0),
AJ121/AI121,
0
),
0
)</f>
        <v>0</v>
      </c>
      <c r="AL121" s="357">
        <f t="shared" ref="AL121" si="1118">IFERROR(
IF(AND(LEN(TRIM(B120))&gt;0,LEN(TRIM(C120))&gt;0),
AB121/L121,
0
),
0
)</f>
        <v>0</v>
      </c>
    </row>
    <row r="122" spans="1:38" ht="17.100000000000001" customHeight="1">
      <c r="A122" s="424">
        <f t="shared" ref="A122" si="1119">A120+1</f>
        <v>58</v>
      </c>
      <c r="B122" s="426">
        <f>'Bang TH nop'!B123</f>
        <v>0</v>
      </c>
      <c r="C122" s="421">
        <f>IFERROR(IF(LEN(TRIM(B122))&gt;0,'Bang TH nop'!C123,""),"")</f>
        <v>0</v>
      </c>
      <c r="D122" s="398">
        <f>IFERROR(IF(AND(LEN(TRIM(B122))&gt;0,LEN(TRIM(C122))&gt;0),'Bang TH nop'!AO123,""),"")</f>
        <v>0</v>
      </c>
      <c r="E122" s="399"/>
      <c r="F122" s="340"/>
      <c r="G122" s="341"/>
      <c r="H122" s="341"/>
      <c r="I122" s="342">
        <f>IFERROR(IF(AND(LEN(TRIM(B122))&gt;0,LEN(TRIM(C122))&gt;0),'Bang TH nop'!BB123,0),0)</f>
        <v>0</v>
      </c>
      <c r="J122" s="342">
        <f>IFERROR(IF(AND(LEN(TRIM(B122))&gt;0,LEN(TRIM(C122))&gt;0),'Bang TH nop'!AV123,0),0)</f>
        <v>0</v>
      </c>
      <c r="K122" s="342">
        <f>IFERROR(IF(AND(LEN(TRIM(B122))&gt;0,LEN(TRIM(C122))&gt;0),'Bang TH nop'!AR123,0),0)</f>
        <v>0</v>
      </c>
      <c r="L122" s="343">
        <f>IFERROR(IF(AND(LEN(TRIM(B122))&gt;0,LEN(TRIM(C122))&gt;0),'Bang TH nop'!AS123,0),0)</f>
        <v>0</v>
      </c>
      <c r="M122" s="342">
        <f>IFERROR(IF(AND(LEN(TRIM(B122))&gt;0,LEN(TRIM(C122))&gt;0),'Bang TH nop'!AT123,0),0)</f>
        <v>0</v>
      </c>
      <c r="N122" s="344">
        <f>IFERROR(IF(AND(LEN(TRIM(B122))&gt;0,LEN(TRIM(C122))&gt;0),'Bang TH nop'!AU123,0),0)</f>
        <v>0</v>
      </c>
      <c r="O122" s="342">
        <f>IFERROR(IF(AND(LEN(TRIM(B122))&gt;0,LEN(TRIM(C122))&gt;0),'Bang TH nop'!BE123,0),0)</f>
        <v>0</v>
      </c>
      <c r="P122" s="345">
        <f>IFERROR(IF(AND(LEN(TRIM(B122))&gt;0,LEN(TRIM(C122))&gt;0),'Bang TH nop'!AZ123,0),0)</f>
        <v>0</v>
      </c>
      <c r="Q122" s="343"/>
      <c r="R122" s="342"/>
      <c r="S122" s="342"/>
      <c r="T122" s="342"/>
      <c r="U122" s="341"/>
      <c r="V122" s="341"/>
      <c r="W122" s="341"/>
      <c r="X122" s="341"/>
      <c r="Y122" s="341"/>
      <c r="Z122" s="341"/>
      <c r="AA122" s="340" t="str">
        <f>IFERROR(
IF(AND(LEN(TRIM(B122))&gt;0,LEN(TRIM(C122))&gt;0),
'Bang TH nop'!AH123,
0
),
0
)</f>
        <v>A</v>
      </c>
      <c r="AB122" s="346"/>
      <c r="AC122" s="346"/>
      <c r="AD122" s="341"/>
      <c r="AE122" s="346"/>
      <c r="AF122" s="347"/>
      <c r="AG122" s="348"/>
      <c r="AH122" s="349"/>
      <c r="AI122" s="350"/>
      <c r="AJ122" s="351"/>
      <c r="AK122" s="350"/>
      <c r="AL122" s="352"/>
    </row>
    <row r="123" spans="1:38" ht="17.100000000000001" customHeight="1">
      <c r="A123" s="425"/>
      <c r="B123" s="426"/>
      <c r="C123" s="422"/>
      <c r="D123" s="397">
        <f>IFERROR(IF(AND(LEN(TRIM(B122))&gt;0,LEN(TRIM(C122))&gt;0),'Bang TH nop'!AP123,""),"")</f>
        <v>0</v>
      </c>
      <c r="E123" s="397"/>
      <c r="F123" s="353">
        <f>IFERROR(IF(AND(LEN(TRIM(B122))&gt;0,LEN(TRIM(C122))&gt;0),'Bang TH nop'!AL123,0),0)</f>
        <v>0</v>
      </c>
      <c r="G123" s="340">
        <f t="shared" ref="G123" si="1120">D123*I122/26</f>
        <v>0</v>
      </c>
      <c r="H123" s="340">
        <f t="shared" ref="H123" si="1121">D123*J122*150%/(26*8)</f>
        <v>0</v>
      </c>
      <c r="I123" s="340"/>
      <c r="J123" s="340"/>
      <c r="K123" s="344">
        <f t="shared" ref="K123" si="1122">IFERROR(
IF(AND(LEN(TRIM(B122))&gt;0,LEN(TRIM(C122))&gt;0),
ROUND(D123/26*K122,0),
0
),
0
)</f>
        <v>0</v>
      </c>
      <c r="L123" s="344">
        <f t="shared" ref="L123" si="1123">IFERROR(
IF(AND(LEN(TRIM(B122))&gt;0,LEN(TRIM(C122))&gt;0),
ROUND(D123/26*L122,0),
0
),
0
)</f>
        <v>0</v>
      </c>
      <c r="M123" s="344">
        <f t="shared" ref="M123" si="1124">IFERROR(
IF(AND(LEN(TRIM(B122))&gt;0,LEN(TRIM(C122))&gt;0),
ROUND(D123/26*M122,0),
0
),
0
)</f>
        <v>0</v>
      </c>
      <c r="N123" s="344">
        <f t="shared" ref="N123" si="1125">IFERROR(
IF(AND(LEN(TRIM(B122))&gt;0,LEN(TRIM(C122))&gt;0),
D123*N122/(26*8),
0
),
0
)</f>
        <v>0</v>
      </c>
      <c r="O123" s="344">
        <f t="shared" ref="O123" si="1126">IFERROR(
IF(AND(LEN(TRIM(B122))&gt;0,LEN(TRIM(C122))&gt;0),
D123*O122/(26*8),
0
),
0
)</f>
        <v>0</v>
      </c>
      <c r="P123" s="344">
        <f t="shared" ref="P123" si="1127">IFERROR(
IF(AND(LEN(TRIM(B122))&gt;0,LEN(TRIM(C122))&gt;0),
(D123/26/8*P122),
0
),
0
)</f>
        <v>0</v>
      </c>
      <c r="Q123" s="344">
        <f>IFERROR(
IF(AND(LEN(TRIM(B122))&gt;0,LEN(TRIM(C122))&gt;0),
'Bang TH nop'!BC123,
0
),
0
)</f>
        <v>0</v>
      </c>
      <c r="R123" s="340">
        <f>IFERROR(
IF(AND(LEN(TRIM(B122))&gt;0,LEN(TRIM(C122))&gt;0),
'Bang TH nop'!BD123,
0
),
0
)</f>
        <v>0</v>
      </c>
      <c r="S123" s="340">
        <f>IFERROR(
IF(AND(LEN(TRIM(B122))&gt;0,LEN(TRIM(C122))&gt;0),
'Bang TH nop'!BJ123,
0
),
0
)</f>
        <v>0</v>
      </c>
      <c r="T123" s="340">
        <f>IFERROR(
IF(AND(LEN(TRIM(B122))&gt;0,LEN(TRIM(C122))&gt;0),
IFERROR('Bang TH nop'!AW123,0)+IFERROR('Bang TH nop'!BH123,0),
0
),
0
)</f>
        <v>0</v>
      </c>
      <c r="U123" s="344"/>
      <c r="V123" s="344"/>
      <c r="W123" s="344"/>
      <c r="X123" s="340">
        <f t="shared" ref="X123" si="1128">+IF(G123-I123&lt;0,0,G123-I123)</f>
        <v>0</v>
      </c>
      <c r="Y123" s="340">
        <f t="shared" ref="Y123" si="1129">+IF(H123-J123&lt;0,0, H123-J123)</f>
        <v>0</v>
      </c>
      <c r="Z123" s="340">
        <f t="shared" ref="Z123" si="1130">IFERROR(
IF(AND(LEN(TRIM(B122))&gt;0,LEN(TRIM(C122))&gt;0),
(X123+Y123)*25%,
0
),
0
)</f>
        <v>0</v>
      </c>
      <c r="AA123" s="340">
        <f>IFERROR(
IF(AND(LEN(TRIM(B122))&gt;0,LEN(TRIM(C122))&gt;0),
'Bang TH nop'!BG123,
0
),
0
)</f>
        <v>0</v>
      </c>
      <c r="AB123" s="344">
        <f t="shared" ref="AB123" si="1131">IFERROR(
IF(AND(LEN(TRIM(B122))&gt;0,LEN(TRIM(C122))&gt;0),
SUM(I123:W123)+IFERROR(Z123,0)+IFERROR(AA123,0),
0
),
0
)</f>
        <v>0</v>
      </c>
      <c r="AC123" s="340">
        <f t="shared" ref="AC123" si="1132">IFERROR(
IF(AND(LEN(TRIM(B122))&gt;0,LEN(TRIM(C122))&gt;0),
IF((26-(IFERROR(I122,0)+IFERROR(K122,0)+IFERROR(L122,0)+IFERROR(M122,0)))&gt;12,0,D123*10.5%),
0
),
0
)</f>
        <v>0</v>
      </c>
      <c r="AD123" s="340">
        <f t="shared" ref="AD123" si="1133">IFERROR(
IF(AND(LEN(TRIM(B122))&gt;0,LEN(TRIM(C122))&gt;0),
ROUND(IF(D123=4939000,D123*0.5%,0),-2),
0
),
0
)</f>
        <v>0</v>
      </c>
      <c r="AE123" s="344">
        <f t="shared" ref="AE123" si="1134">IFERROR(
IF(AND(LEN(TRIM(B122))&gt;0,LEN(TRIM(C122))&gt;0),
ROUND(IFERROR(AB123,0)-IFERROR(AC123,0)-IFERROR(AD123,0),-2),
0
),
0
)</f>
        <v>0</v>
      </c>
      <c r="AF123" s="347">
        <f>IFERROR(
IF(AND(LEN(TRIM(B122))&gt;0,LEN(TRIM(C122))&gt;0),
IFERROR('Bang TH nop'!AQ123,0)+IFERROR('Bang TH nop'!AT123,0)+IFERROR('Bang TH nop'!BF123,0),
0
),
0
)</f>
        <v>0</v>
      </c>
      <c r="AG123" s="348"/>
      <c r="AH123" s="354"/>
      <c r="AI123" s="355">
        <f t="shared" ref="AI123" si="1135">IFERROR(
IF(AND(LEN(TRIM(B122))&gt;0,LEN(TRIM(C122))&gt;0),
AH123/AG123,
0
),
0
)</f>
        <v>0</v>
      </c>
      <c r="AJ123" s="355">
        <f t="shared" ref="AJ123" si="1136">IFERROR(
IF(AND(LEN(TRIM(B122))&gt;0,LEN(TRIM(C122))&gt;0),
AL123/AF123,
0
),
0
)</f>
        <v>0</v>
      </c>
      <c r="AK123" s="356">
        <f t="shared" ref="AK123" si="1137">IFERROR(
IF(AND(LEN(TRIM(B122))&gt;0,LEN(TRIM(C122))&gt;0),
AJ123/AI123,
0
),
0
)</f>
        <v>0</v>
      </c>
      <c r="AL123" s="357">
        <f t="shared" ref="AL123" si="1138">IFERROR(
IF(AND(LEN(TRIM(B122))&gt;0,LEN(TRIM(C122))&gt;0),
AB123/L123,
0
),
0
)</f>
        <v>0</v>
      </c>
    </row>
    <row r="124" spans="1:38" ht="17.100000000000001" customHeight="1">
      <c r="A124" s="424">
        <f t="shared" ref="A124" si="1139">A122+1</f>
        <v>59</v>
      </c>
      <c r="B124" s="426">
        <f>'Bang TH nop'!B125</f>
        <v>0</v>
      </c>
      <c r="C124" s="421">
        <f>IFERROR(IF(LEN(TRIM(B124))&gt;0,'Bang TH nop'!C125,""),"")</f>
        <v>0</v>
      </c>
      <c r="D124" s="398">
        <f>IFERROR(IF(AND(LEN(TRIM(B124))&gt;0,LEN(TRIM(C124))&gt;0),'Bang TH nop'!AO125,""),"")</f>
        <v>0</v>
      </c>
      <c r="E124" s="399"/>
      <c r="F124" s="340"/>
      <c r="G124" s="341"/>
      <c r="H124" s="341"/>
      <c r="I124" s="342">
        <f>IFERROR(IF(AND(LEN(TRIM(B124))&gt;0,LEN(TRIM(C124))&gt;0),'Bang TH nop'!BB125,0),0)</f>
        <v>0</v>
      </c>
      <c r="J124" s="342">
        <f>IFERROR(IF(AND(LEN(TRIM(B124))&gt;0,LEN(TRIM(C124))&gt;0),'Bang TH nop'!AV125,0),0)</f>
        <v>0</v>
      </c>
      <c r="K124" s="342">
        <f>IFERROR(IF(AND(LEN(TRIM(B124))&gt;0,LEN(TRIM(C124))&gt;0),'Bang TH nop'!AR125,0),0)</f>
        <v>0</v>
      </c>
      <c r="L124" s="343">
        <f>IFERROR(IF(AND(LEN(TRIM(B124))&gt;0,LEN(TRIM(C124))&gt;0),'Bang TH nop'!AS125,0),0)</f>
        <v>0</v>
      </c>
      <c r="M124" s="342">
        <f>IFERROR(IF(AND(LEN(TRIM(B124))&gt;0,LEN(TRIM(C124))&gt;0),'Bang TH nop'!AT125,0),0)</f>
        <v>0</v>
      </c>
      <c r="N124" s="344">
        <f>IFERROR(IF(AND(LEN(TRIM(B124))&gt;0,LEN(TRIM(C124))&gt;0),'Bang TH nop'!AU125,0),0)</f>
        <v>0</v>
      </c>
      <c r="O124" s="342">
        <f>IFERROR(IF(AND(LEN(TRIM(B124))&gt;0,LEN(TRIM(C124))&gt;0),'Bang TH nop'!BE125,0),0)</f>
        <v>0</v>
      </c>
      <c r="P124" s="345">
        <f>IFERROR(IF(AND(LEN(TRIM(B124))&gt;0,LEN(TRIM(C124))&gt;0),'Bang TH nop'!AZ125,0),0)</f>
        <v>0</v>
      </c>
      <c r="Q124" s="343"/>
      <c r="R124" s="342"/>
      <c r="S124" s="342"/>
      <c r="T124" s="342"/>
      <c r="U124" s="341"/>
      <c r="V124" s="341"/>
      <c r="W124" s="341"/>
      <c r="X124" s="341"/>
      <c r="Y124" s="341"/>
      <c r="Z124" s="341"/>
      <c r="AA124" s="340" t="str">
        <f>IFERROR(
IF(AND(LEN(TRIM(B124))&gt;0,LEN(TRIM(C124))&gt;0),
'Bang TH nop'!AH125,
0
),
0
)</f>
        <v>A</v>
      </c>
      <c r="AB124" s="346"/>
      <c r="AC124" s="346"/>
      <c r="AD124" s="341"/>
      <c r="AE124" s="346"/>
      <c r="AF124" s="347"/>
      <c r="AG124" s="348"/>
      <c r="AH124" s="349"/>
      <c r="AI124" s="350"/>
      <c r="AJ124" s="351"/>
      <c r="AK124" s="350"/>
      <c r="AL124" s="352"/>
    </row>
    <row r="125" spans="1:38" ht="17.100000000000001" customHeight="1">
      <c r="A125" s="425"/>
      <c r="B125" s="426"/>
      <c r="C125" s="422"/>
      <c r="D125" s="397">
        <f>IFERROR(IF(AND(LEN(TRIM(B124))&gt;0,LEN(TRIM(C124))&gt;0),'Bang TH nop'!AP125,""),"")</f>
        <v>0</v>
      </c>
      <c r="E125" s="397"/>
      <c r="F125" s="353">
        <f>IFERROR(IF(AND(LEN(TRIM(B124))&gt;0,LEN(TRIM(C124))&gt;0),'Bang TH nop'!AL125,0),0)</f>
        <v>0</v>
      </c>
      <c r="G125" s="340">
        <f t="shared" ref="G125" si="1140">D125*I124/26</f>
        <v>0</v>
      </c>
      <c r="H125" s="340">
        <f t="shared" ref="H125" si="1141">D125*J124*150%/(26*8)</f>
        <v>0</v>
      </c>
      <c r="I125" s="340"/>
      <c r="J125" s="340"/>
      <c r="K125" s="344">
        <f t="shared" ref="K125" si="1142">IFERROR(
IF(AND(LEN(TRIM(B124))&gt;0,LEN(TRIM(C124))&gt;0),
ROUND(D125/26*K124,0),
0
),
0
)</f>
        <v>0</v>
      </c>
      <c r="L125" s="344">
        <f t="shared" ref="L125" si="1143">IFERROR(
IF(AND(LEN(TRIM(B124))&gt;0,LEN(TRIM(C124))&gt;0),
ROUND(D125/26*L124,0),
0
),
0
)</f>
        <v>0</v>
      </c>
      <c r="M125" s="344">
        <f t="shared" ref="M125" si="1144">IFERROR(
IF(AND(LEN(TRIM(B124))&gt;0,LEN(TRIM(C124))&gt;0),
ROUND(D125/26*M124,0),
0
),
0
)</f>
        <v>0</v>
      </c>
      <c r="N125" s="344">
        <f t="shared" ref="N125" si="1145">IFERROR(
IF(AND(LEN(TRIM(B124))&gt;0,LEN(TRIM(C124))&gt;0),
D125*N124/(26*8),
0
),
0
)</f>
        <v>0</v>
      </c>
      <c r="O125" s="344">
        <f t="shared" ref="O125" si="1146">IFERROR(
IF(AND(LEN(TRIM(B124))&gt;0,LEN(TRIM(C124))&gt;0),
D125*O124/(26*8),
0
),
0
)</f>
        <v>0</v>
      </c>
      <c r="P125" s="344">
        <f t="shared" ref="P125" si="1147">IFERROR(
IF(AND(LEN(TRIM(B124))&gt;0,LEN(TRIM(C124))&gt;0),
(D125/26/8*P124),
0
),
0
)</f>
        <v>0</v>
      </c>
      <c r="Q125" s="344">
        <f>IFERROR(
IF(AND(LEN(TRIM(B124))&gt;0,LEN(TRIM(C124))&gt;0),
'Bang TH nop'!BC125,
0
),
0
)</f>
        <v>0</v>
      </c>
      <c r="R125" s="340">
        <f>IFERROR(
IF(AND(LEN(TRIM(B124))&gt;0,LEN(TRIM(C124))&gt;0),
'Bang TH nop'!BD125,
0
),
0
)</f>
        <v>0</v>
      </c>
      <c r="S125" s="340">
        <f>IFERROR(
IF(AND(LEN(TRIM(B124))&gt;0,LEN(TRIM(C124))&gt;0),
'Bang TH nop'!BJ125,
0
),
0
)</f>
        <v>0</v>
      </c>
      <c r="T125" s="340">
        <f>IFERROR(
IF(AND(LEN(TRIM(B124))&gt;0,LEN(TRIM(C124))&gt;0),
IFERROR('Bang TH nop'!AW125,0)+IFERROR('Bang TH nop'!BH125,0),
0
),
0
)</f>
        <v>0</v>
      </c>
      <c r="U125" s="344"/>
      <c r="V125" s="344"/>
      <c r="W125" s="344"/>
      <c r="X125" s="340">
        <f t="shared" ref="X125" si="1148">+IF(G125-I125&lt;0,0,G125-I125)</f>
        <v>0</v>
      </c>
      <c r="Y125" s="340">
        <f t="shared" ref="Y125" si="1149">+IF(H125-J125&lt;0,0, H125-J125)</f>
        <v>0</v>
      </c>
      <c r="Z125" s="340">
        <f t="shared" ref="Z125" si="1150">IFERROR(
IF(AND(LEN(TRIM(B124))&gt;0,LEN(TRIM(C124))&gt;0),
(X125+Y125)*25%,
0
),
0
)</f>
        <v>0</v>
      </c>
      <c r="AA125" s="340">
        <f>IFERROR(
IF(AND(LEN(TRIM(B124))&gt;0,LEN(TRIM(C124))&gt;0),
'Bang TH nop'!BG125,
0
),
0
)</f>
        <v>0</v>
      </c>
      <c r="AB125" s="344">
        <f t="shared" ref="AB125" si="1151">IFERROR(
IF(AND(LEN(TRIM(B124))&gt;0,LEN(TRIM(C124))&gt;0),
SUM(I125:W125)+IFERROR(Z125,0)+IFERROR(AA125,0),
0
),
0
)</f>
        <v>0</v>
      </c>
      <c r="AC125" s="340">
        <f t="shared" ref="AC125" si="1152">IFERROR(
IF(AND(LEN(TRIM(B124))&gt;0,LEN(TRIM(C124))&gt;0),
IF((26-(IFERROR(I124,0)+IFERROR(K124,0)+IFERROR(L124,0)+IFERROR(M124,0)))&gt;12,0,D125*10.5%),
0
),
0
)</f>
        <v>0</v>
      </c>
      <c r="AD125" s="340">
        <f t="shared" ref="AD125" si="1153">IFERROR(
IF(AND(LEN(TRIM(B124))&gt;0,LEN(TRIM(C124))&gt;0),
ROUND(IF(D125=4939000,D125*0.5%,0),-2),
0
),
0
)</f>
        <v>0</v>
      </c>
      <c r="AE125" s="344">
        <f t="shared" ref="AE125" si="1154">IFERROR(
IF(AND(LEN(TRIM(B124))&gt;0,LEN(TRIM(C124))&gt;0),
ROUND(IFERROR(AB125,0)-IFERROR(AC125,0)-IFERROR(AD125,0),-2),
0
),
0
)</f>
        <v>0</v>
      </c>
      <c r="AF125" s="347">
        <f>IFERROR(
IF(AND(LEN(TRIM(B124))&gt;0,LEN(TRIM(C124))&gt;0),
IFERROR('Bang TH nop'!AQ125,0)+IFERROR('Bang TH nop'!AT125,0)+IFERROR('Bang TH nop'!BF125,0),
0
),
0
)</f>
        <v>0</v>
      </c>
      <c r="AG125" s="348"/>
      <c r="AH125" s="354"/>
      <c r="AI125" s="355">
        <f t="shared" ref="AI125" si="1155">IFERROR(
IF(AND(LEN(TRIM(B124))&gt;0,LEN(TRIM(C124))&gt;0),
AH125/AG125,
0
),
0
)</f>
        <v>0</v>
      </c>
      <c r="AJ125" s="355">
        <f t="shared" ref="AJ125" si="1156">IFERROR(
IF(AND(LEN(TRIM(B124))&gt;0,LEN(TRIM(C124))&gt;0),
AL125/AF125,
0
),
0
)</f>
        <v>0</v>
      </c>
      <c r="AK125" s="356">
        <f t="shared" ref="AK125" si="1157">IFERROR(
IF(AND(LEN(TRIM(B124))&gt;0,LEN(TRIM(C124))&gt;0),
AJ125/AI125,
0
),
0
)</f>
        <v>0</v>
      </c>
      <c r="AL125" s="357">
        <f t="shared" ref="AL125" si="1158">IFERROR(
IF(AND(LEN(TRIM(B124))&gt;0,LEN(TRIM(C124))&gt;0),
AB125/L125,
0
),
0
)</f>
        <v>0</v>
      </c>
    </row>
    <row r="126" spans="1:38" ht="17.100000000000001" customHeight="1">
      <c r="A126" s="424">
        <f t="shared" ref="A126" si="1159">A124+1</f>
        <v>60</v>
      </c>
      <c r="B126" s="426">
        <f>'Bang TH nop'!B127</f>
        <v>0</v>
      </c>
      <c r="C126" s="421">
        <f>IFERROR(IF(LEN(TRIM(B126))&gt;0,'Bang TH nop'!C127,""),"")</f>
        <v>0</v>
      </c>
      <c r="D126" s="398">
        <f>IFERROR(IF(AND(LEN(TRIM(B126))&gt;0,LEN(TRIM(C126))&gt;0),'Bang TH nop'!AO127,""),"")</f>
        <v>0</v>
      </c>
      <c r="E126" s="399"/>
      <c r="F126" s="340"/>
      <c r="G126" s="341"/>
      <c r="H126" s="341"/>
      <c r="I126" s="342">
        <f>IFERROR(IF(AND(LEN(TRIM(B126))&gt;0,LEN(TRIM(C126))&gt;0),'Bang TH nop'!BB127,0),0)</f>
        <v>0</v>
      </c>
      <c r="J126" s="342">
        <f>IFERROR(IF(AND(LEN(TRIM(B126))&gt;0,LEN(TRIM(C126))&gt;0),'Bang TH nop'!AV127,0),0)</f>
        <v>0</v>
      </c>
      <c r="K126" s="342">
        <f>IFERROR(IF(AND(LEN(TRIM(B126))&gt;0,LEN(TRIM(C126))&gt;0),'Bang TH nop'!AR127,0),0)</f>
        <v>0</v>
      </c>
      <c r="L126" s="343">
        <f>IFERROR(IF(AND(LEN(TRIM(B126))&gt;0,LEN(TRIM(C126))&gt;0),'Bang TH nop'!AS127,0),0)</f>
        <v>0</v>
      </c>
      <c r="M126" s="342">
        <f>IFERROR(IF(AND(LEN(TRIM(B126))&gt;0,LEN(TRIM(C126))&gt;0),'Bang TH nop'!AT127,0),0)</f>
        <v>0</v>
      </c>
      <c r="N126" s="344">
        <f>IFERROR(IF(AND(LEN(TRIM(B126))&gt;0,LEN(TRIM(C126))&gt;0),'Bang TH nop'!AU127,0),0)</f>
        <v>0</v>
      </c>
      <c r="O126" s="342">
        <f>IFERROR(IF(AND(LEN(TRIM(B126))&gt;0,LEN(TRIM(C126))&gt;0),'Bang TH nop'!BE127,0),0)</f>
        <v>0</v>
      </c>
      <c r="P126" s="345">
        <f>IFERROR(IF(AND(LEN(TRIM(B126))&gt;0,LEN(TRIM(C126))&gt;0),'Bang TH nop'!AZ127,0),0)</f>
        <v>0</v>
      </c>
      <c r="Q126" s="343"/>
      <c r="R126" s="342"/>
      <c r="S126" s="342"/>
      <c r="T126" s="342"/>
      <c r="U126" s="341"/>
      <c r="V126" s="341"/>
      <c r="W126" s="341"/>
      <c r="X126" s="341"/>
      <c r="Y126" s="341"/>
      <c r="Z126" s="341"/>
      <c r="AA126" s="340" t="str">
        <f>IFERROR(
IF(AND(LEN(TRIM(B126))&gt;0,LEN(TRIM(C126))&gt;0),
'Bang TH nop'!AH127,
0
),
0
)</f>
        <v>A</v>
      </c>
      <c r="AB126" s="346"/>
      <c r="AC126" s="346"/>
      <c r="AD126" s="341"/>
      <c r="AE126" s="346"/>
      <c r="AF126" s="347"/>
      <c r="AG126" s="348"/>
      <c r="AH126" s="349"/>
      <c r="AI126" s="350"/>
      <c r="AJ126" s="351"/>
      <c r="AK126" s="350"/>
      <c r="AL126" s="352"/>
    </row>
    <row r="127" spans="1:38" ht="17.100000000000001" customHeight="1">
      <c r="A127" s="425"/>
      <c r="B127" s="426"/>
      <c r="C127" s="422"/>
      <c r="D127" s="397">
        <f>IFERROR(IF(AND(LEN(TRIM(B126))&gt;0,LEN(TRIM(C126))&gt;0),'Bang TH nop'!AP127,""),"")</f>
        <v>0</v>
      </c>
      <c r="E127" s="397"/>
      <c r="F127" s="353">
        <f>IFERROR(IF(AND(LEN(TRIM(B126))&gt;0,LEN(TRIM(C126))&gt;0),'Bang TH nop'!AL127,0),0)</f>
        <v>0</v>
      </c>
      <c r="G127" s="340">
        <f t="shared" ref="G127" si="1160">D127*I126/26</f>
        <v>0</v>
      </c>
      <c r="H127" s="340">
        <f t="shared" ref="H127" si="1161">D127*J126*150%/(26*8)</f>
        <v>0</v>
      </c>
      <c r="I127" s="340"/>
      <c r="J127" s="340"/>
      <c r="K127" s="344">
        <f t="shared" ref="K127" si="1162">IFERROR(
IF(AND(LEN(TRIM(B126))&gt;0,LEN(TRIM(C126))&gt;0),
ROUND(D127/26*K126,0),
0
),
0
)</f>
        <v>0</v>
      </c>
      <c r="L127" s="344">
        <f t="shared" ref="L127" si="1163">IFERROR(
IF(AND(LEN(TRIM(B126))&gt;0,LEN(TRIM(C126))&gt;0),
ROUND(D127/26*L126,0),
0
),
0
)</f>
        <v>0</v>
      </c>
      <c r="M127" s="344">
        <f t="shared" ref="M127" si="1164">IFERROR(
IF(AND(LEN(TRIM(B126))&gt;0,LEN(TRIM(C126))&gt;0),
ROUND(D127/26*M126,0),
0
),
0
)</f>
        <v>0</v>
      </c>
      <c r="N127" s="344">
        <f t="shared" ref="N127" si="1165">IFERROR(
IF(AND(LEN(TRIM(B126))&gt;0,LEN(TRIM(C126))&gt;0),
D127*N126/(26*8),
0
),
0
)</f>
        <v>0</v>
      </c>
      <c r="O127" s="344">
        <f t="shared" ref="O127" si="1166">IFERROR(
IF(AND(LEN(TRIM(B126))&gt;0,LEN(TRIM(C126))&gt;0),
D127*O126/(26*8),
0
),
0
)</f>
        <v>0</v>
      </c>
      <c r="P127" s="344">
        <f t="shared" ref="P127" si="1167">IFERROR(
IF(AND(LEN(TRIM(B126))&gt;0,LEN(TRIM(C126))&gt;0),
(D127/26/8*P126),
0
),
0
)</f>
        <v>0</v>
      </c>
      <c r="Q127" s="344">
        <f>IFERROR(
IF(AND(LEN(TRIM(B126))&gt;0,LEN(TRIM(C126))&gt;0),
'Bang TH nop'!BC127,
0
),
0
)</f>
        <v>0</v>
      </c>
      <c r="R127" s="340">
        <f>IFERROR(
IF(AND(LEN(TRIM(B126))&gt;0,LEN(TRIM(C126))&gt;0),
'Bang TH nop'!BD127,
0
),
0
)</f>
        <v>0</v>
      </c>
      <c r="S127" s="340">
        <f>IFERROR(
IF(AND(LEN(TRIM(B126))&gt;0,LEN(TRIM(C126))&gt;0),
'Bang TH nop'!BJ127,
0
),
0
)</f>
        <v>0</v>
      </c>
      <c r="T127" s="340">
        <f>IFERROR(
IF(AND(LEN(TRIM(B126))&gt;0,LEN(TRIM(C126))&gt;0),
IFERROR('Bang TH nop'!AW127,0)+IFERROR('Bang TH nop'!BH127,0),
0
),
0
)</f>
        <v>0</v>
      </c>
      <c r="U127" s="344"/>
      <c r="V127" s="344"/>
      <c r="W127" s="344"/>
      <c r="X127" s="340">
        <f t="shared" ref="X127" si="1168">+IF(G127-I127&lt;0,0,G127-I127)</f>
        <v>0</v>
      </c>
      <c r="Y127" s="340">
        <f t="shared" ref="Y127" si="1169">+IF(H127-J127&lt;0,0, H127-J127)</f>
        <v>0</v>
      </c>
      <c r="Z127" s="340">
        <f t="shared" ref="Z127" si="1170">IFERROR(
IF(AND(LEN(TRIM(B126))&gt;0,LEN(TRIM(C126))&gt;0),
(X127+Y127)*25%,
0
),
0
)</f>
        <v>0</v>
      </c>
      <c r="AA127" s="340">
        <f>IFERROR(
IF(AND(LEN(TRIM(B126))&gt;0,LEN(TRIM(C126))&gt;0),
'Bang TH nop'!BG127,
0
),
0
)</f>
        <v>0</v>
      </c>
      <c r="AB127" s="344">
        <f t="shared" ref="AB127" si="1171">IFERROR(
IF(AND(LEN(TRIM(B126))&gt;0,LEN(TRIM(C126))&gt;0),
SUM(I127:W127)+IFERROR(Z127,0)+IFERROR(AA127,0),
0
),
0
)</f>
        <v>0</v>
      </c>
      <c r="AC127" s="340">
        <f t="shared" ref="AC127" si="1172">IFERROR(
IF(AND(LEN(TRIM(B126))&gt;0,LEN(TRIM(C126))&gt;0),
IF((26-(IFERROR(I126,0)+IFERROR(K126,0)+IFERROR(L126,0)+IFERROR(M126,0)))&gt;12,0,D127*10.5%),
0
),
0
)</f>
        <v>0</v>
      </c>
      <c r="AD127" s="340">
        <f t="shared" ref="AD127" si="1173">IFERROR(
IF(AND(LEN(TRIM(B126))&gt;0,LEN(TRIM(C126))&gt;0),
ROUND(IF(D127=4939000,D127*0.5%,0),-2),
0
),
0
)</f>
        <v>0</v>
      </c>
      <c r="AE127" s="344">
        <f t="shared" ref="AE127" si="1174">IFERROR(
IF(AND(LEN(TRIM(B126))&gt;0,LEN(TRIM(C126))&gt;0),
ROUND(IFERROR(AB127,0)-IFERROR(AC127,0)-IFERROR(AD127,0),-2),
0
),
0
)</f>
        <v>0</v>
      </c>
      <c r="AF127" s="347">
        <f>IFERROR(
IF(AND(LEN(TRIM(B126))&gt;0,LEN(TRIM(C126))&gt;0),
IFERROR('Bang TH nop'!AQ127,0)+IFERROR('Bang TH nop'!AT127,0)+IFERROR('Bang TH nop'!BF127,0),
0
),
0
)</f>
        <v>0</v>
      </c>
      <c r="AG127" s="348"/>
      <c r="AH127" s="354"/>
      <c r="AI127" s="355">
        <f t="shared" ref="AI127" si="1175">IFERROR(
IF(AND(LEN(TRIM(B126))&gt;0,LEN(TRIM(C126))&gt;0),
AH127/AG127,
0
),
0
)</f>
        <v>0</v>
      </c>
      <c r="AJ127" s="355">
        <f t="shared" ref="AJ127" si="1176">IFERROR(
IF(AND(LEN(TRIM(B126))&gt;0,LEN(TRIM(C126))&gt;0),
AL127/AF127,
0
),
0
)</f>
        <v>0</v>
      </c>
      <c r="AK127" s="356">
        <f t="shared" ref="AK127" si="1177">IFERROR(
IF(AND(LEN(TRIM(B126))&gt;0,LEN(TRIM(C126))&gt;0),
AJ127/AI127,
0
),
0
)</f>
        <v>0</v>
      </c>
      <c r="AL127" s="357">
        <f t="shared" ref="AL127" si="1178">IFERROR(
IF(AND(LEN(TRIM(B126))&gt;0,LEN(TRIM(C126))&gt;0),
AB127/L127,
0
),
0
)</f>
        <v>0</v>
      </c>
    </row>
    <row r="128" spans="1:38" ht="17.100000000000001" customHeight="1">
      <c r="A128" s="424">
        <f t="shared" ref="A128" si="1179">A126+1</f>
        <v>61</v>
      </c>
      <c r="B128" s="426">
        <f>'Bang TH nop'!B129</f>
        <v>0</v>
      </c>
      <c r="C128" s="421">
        <f>IFERROR(IF(LEN(TRIM(B128))&gt;0,'Bang TH nop'!C129,""),"")</f>
        <v>0</v>
      </c>
      <c r="D128" s="398">
        <f>IFERROR(IF(AND(LEN(TRIM(B128))&gt;0,LEN(TRIM(C128))&gt;0),'Bang TH nop'!AO129,""),"")</f>
        <v>0</v>
      </c>
      <c r="E128" s="399"/>
      <c r="F128" s="340"/>
      <c r="G128" s="341"/>
      <c r="H128" s="341"/>
      <c r="I128" s="342">
        <f>IFERROR(IF(AND(LEN(TRIM(B128))&gt;0,LEN(TRIM(C128))&gt;0),'Bang TH nop'!BB129,0),0)</f>
        <v>0</v>
      </c>
      <c r="J128" s="342">
        <f>IFERROR(IF(AND(LEN(TRIM(B128))&gt;0,LEN(TRIM(C128))&gt;0),'Bang TH nop'!AV129,0),0)</f>
        <v>0</v>
      </c>
      <c r="K128" s="342">
        <f>IFERROR(IF(AND(LEN(TRIM(B128))&gt;0,LEN(TRIM(C128))&gt;0),'Bang TH nop'!AR129,0),0)</f>
        <v>0</v>
      </c>
      <c r="L128" s="343">
        <f>IFERROR(IF(AND(LEN(TRIM(B128))&gt;0,LEN(TRIM(C128))&gt;0),'Bang TH nop'!AS129,0),0)</f>
        <v>0</v>
      </c>
      <c r="M128" s="342">
        <f>IFERROR(IF(AND(LEN(TRIM(B128))&gt;0,LEN(TRIM(C128))&gt;0),'Bang TH nop'!AT129,0),0)</f>
        <v>0</v>
      </c>
      <c r="N128" s="344">
        <f>IFERROR(IF(AND(LEN(TRIM(B128))&gt;0,LEN(TRIM(C128))&gt;0),'Bang TH nop'!AU129,0),0)</f>
        <v>0</v>
      </c>
      <c r="O128" s="342">
        <f>IFERROR(IF(AND(LEN(TRIM(B128))&gt;0,LEN(TRIM(C128))&gt;0),'Bang TH nop'!BE129,0),0)</f>
        <v>0</v>
      </c>
      <c r="P128" s="345">
        <f>IFERROR(IF(AND(LEN(TRIM(B128))&gt;0,LEN(TRIM(C128))&gt;0),'Bang TH nop'!AZ129,0),0)</f>
        <v>0</v>
      </c>
      <c r="Q128" s="343"/>
      <c r="R128" s="342"/>
      <c r="S128" s="342"/>
      <c r="T128" s="342"/>
      <c r="U128" s="341"/>
      <c r="V128" s="341"/>
      <c r="W128" s="341"/>
      <c r="X128" s="341"/>
      <c r="Y128" s="341"/>
      <c r="Z128" s="341"/>
      <c r="AA128" s="340" t="str">
        <f>IFERROR(
IF(AND(LEN(TRIM(B128))&gt;0,LEN(TRIM(C128))&gt;0),
'Bang TH nop'!AH129,
0
),
0
)</f>
        <v>A</v>
      </c>
      <c r="AB128" s="346"/>
      <c r="AC128" s="346"/>
      <c r="AD128" s="341"/>
      <c r="AE128" s="346"/>
      <c r="AF128" s="347"/>
      <c r="AG128" s="348"/>
      <c r="AH128" s="349"/>
      <c r="AI128" s="350"/>
      <c r="AJ128" s="351"/>
      <c r="AK128" s="350"/>
      <c r="AL128" s="352"/>
    </row>
    <row r="129" spans="1:38" ht="17.100000000000001" customHeight="1">
      <c r="A129" s="425"/>
      <c r="B129" s="426"/>
      <c r="C129" s="422"/>
      <c r="D129" s="397">
        <f>IFERROR(IF(AND(LEN(TRIM(B128))&gt;0,LEN(TRIM(C128))&gt;0),'Bang TH nop'!AP129,""),"")</f>
        <v>0</v>
      </c>
      <c r="E129" s="397"/>
      <c r="F129" s="353">
        <f>IFERROR(IF(AND(LEN(TRIM(B128))&gt;0,LEN(TRIM(C128))&gt;0),'Bang TH nop'!AL129,0),0)</f>
        <v>0</v>
      </c>
      <c r="G129" s="340">
        <f t="shared" ref="G129" si="1180">D129*I128/26</f>
        <v>0</v>
      </c>
      <c r="H129" s="340">
        <f t="shared" ref="H129" si="1181">D129*J128*150%/(26*8)</f>
        <v>0</v>
      </c>
      <c r="I129" s="340"/>
      <c r="J129" s="340"/>
      <c r="K129" s="344">
        <f t="shared" ref="K129" si="1182">IFERROR(
IF(AND(LEN(TRIM(B128))&gt;0,LEN(TRIM(C128))&gt;0),
ROUND(D129/26*K128,0),
0
),
0
)</f>
        <v>0</v>
      </c>
      <c r="L129" s="344">
        <f t="shared" ref="L129" si="1183">IFERROR(
IF(AND(LEN(TRIM(B128))&gt;0,LEN(TRIM(C128))&gt;0),
ROUND(D129/26*L128,0),
0
),
0
)</f>
        <v>0</v>
      </c>
      <c r="M129" s="344">
        <f t="shared" ref="M129" si="1184">IFERROR(
IF(AND(LEN(TRIM(B128))&gt;0,LEN(TRIM(C128))&gt;0),
ROUND(D129/26*M128,0),
0
),
0
)</f>
        <v>0</v>
      </c>
      <c r="N129" s="344">
        <f t="shared" ref="N129" si="1185">IFERROR(
IF(AND(LEN(TRIM(B128))&gt;0,LEN(TRIM(C128))&gt;0),
D129*N128/(26*8),
0
),
0
)</f>
        <v>0</v>
      </c>
      <c r="O129" s="344">
        <f t="shared" ref="O129" si="1186">IFERROR(
IF(AND(LEN(TRIM(B128))&gt;0,LEN(TRIM(C128))&gt;0),
D129*O128/(26*8),
0
),
0
)</f>
        <v>0</v>
      </c>
      <c r="P129" s="344">
        <f t="shared" ref="P129" si="1187">IFERROR(
IF(AND(LEN(TRIM(B128))&gt;0,LEN(TRIM(C128))&gt;0),
(D129/26/8*P128),
0
),
0
)</f>
        <v>0</v>
      </c>
      <c r="Q129" s="344">
        <f>IFERROR(
IF(AND(LEN(TRIM(B128))&gt;0,LEN(TRIM(C128))&gt;0),
'Bang TH nop'!BC129,
0
),
0
)</f>
        <v>0</v>
      </c>
      <c r="R129" s="340">
        <f>IFERROR(
IF(AND(LEN(TRIM(B128))&gt;0,LEN(TRIM(C128))&gt;0),
'Bang TH nop'!BD129,
0
),
0
)</f>
        <v>0</v>
      </c>
      <c r="S129" s="340">
        <f>IFERROR(
IF(AND(LEN(TRIM(B128))&gt;0,LEN(TRIM(C128))&gt;0),
'Bang TH nop'!BJ129,
0
),
0
)</f>
        <v>0</v>
      </c>
      <c r="T129" s="340">
        <f>IFERROR(
IF(AND(LEN(TRIM(B128))&gt;0,LEN(TRIM(C128))&gt;0),
IFERROR('Bang TH nop'!AW129,0)+IFERROR('Bang TH nop'!BH129,0),
0
),
0
)</f>
        <v>0</v>
      </c>
      <c r="U129" s="344"/>
      <c r="V129" s="344"/>
      <c r="W129" s="344"/>
      <c r="X129" s="340">
        <f t="shared" ref="X129" si="1188">+IF(G129-I129&lt;0,0,G129-I129)</f>
        <v>0</v>
      </c>
      <c r="Y129" s="340">
        <f t="shared" ref="Y129" si="1189">+IF(H129-J129&lt;0,0, H129-J129)</f>
        <v>0</v>
      </c>
      <c r="Z129" s="340">
        <f t="shared" ref="Z129" si="1190">IFERROR(
IF(AND(LEN(TRIM(B128))&gt;0,LEN(TRIM(C128))&gt;0),
(X129+Y129)*25%,
0
),
0
)</f>
        <v>0</v>
      </c>
      <c r="AA129" s="340">
        <f>IFERROR(
IF(AND(LEN(TRIM(B128))&gt;0,LEN(TRIM(C128))&gt;0),
'Bang TH nop'!BG129,
0
),
0
)</f>
        <v>0</v>
      </c>
      <c r="AB129" s="344">
        <f t="shared" ref="AB129" si="1191">IFERROR(
IF(AND(LEN(TRIM(B128))&gt;0,LEN(TRIM(C128))&gt;0),
SUM(I129:W129)+IFERROR(Z129,0)+IFERROR(AA129,0),
0
),
0
)</f>
        <v>0</v>
      </c>
      <c r="AC129" s="340">
        <f t="shared" ref="AC129" si="1192">IFERROR(
IF(AND(LEN(TRIM(B128))&gt;0,LEN(TRIM(C128))&gt;0),
IF((26-(IFERROR(I128,0)+IFERROR(K128,0)+IFERROR(L128,0)+IFERROR(M128,0)))&gt;12,0,D129*10.5%),
0
),
0
)</f>
        <v>0</v>
      </c>
      <c r="AD129" s="340">
        <f t="shared" ref="AD129" si="1193">IFERROR(
IF(AND(LEN(TRIM(B128))&gt;0,LEN(TRIM(C128))&gt;0),
ROUND(IF(D129=4939000,D129*0.5%,0),-2),
0
),
0
)</f>
        <v>0</v>
      </c>
      <c r="AE129" s="344">
        <f t="shared" ref="AE129" si="1194">IFERROR(
IF(AND(LEN(TRIM(B128))&gt;0,LEN(TRIM(C128))&gt;0),
ROUND(IFERROR(AB129,0)-IFERROR(AC129,0)-IFERROR(AD129,0),-2),
0
),
0
)</f>
        <v>0</v>
      </c>
      <c r="AF129" s="347">
        <f>IFERROR(
IF(AND(LEN(TRIM(B128))&gt;0,LEN(TRIM(C128))&gt;0),
IFERROR('Bang TH nop'!AQ129,0)+IFERROR('Bang TH nop'!AT129,0)+IFERROR('Bang TH nop'!BF129,0),
0
),
0
)</f>
        <v>0</v>
      </c>
      <c r="AG129" s="348"/>
      <c r="AH129" s="354"/>
      <c r="AI129" s="355">
        <f t="shared" ref="AI129" si="1195">IFERROR(
IF(AND(LEN(TRIM(B128))&gt;0,LEN(TRIM(C128))&gt;0),
AH129/AG129,
0
),
0
)</f>
        <v>0</v>
      </c>
      <c r="AJ129" s="355">
        <f t="shared" ref="AJ129" si="1196">IFERROR(
IF(AND(LEN(TRIM(B128))&gt;0,LEN(TRIM(C128))&gt;0),
AL129/AF129,
0
),
0
)</f>
        <v>0</v>
      </c>
      <c r="AK129" s="356">
        <f t="shared" ref="AK129" si="1197">IFERROR(
IF(AND(LEN(TRIM(B128))&gt;0,LEN(TRIM(C128))&gt;0),
AJ129/AI129,
0
),
0
)</f>
        <v>0</v>
      </c>
      <c r="AL129" s="357">
        <f t="shared" ref="AL129" si="1198">IFERROR(
IF(AND(LEN(TRIM(B128))&gt;0,LEN(TRIM(C128))&gt;0),
AB129/L129,
0
),
0
)</f>
        <v>0</v>
      </c>
    </row>
    <row r="130" spans="1:38" ht="17.100000000000001" customHeight="1">
      <c r="A130" s="424">
        <f t="shared" ref="A130" si="1199">A128+1</f>
        <v>62</v>
      </c>
      <c r="B130" s="426">
        <f>'Bang TH nop'!B131</f>
        <v>0</v>
      </c>
      <c r="C130" s="421">
        <f>IFERROR(IF(LEN(TRIM(B130))&gt;0,'Bang TH nop'!C131,""),"")</f>
        <v>0</v>
      </c>
      <c r="D130" s="398">
        <f>IFERROR(IF(AND(LEN(TRIM(B130))&gt;0,LEN(TRIM(C130))&gt;0),'Bang TH nop'!AO131,""),"")</f>
        <v>0</v>
      </c>
      <c r="E130" s="399"/>
      <c r="F130" s="340"/>
      <c r="G130" s="341"/>
      <c r="H130" s="341"/>
      <c r="I130" s="342">
        <f>IFERROR(IF(AND(LEN(TRIM(B130))&gt;0,LEN(TRIM(C130))&gt;0),'Bang TH nop'!BB131,0),0)</f>
        <v>0</v>
      </c>
      <c r="J130" s="342">
        <f>IFERROR(IF(AND(LEN(TRIM(B130))&gt;0,LEN(TRIM(C130))&gt;0),'Bang TH nop'!AV131,0),0)</f>
        <v>0</v>
      </c>
      <c r="K130" s="342">
        <f>IFERROR(IF(AND(LEN(TRIM(B130))&gt;0,LEN(TRIM(C130))&gt;0),'Bang TH nop'!AR131,0),0)</f>
        <v>0</v>
      </c>
      <c r="L130" s="343">
        <f>IFERROR(IF(AND(LEN(TRIM(B130))&gt;0,LEN(TRIM(C130))&gt;0),'Bang TH nop'!AS131,0),0)</f>
        <v>0</v>
      </c>
      <c r="M130" s="342">
        <f>IFERROR(IF(AND(LEN(TRIM(B130))&gt;0,LEN(TRIM(C130))&gt;0),'Bang TH nop'!AT131,0),0)</f>
        <v>0</v>
      </c>
      <c r="N130" s="344">
        <f>IFERROR(IF(AND(LEN(TRIM(B130))&gt;0,LEN(TRIM(C130))&gt;0),'Bang TH nop'!AU131,0),0)</f>
        <v>0</v>
      </c>
      <c r="O130" s="342">
        <f>IFERROR(IF(AND(LEN(TRIM(B130))&gt;0,LEN(TRIM(C130))&gt;0),'Bang TH nop'!BE131,0),0)</f>
        <v>0</v>
      </c>
      <c r="P130" s="345">
        <f>IFERROR(IF(AND(LEN(TRIM(B130))&gt;0,LEN(TRIM(C130))&gt;0),'Bang TH nop'!AZ131,0),0)</f>
        <v>0</v>
      </c>
      <c r="Q130" s="343"/>
      <c r="R130" s="342"/>
      <c r="S130" s="342"/>
      <c r="T130" s="342"/>
      <c r="U130" s="341"/>
      <c r="V130" s="341"/>
      <c r="W130" s="341"/>
      <c r="X130" s="341"/>
      <c r="Y130" s="341"/>
      <c r="Z130" s="341"/>
      <c r="AA130" s="340" t="str">
        <f>IFERROR(
IF(AND(LEN(TRIM(B130))&gt;0,LEN(TRIM(C130))&gt;0),
'Bang TH nop'!AH131,
0
),
0
)</f>
        <v>A</v>
      </c>
      <c r="AB130" s="346"/>
      <c r="AC130" s="346"/>
      <c r="AD130" s="341"/>
      <c r="AE130" s="346"/>
      <c r="AF130" s="347"/>
      <c r="AG130" s="348"/>
      <c r="AH130" s="349"/>
      <c r="AI130" s="350"/>
      <c r="AJ130" s="351"/>
      <c r="AK130" s="350"/>
      <c r="AL130" s="352"/>
    </row>
    <row r="131" spans="1:38" ht="17.100000000000001" customHeight="1">
      <c r="A131" s="425"/>
      <c r="B131" s="426"/>
      <c r="C131" s="422"/>
      <c r="D131" s="397">
        <f>IFERROR(IF(AND(LEN(TRIM(B130))&gt;0,LEN(TRIM(C130))&gt;0),'Bang TH nop'!AP131,""),"")</f>
        <v>0</v>
      </c>
      <c r="E131" s="397"/>
      <c r="F131" s="353">
        <f>IFERROR(IF(AND(LEN(TRIM(B130))&gt;0,LEN(TRIM(C130))&gt;0),'Bang TH nop'!AL131,0),0)</f>
        <v>0</v>
      </c>
      <c r="G131" s="340">
        <f t="shared" ref="G131" si="1200">D131*I130/26</f>
        <v>0</v>
      </c>
      <c r="H131" s="340">
        <f t="shared" ref="H131" si="1201">D131*J130*150%/(26*8)</f>
        <v>0</v>
      </c>
      <c r="I131" s="340"/>
      <c r="J131" s="340"/>
      <c r="K131" s="344">
        <f t="shared" ref="K131" si="1202">IFERROR(
IF(AND(LEN(TRIM(B130))&gt;0,LEN(TRIM(C130))&gt;0),
ROUND(D131/26*K130,0),
0
),
0
)</f>
        <v>0</v>
      </c>
      <c r="L131" s="344">
        <f t="shared" ref="L131" si="1203">IFERROR(
IF(AND(LEN(TRIM(B130))&gt;0,LEN(TRIM(C130))&gt;0),
ROUND(D131/26*L130,0),
0
),
0
)</f>
        <v>0</v>
      </c>
      <c r="M131" s="344">
        <f t="shared" ref="M131" si="1204">IFERROR(
IF(AND(LEN(TRIM(B130))&gt;0,LEN(TRIM(C130))&gt;0),
ROUND(D131/26*M130,0),
0
),
0
)</f>
        <v>0</v>
      </c>
      <c r="N131" s="344">
        <f t="shared" ref="N131" si="1205">IFERROR(
IF(AND(LEN(TRIM(B130))&gt;0,LEN(TRIM(C130))&gt;0),
D131*N130/(26*8),
0
),
0
)</f>
        <v>0</v>
      </c>
      <c r="O131" s="344">
        <f t="shared" ref="O131" si="1206">IFERROR(
IF(AND(LEN(TRIM(B130))&gt;0,LEN(TRIM(C130))&gt;0),
D131*O130/(26*8),
0
),
0
)</f>
        <v>0</v>
      </c>
      <c r="P131" s="344">
        <f t="shared" ref="P131" si="1207">IFERROR(
IF(AND(LEN(TRIM(B130))&gt;0,LEN(TRIM(C130))&gt;0),
(D131/26/8*P130),
0
),
0
)</f>
        <v>0</v>
      </c>
      <c r="Q131" s="344">
        <f>IFERROR(
IF(AND(LEN(TRIM(B130))&gt;0,LEN(TRIM(C130))&gt;0),
'Bang TH nop'!BC131,
0
),
0
)</f>
        <v>0</v>
      </c>
      <c r="R131" s="340">
        <f>IFERROR(
IF(AND(LEN(TRIM(B130))&gt;0,LEN(TRIM(C130))&gt;0),
'Bang TH nop'!BD131,
0
),
0
)</f>
        <v>0</v>
      </c>
      <c r="S131" s="340">
        <f>IFERROR(
IF(AND(LEN(TRIM(B130))&gt;0,LEN(TRIM(C130))&gt;0),
'Bang TH nop'!BJ131,
0
),
0
)</f>
        <v>0</v>
      </c>
      <c r="T131" s="340">
        <f>IFERROR(
IF(AND(LEN(TRIM(B130))&gt;0,LEN(TRIM(C130))&gt;0),
IFERROR('Bang TH nop'!AW131,0)+IFERROR('Bang TH nop'!BH131,0),
0
),
0
)</f>
        <v>0</v>
      </c>
      <c r="U131" s="344"/>
      <c r="V131" s="344"/>
      <c r="W131" s="344"/>
      <c r="X131" s="340">
        <f t="shared" ref="X131" si="1208">+IF(G131-I131&lt;0,0,G131-I131)</f>
        <v>0</v>
      </c>
      <c r="Y131" s="340">
        <f t="shared" ref="Y131" si="1209">+IF(H131-J131&lt;0,0, H131-J131)</f>
        <v>0</v>
      </c>
      <c r="Z131" s="340">
        <f t="shared" ref="Z131" si="1210">IFERROR(
IF(AND(LEN(TRIM(B130))&gt;0,LEN(TRIM(C130))&gt;0),
(X131+Y131)*25%,
0
),
0
)</f>
        <v>0</v>
      </c>
      <c r="AA131" s="340">
        <f>IFERROR(
IF(AND(LEN(TRIM(B130))&gt;0,LEN(TRIM(C130))&gt;0),
'Bang TH nop'!BG131,
0
),
0
)</f>
        <v>0</v>
      </c>
      <c r="AB131" s="344">
        <f t="shared" ref="AB131" si="1211">IFERROR(
IF(AND(LEN(TRIM(B130))&gt;0,LEN(TRIM(C130))&gt;0),
SUM(I131:W131)+IFERROR(Z131,0)+IFERROR(AA131,0),
0
),
0
)</f>
        <v>0</v>
      </c>
      <c r="AC131" s="340">
        <f t="shared" ref="AC131" si="1212">IFERROR(
IF(AND(LEN(TRIM(B130))&gt;0,LEN(TRIM(C130))&gt;0),
IF((26-(IFERROR(I130,0)+IFERROR(K130,0)+IFERROR(L130,0)+IFERROR(M130,0)))&gt;12,0,D131*10.5%),
0
),
0
)</f>
        <v>0</v>
      </c>
      <c r="AD131" s="340">
        <f t="shared" ref="AD131" si="1213">IFERROR(
IF(AND(LEN(TRIM(B130))&gt;0,LEN(TRIM(C130))&gt;0),
ROUND(IF(D131=4939000,D131*0.5%,0),-2),
0
),
0
)</f>
        <v>0</v>
      </c>
      <c r="AE131" s="344">
        <f t="shared" ref="AE131" si="1214">IFERROR(
IF(AND(LEN(TRIM(B130))&gt;0,LEN(TRIM(C130))&gt;0),
ROUND(IFERROR(AB131,0)-IFERROR(AC131,0)-IFERROR(AD131,0),-2),
0
),
0
)</f>
        <v>0</v>
      </c>
      <c r="AF131" s="347">
        <f>IFERROR(
IF(AND(LEN(TRIM(B130))&gt;0,LEN(TRIM(C130))&gt;0),
IFERROR('Bang TH nop'!AQ131,0)+IFERROR('Bang TH nop'!AT131,0)+IFERROR('Bang TH nop'!BF131,0),
0
),
0
)</f>
        <v>0</v>
      </c>
      <c r="AG131" s="348"/>
      <c r="AH131" s="354"/>
      <c r="AI131" s="355">
        <f t="shared" ref="AI131" si="1215">IFERROR(
IF(AND(LEN(TRIM(B130))&gt;0,LEN(TRIM(C130))&gt;0),
AH131/AG131,
0
),
0
)</f>
        <v>0</v>
      </c>
      <c r="AJ131" s="355">
        <f t="shared" ref="AJ131" si="1216">IFERROR(
IF(AND(LEN(TRIM(B130))&gt;0,LEN(TRIM(C130))&gt;0),
AL131/AF131,
0
),
0
)</f>
        <v>0</v>
      </c>
      <c r="AK131" s="356">
        <f t="shared" ref="AK131" si="1217">IFERROR(
IF(AND(LEN(TRIM(B130))&gt;0,LEN(TRIM(C130))&gt;0),
AJ131/AI131,
0
),
0
)</f>
        <v>0</v>
      </c>
      <c r="AL131" s="357">
        <f t="shared" ref="AL131" si="1218">IFERROR(
IF(AND(LEN(TRIM(B130))&gt;0,LEN(TRIM(C130))&gt;0),
AB131/L131,
0
),
0
)</f>
        <v>0</v>
      </c>
    </row>
    <row r="132" spans="1:38" ht="17.100000000000001" customHeight="1">
      <c r="A132" s="368"/>
      <c r="B132" s="369"/>
      <c r="C132" s="368"/>
      <c r="D132" s="370"/>
      <c r="E132" s="371"/>
      <c r="F132" s="359"/>
      <c r="G132" s="360"/>
      <c r="H132" s="360"/>
      <c r="I132" s="361">
        <f>'Bang TH nop'!BB133</f>
        <v>0</v>
      </c>
      <c r="J132" s="361">
        <f>'Bang TH nop'!AR133</f>
        <v>0</v>
      </c>
      <c r="K132" s="361">
        <f>'Bang TH nop'!AS133</f>
        <v>0</v>
      </c>
      <c r="L132" s="362">
        <f>'Bang TH nop'!AT133</f>
        <v>0</v>
      </c>
      <c r="M132" s="361">
        <f>'Bang TH nop'!AU133</f>
        <v>0</v>
      </c>
      <c r="N132" s="361"/>
      <c r="O132" s="363">
        <f>+'Bang TH nop'!BE133</f>
        <v>0</v>
      </c>
      <c r="P132" s="364">
        <f>'Bang TH nop'!AZ133</f>
        <v>0</v>
      </c>
      <c r="Q132" s="362">
        <f>'Bang TH nop'!AV133</f>
        <v>0</v>
      </c>
      <c r="R132" s="361"/>
      <c r="S132" s="361"/>
      <c r="T132" s="361"/>
      <c r="U132" s="360"/>
      <c r="V132" s="360"/>
      <c r="W132" s="360"/>
      <c r="X132" s="360"/>
      <c r="Y132" s="360"/>
      <c r="Z132" s="360"/>
      <c r="AA132" s="360"/>
      <c r="AB132" s="365"/>
      <c r="AC132" s="365"/>
      <c r="AD132" s="360"/>
      <c r="AE132" s="365"/>
      <c r="AF132" s="358"/>
      <c r="AG132" s="317"/>
      <c r="AH132" s="366"/>
      <c r="AI132" s="319"/>
      <c r="AJ132" s="318"/>
      <c r="AK132" s="319"/>
      <c r="AL132" s="366"/>
    </row>
    <row r="133" spans="1:38" ht="17.100000000000001" customHeight="1">
      <c r="A133" s="436"/>
      <c r="B133" s="438" t="s">
        <v>19</v>
      </c>
      <c r="C133" s="436"/>
      <c r="D133" s="372"/>
      <c r="E133" s="372"/>
      <c r="F133" s="372" cm="1">
        <f t="array" ref="F133">SUMPRODUCT((MOD(ROW(F8:F130),2)=0)*IFERROR(F8:F130,0))</f>
        <v>0</v>
      </c>
      <c r="G133" s="372" cm="1">
        <f t="array" ref="G133">SUMPRODUCT((MOD(ROW(G8:G130),2)=0)*IFERROR(G8:G130,0))</f>
        <v>0</v>
      </c>
      <c r="H133" s="372" cm="1">
        <f t="array" ref="H133">SUMPRODUCT((MOD(ROW(H8:H130),2)=0)*IFERROR(H8:H130,0))</f>
        <v>0</v>
      </c>
      <c r="I133" s="372" cm="1">
        <f t="array" ref="I133">SUMPRODUCT((MOD(ROW(I8:I130),2)=0)*IFERROR(I8:I130,0))</f>
        <v>0</v>
      </c>
      <c r="J133" s="372" cm="1">
        <f t="array" ref="J133">SUMPRODUCT((MOD(ROW(J8:J130),2)=0)*IFERROR(J8:J130,0))</f>
        <v>0</v>
      </c>
      <c r="K133" s="372" cm="1">
        <f t="array" ref="K133">SUMPRODUCT((MOD(ROW(K8:K130),2)=0)*IFERROR(K8:K130,0))</f>
        <v>0</v>
      </c>
      <c r="L133" s="372" cm="1">
        <f t="array" ref="L133">SUMPRODUCT((MOD(ROW(L8:L130),2)=0)*IFERROR(L8:L130,0))</f>
        <v>0</v>
      </c>
      <c r="M133" s="372" cm="1">
        <f t="array" ref="M133">SUMPRODUCT((MOD(ROW(M8:M130),2)=0)*IFERROR(M8:M130,0))</f>
        <v>0</v>
      </c>
      <c r="N133" s="372" cm="1">
        <f t="array" ref="N133">SUMPRODUCT((MOD(ROW(N8:N130),2)=0)*IFERROR(N8:N130,0))</f>
        <v>0</v>
      </c>
      <c r="O133" s="372" cm="1">
        <f t="array" ref="O133">SUMPRODUCT((MOD(ROW(O8:O130),2)=0)*IFERROR(O8:O130,0))</f>
        <v>0</v>
      </c>
      <c r="P133" s="372" cm="1">
        <f t="array" ref="P133">SUMPRODUCT((MOD(ROW(P8:P130),2)=0)*IFERROR(P8:P130,0))</f>
        <v>0</v>
      </c>
      <c r="Q133" s="372" cm="1">
        <f t="array" ref="Q133">SUMPRODUCT((MOD(ROW(Q8:Q130),2)=0)*IFERROR(Q8:Q130,0))</f>
        <v>0</v>
      </c>
      <c r="R133" s="372" cm="1">
        <f t="array" ref="R133">SUMPRODUCT((MOD(ROW(R8:R130),2)=0)*IFERROR(R8:R130,0))</f>
        <v>0</v>
      </c>
      <c r="S133" s="372" cm="1">
        <f t="array" ref="S133">SUMPRODUCT((MOD(ROW(S8:S130),2)=0)*IFERROR(S8:S130,0))</f>
        <v>0</v>
      </c>
      <c r="T133" s="372" cm="1">
        <f t="array" ref="T133">SUMPRODUCT((MOD(ROW(T8:T130),2)=0)*IFERROR(T8:T130,0))</f>
        <v>0</v>
      </c>
      <c r="U133" s="372" cm="1">
        <f t="array" ref="U133">SUMPRODUCT((MOD(ROW(U8:U130),2)=0)*IFERROR(U8:U130,0))</f>
        <v>0</v>
      </c>
      <c r="V133" s="372" cm="1">
        <f t="array" ref="V133">SUMPRODUCT((MOD(ROW(V8:V130),2)=0)*IFERROR(V8:V130,0))</f>
        <v>0</v>
      </c>
      <c r="W133" s="372" cm="1">
        <f t="array" ref="W133">SUMPRODUCT((MOD(ROW(W8:W130),2)=0)*IFERROR(W8:W130,0))</f>
        <v>0</v>
      </c>
      <c r="X133" s="372" cm="1">
        <f t="array" ref="X133">SUMPRODUCT((MOD(ROW(X8:X130),2)=0)*IFERROR(X8:X130,0))</f>
        <v>0</v>
      </c>
      <c r="Y133" s="372" cm="1">
        <f t="array" ref="Y133">SUMPRODUCT((MOD(ROW(Y8:Y130),2)=0)*IFERROR(Y8:Y130,0))</f>
        <v>0</v>
      </c>
      <c r="Z133" s="372" cm="1">
        <f t="array" ref="Z133">SUMPRODUCT((MOD(ROW(Z8:Z130),2)=0)*IFERROR(Z8:Z130,0))</f>
        <v>0</v>
      </c>
      <c r="AA133" s="372" t="e" cm="1">
        <f t="array" ref="AA133">SUMPRODUCT((MOD(ROW(AA8:AA130),2)=0)*IFERROR(AA8:AA130,0))</f>
        <v>#VALUE!</v>
      </c>
      <c r="AB133" s="372" cm="1">
        <f t="array" ref="AB133">SUMPRODUCT((MOD(ROW(AB8:AB130),2)=0)*IFERROR(AB8:AB130,0))</f>
        <v>0</v>
      </c>
      <c r="AC133" s="372" cm="1">
        <f t="array" ref="AC133">SUMPRODUCT((MOD(ROW(AC8:AC130),2)=0)*IFERROR(AC8:AC130,0))</f>
        <v>0</v>
      </c>
      <c r="AD133" s="372" cm="1">
        <f t="array" ref="AD133">SUMPRODUCT((MOD(ROW(AD8:AD130),2)=0)*IFERROR(AD8:AD130,0))</f>
        <v>0</v>
      </c>
      <c r="AE133" s="372" cm="1">
        <f t="array" ref="AE133">SUMPRODUCT((MOD(ROW(AE8:AE130),2)=0)*IFERROR(AE8:AE130,0))</f>
        <v>0</v>
      </c>
      <c r="AF133" s="372" cm="1">
        <f t="array" ref="AF133">SUMPRODUCT((MOD(ROW(AF8:AF130),2)=0)*IFERROR(AF8:AF130,0))</f>
        <v>0</v>
      </c>
      <c r="AG133" s="317"/>
      <c r="AH133" s="318"/>
      <c r="AI133" s="319"/>
      <c r="AJ133" s="367"/>
      <c r="AK133" s="319"/>
      <c r="AL133" s="366"/>
    </row>
    <row r="134" spans="1:38" ht="16.5" customHeight="1">
      <c r="A134" s="437"/>
      <c r="B134" s="439"/>
      <c r="C134" s="437"/>
      <c r="D134" s="372"/>
      <c r="E134" s="372"/>
      <c r="F134" s="373" cm="1">
        <f t="array" ref="F134">SUMPRODUCT((MOD(ROW(F9:F131),2)=1)*IFERROR(F9:F131,0))</f>
        <v>0</v>
      </c>
      <c r="G134" s="373" cm="1">
        <f t="array" ref="G134">SUMPRODUCT((MOD(ROW(G9:G131),2)=1)*IFERROR(G9:G131,0))</f>
        <v>0</v>
      </c>
      <c r="H134" s="373" cm="1">
        <f t="array" ref="H134">SUMPRODUCT((MOD(ROW(H9:H131),2)=1)*IFERROR(H9:H131,0))</f>
        <v>0</v>
      </c>
      <c r="I134" s="373" cm="1">
        <f t="array" ref="I134">SUMPRODUCT((MOD(ROW(I9:I131),2)=1)*IFERROR(I9:I131,0))</f>
        <v>0</v>
      </c>
      <c r="J134" s="373" cm="1">
        <f t="array" ref="J134">SUMPRODUCT((MOD(ROW(J9:J131),2)=1)*IFERROR(J9:J131,0))</f>
        <v>0</v>
      </c>
      <c r="K134" s="373" cm="1">
        <f t="array" ref="K134">SUMPRODUCT((MOD(ROW(K9:K131),2)=1)*IFERROR(K9:K131,0))</f>
        <v>0</v>
      </c>
      <c r="L134" s="373" cm="1">
        <f t="array" ref="L134">SUMPRODUCT((MOD(ROW(L9:L131),2)=1)*IFERROR(L9:L131,0))</f>
        <v>0</v>
      </c>
      <c r="M134" s="373" cm="1">
        <f t="array" ref="M134">SUMPRODUCT((MOD(ROW(M9:M131),2)=1)*IFERROR(M9:M131,0))</f>
        <v>0</v>
      </c>
      <c r="N134" s="373" cm="1">
        <f t="array" ref="N134">SUMPRODUCT((MOD(ROW(N9:N131),2)=1)*IFERROR(N9:N131,0))</f>
        <v>0</v>
      </c>
      <c r="O134" s="373" cm="1">
        <f t="array" ref="O134">SUMPRODUCT((MOD(ROW(O9:O131),2)=1)*IFERROR(O9:O131,0))</f>
        <v>0</v>
      </c>
      <c r="P134" s="373" cm="1">
        <f t="array" ref="P134">SUMPRODUCT((MOD(ROW(P9:P131),2)=1)*IFERROR(P9:P131,0))</f>
        <v>0</v>
      </c>
      <c r="Q134" s="373" cm="1">
        <f t="array" ref="Q134">SUMPRODUCT((MOD(ROW(Q9:Q131),2)=1)*IFERROR(Q9:Q131,0))</f>
        <v>0</v>
      </c>
      <c r="R134" s="373" cm="1">
        <f t="array" ref="R134">SUMPRODUCT((MOD(ROW(R9:R131),2)=1)*IFERROR(R9:R131,0))</f>
        <v>0</v>
      </c>
      <c r="S134" s="373" cm="1">
        <f t="array" ref="S134">SUMPRODUCT((MOD(ROW(S9:S131),2)=1)*IFERROR(S9:S131,0))</f>
        <v>0</v>
      </c>
      <c r="T134" s="373" cm="1">
        <f t="array" ref="T134">SUMPRODUCT((MOD(ROW(T9:T131),2)=1)*IFERROR(T9:T131,0))</f>
        <v>0</v>
      </c>
      <c r="U134" s="373" cm="1">
        <f t="array" ref="U134">SUMPRODUCT((MOD(ROW(U9:U131),2)=1)*IFERROR(U9:U131,0))</f>
        <v>0</v>
      </c>
      <c r="V134" s="373" cm="1">
        <f t="array" ref="V134">SUMPRODUCT((MOD(ROW(V9:V131),2)=1)*IFERROR(V9:V131,0))</f>
        <v>0</v>
      </c>
      <c r="W134" s="373" cm="1">
        <f t="array" ref="W134">SUMPRODUCT((MOD(ROW(W9:W131),2)=1)*IFERROR(W9:W131,0))</f>
        <v>0</v>
      </c>
      <c r="X134" s="373" cm="1">
        <f t="array" ref="X134">SUMPRODUCT((MOD(ROW(X9:X131),2)=1)*IFERROR(X9:X131,0))</f>
        <v>0</v>
      </c>
      <c r="Y134" s="373" cm="1">
        <f t="array" ref="Y134">SUMPRODUCT((MOD(ROW(Y9:Y131),2)=1)*IFERROR(Y9:Y131,0))</f>
        <v>0</v>
      </c>
      <c r="Z134" s="373" cm="1">
        <f t="array" ref="Z134">SUMPRODUCT((MOD(ROW(Z9:Z131),2)=1)*IFERROR(Z9:Z131,0))</f>
        <v>0</v>
      </c>
      <c r="AA134" s="373" t="e" cm="1">
        <f t="array" ref="AA134">SUMPRODUCT((MOD(ROW(AA9:AA131),2)=1)*IFERROR(AA9:AA131,0))</f>
        <v>#VALUE!</v>
      </c>
      <c r="AB134" s="373" cm="1">
        <f t="array" ref="AB134">SUMPRODUCT((MOD(ROW(AB9:AB131),2)=1)*IFERROR(AB9:AB131,0))</f>
        <v>0</v>
      </c>
      <c r="AC134" s="373" cm="1">
        <f t="array" ref="AC134">SUMPRODUCT((MOD(ROW(AC9:AC131),2)=1)*IFERROR(AC9:AC131,0))</f>
        <v>0</v>
      </c>
      <c r="AD134" s="373" cm="1">
        <f t="array" ref="AD134">SUMPRODUCT((MOD(ROW(AD9:AD131),2)=1)*IFERROR(AD9:AD131,0))</f>
        <v>0</v>
      </c>
      <c r="AE134" s="373" cm="1">
        <f t="array" ref="AE134">SUMPRODUCT((MOD(ROW(AE9:AE131),2)=1)*IFERROR(AE9:AE131,0))</f>
        <v>0</v>
      </c>
      <c r="AF134" s="373" cm="1">
        <f t="array" ref="AF134">SUMPRODUCT((MOD(ROW(AF9:AF131),2)=1)*IFERROR(AF9:AF131,0))</f>
        <v>0</v>
      </c>
      <c r="AG134" s="374">
        <f>IFERROR(AB134/AF134*AF135,0)</f>
        <v>0</v>
      </c>
      <c r="AH134" s="375">
        <f>IFERROR(AL134/AF134*AF135,0)</f>
        <v>0</v>
      </c>
      <c r="AI134" s="376"/>
      <c r="AJ134" s="377"/>
      <c r="AK134" s="319"/>
      <c r="AL134" s="373" cm="1">
        <f t="array" ref="AL134">SUMPRODUCT((MOD(ROW(AL9:AL131),2)=1)*IFERROR(AL9:AL131,0))</f>
        <v>0</v>
      </c>
    </row>
    <row r="135" spans="1:38" ht="17.100000000000001" customHeight="1">
      <c r="A135" s="378"/>
      <c r="B135" s="379"/>
      <c r="C135" s="378"/>
      <c r="D135" s="380"/>
      <c r="E135" s="380"/>
      <c r="F135" s="380"/>
      <c r="G135" s="380"/>
      <c r="H135" s="380"/>
      <c r="I135" s="380"/>
      <c r="J135" s="380"/>
      <c r="K135" s="380"/>
      <c r="L135" s="380"/>
      <c r="M135" s="380"/>
      <c r="N135" s="380"/>
      <c r="O135" s="380"/>
      <c r="P135" s="380"/>
      <c r="Q135" s="380"/>
      <c r="R135" s="380"/>
      <c r="S135" s="380"/>
      <c r="T135" s="380"/>
      <c r="U135" s="380"/>
      <c r="V135" s="380"/>
      <c r="W135" s="380"/>
      <c r="X135" s="380"/>
      <c r="Y135" s="380"/>
      <c r="Z135" s="380"/>
      <c r="AA135" s="380"/>
      <c r="AB135" s="381"/>
      <c r="AC135" s="380"/>
      <c r="AD135" s="380"/>
      <c r="AE135" s="381"/>
      <c r="AF135" s="382" cm="1">
        <f t="array" ref="AF135">IFERROR(AVERAGE(_xlfn._xlws.FILTER(AF8:AF131,ISNUMBER(AF8:AF131))),0)</f>
        <v>0</v>
      </c>
      <c r="AG135" s="383">
        <f>IFERROR(AG134/AF135,0)</f>
        <v>0</v>
      </c>
      <c r="AH135" s="383">
        <f>IFERROR(AH134/AF135,0)</f>
        <v>0</v>
      </c>
      <c r="AI135" s="376"/>
      <c r="AJ135" s="318"/>
      <c r="AK135" s="319"/>
      <c r="AL135" s="318"/>
    </row>
    <row r="136" spans="1:38" ht="17.100000000000001" customHeight="1">
      <c r="A136" s="320"/>
      <c r="B136" s="384"/>
      <c r="C136" s="320"/>
      <c r="D136" s="320"/>
      <c r="E136" s="320"/>
      <c r="F136" s="435" t="s">
        <v>187</v>
      </c>
      <c r="G136" s="435"/>
      <c r="H136" s="435"/>
      <c r="I136" s="435"/>
      <c r="J136" s="385" t="e" cm="1">
        <f t="array" aca="1" ref="J136" ca="1">+_xll.VND(AE134)</f>
        <v>#NAME?</v>
      </c>
      <c r="K136" s="320"/>
      <c r="L136" s="320"/>
      <c r="M136" s="320"/>
      <c r="N136" s="320"/>
      <c r="O136" s="320"/>
      <c r="P136" s="321"/>
      <c r="Q136" s="320"/>
      <c r="R136" s="320"/>
      <c r="S136" s="320"/>
      <c r="T136" s="320"/>
      <c r="U136" s="320"/>
      <c r="V136" s="320"/>
      <c r="W136" s="320"/>
      <c r="X136" s="320"/>
      <c r="Y136" s="320"/>
      <c r="Z136" s="320"/>
      <c r="AA136" s="320"/>
      <c r="AB136" s="386"/>
      <c r="AC136" s="320"/>
      <c r="AD136" s="320"/>
      <c r="AE136" s="321"/>
      <c r="AF136" s="317"/>
      <c r="AG136" s="317"/>
      <c r="AH136" s="318"/>
      <c r="AI136" s="319"/>
      <c r="AJ136" s="318"/>
      <c r="AK136" s="319"/>
      <c r="AL136" s="318"/>
    </row>
    <row r="137" spans="1:38" ht="17.100000000000001" customHeight="1">
      <c r="A137" s="320"/>
      <c r="B137" s="320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  <c r="M137" s="320"/>
      <c r="N137" s="320"/>
      <c r="O137" s="320"/>
      <c r="P137" s="321"/>
      <c r="Q137" s="320"/>
      <c r="R137" s="320"/>
      <c r="S137" s="320"/>
      <c r="T137" s="320"/>
      <c r="U137" s="320"/>
      <c r="V137" s="320"/>
      <c r="W137" s="320"/>
      <c r="X137" s="320"/>
      <c r="Y137" s="320"/>
      <c r="Z137" s="320"/>
      <c r="AA137" s="320"/>
      <c r="AB137" s="434" t="s">
        <v>238</v>
      </c>
      <c r="AC137" s="434"/>
      <c r="AD137" s="434"/>
      <c r="AE137" s="434"/>
      <c r="AF137" s="434"/>
      <c r="AG137" s="317"/>
      <c r="AH137" s="318"/>
      <c r="AI137" s="319"/>
      <c r="AJ137" s="318"/>
      <c r="AK137" s="319"/>
      <c r="AL137" s="318"/>
    </row>
    <row r="138" spans="1:38" ht="17.100000000000001" customHeight="1">
      <c r="A138" s="315"/>
      <c r="B138" s="387" t="s">
        <v>37</v>
      </c>
      <c r="C138" s="315"/>
      <c r="D138" s="315"/>
      <c r="E138" s="315"/>
      <c r="F138" s="315"/>
      <c r="G138" s="315"/>
      <c r="H138" s="315"/>
      <c r="I138" s="315"/>
      <c r="J138" s="315"/>
      <c r="K138" s="315"/>
      <c r="L138" s="315"/>
      <c r="M138" s="315"/>
      <c r="N138" s="315"/>
      <c r="O138" s="315"/>
      <c r="P138" s="316"/>
      <c r="Q138" s="315"/>
      <c r="R138" s="315"/>
      <c r="S138" s="315"/>
      <c r="T138" s="315"/>
      <c r="U138" s="315"/>
      <c r="V138" s="315"/>
      <c r="W138" s="315"/>
      <c r="X138" s="315"/>
      <c r="Y138" s="315"/>
      <c r="Z138" s="315"/>
      <c r="AA138" s="315"/>
      <c r="AB138" s="402" t="s">
        <v>85</v>
      </c>
      <c r="AC138" s="402"/>
      <c r="AD138" s="402"/>
      <c r="AE138" s="402"/>
      <c r="AF138" s="402"/>
      <c r="AG138" s="317"/>
      <c r="AH138" s="318"/>
      <c r="AI138" s="319"/>
      <c r="AJ138" s="318"/>
      <c r="AK138" s="319"/>
      <c r="AL138" s="318"/>
    </row>
    <row r="139" spans="1:38" ht="17.100000000000001" customHeight="1">
      <c r="A139" s="32"/>
      <c r="B139" s="260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3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3"/>
      <c r="AC139" s="260"/>
      <c r="AD139" s="260"/>
      <c r="AE139" s="262"/>
    </row>
    <row r="140" spans="1:38" ht="21.75" customHeight="1">
      <c r="A140" s="32"/>
      <c r="B140" s="260"/>
      <c r="C140" s="32"/>
      <c r="D140" s="32"/>
      <c r="E140" s="39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3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3"/>
      <c r="AC140" s="260"/>
      <c r="AD140" s="260"/>
      <c r="AE140" s="262"/>
    </row>
    <row r="141" spans="1:38" ht="17.100000000000001" customHeight="1">
      <c r="A141" s="32"/>
      <c r="B141" s="261" t="s">
        <v>204</v>
      </c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3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403" t="s">
        <v>208</v>
      </c>
      <c r="AC141" s="403"/>
      <c r="AD141" s="403"/>
      <c r="AE141" s="403"/>
      <c r="AF141" s="403"/>
    </row>
    <row r="142" spans="1:38" s="42" customFormat="1" ht="17.100000000000001" customHeight="1">
      <c r="A142" s="38"/>
      <c r="B142" s="40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41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41"/>
      <c r="AC142" s="38"/>
      <c r="AD142" s="38"/>
      <c r="AE142" s="41"/>
      <c r="AF142" s="309"/>
      <c r="AG142" s="309"/>
      <c r="AI142" s="43"/>
      <c r="AK142" s="43"/>
    </row>
    <row r="143" spans="1:38" ht="17.100000000000001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3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3"/>
      <c r="AC143" s="32"/>
      <c r="AD143" s="32"/>
      <c r="AE143" s="33"/>
    </row>
    <row r="144" spans="1:38" ht="17.100000000000001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3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3"/>
      <c r="AC144" s="32"/>
      <c r="AD144" s="32"/>
      <c r="AE144" s="33"/>
    </row>
  </sheetData>
  <mergeCells count="337">
    <mergeCell ref="A116:A117"/>
    <mergeCell ref="B116:B117"/>
    <mergeCell ref="C116:C117"/>
    <mergeCell ref="A108:A109"/>
    <mergeCell ref="B108:B109"/>
    <mergeCell ref="C108:C109"/>
    <mergeCell ref="A110:A111"/>
    <mergeCell ref="B110:B111"/>
    <mergeCell ref="C110:C111"/>
    <mergeCell ref="A112:A113"/>
    <mergeCell ref="B112:B113"/>
    <mergeCell ref="C112:C113"/>
    <mergeCell ref="A114:A115"/>
    <mergeCell ref="B114:B115"/>
    <mergeCell ref="C114:C115"/>
    <mergeCell ref="C118:C119"/>
    <mergeCell ref="D118:E118"/>
    <mergeCell ref="C120:C121"/>
    <mergeCell ref="D120:E120"/>
    <mergeCell ref="D119:E119"/>
    <mergeCell ref="A118:A119"/>
    <mergeCell ref="B118:B119"/>
    <mergeCell ref="A120:A121"/>
    <mergeCell ref="B120:B121"/>
    <mergeCell ref="AB137:AF137"/>
    <mergeCell ref="C130:C131"/>
    <mergeCell ref="D130:E130"/>
    <mergeCell ref="A130:A131"/>
    <mergeCell ref="B130:B131"/>
    <mergeCell ref="F136:I136"/>
    <mergeCell ref="D122:E122"/>
    <mergeCell ref="D123:E123"/>
    <mergeCell ref="D124:E124"/>
    <mergeCell ref="D125:E125"/>
    <mergeCell ref="C126:C127"/>
    <mergeCell ref="D126:E126"/>
    <mergeCell ref="D127:E127"/>
    <mergeCell ref="A126:A127"/>
    <mergeCell ref="B126:B127"/>
    <mergeCell ref="C122:C123"/>
    <mergeCell ref="A128:A129"/>
    <mergeCell ref="B128:B129"/>
    <mergeCell ref="C128:C129"/>
    <mergeCell ref="D128:E128"/>
    <mergeCell ref="A133:A134"/>
    <mergeCell ref="B133:B134"/>
    <mergeCell ref="C133:C134"/>
    <mergeCell ref="D129:E129"/>
    <mergeCell ref="A104:A105"/>
    <mergeCell ref="B104:B105"/>
    <mergeCell ref="C104:C105"/>
    <mergeCell ref="A106:A107"/>
    <mergeCell ref="B106:B107"/>
    <mergeCell ref="C106:C107"/>
    <mergeCell ref="A100:A101"/>
    <mergeCell ref="B100:B101"/>
    <mergeCell ref="C100:C101"/>
    <mergeCell ref="A102:A103"/>
    <mergeCell ref="B102:B103"/>
    <mergeCell ref="C102:C103"/>
    <mergeCell ref="A96:A97"/>
    <mergeCell ref="B96:B97"/>
    <mergeCell ref="C96:C97"/>
    <mergeCell ref="A98:A99"/>
    <mergeCell ref="B98:B99"/>
    <mergeCell ref="C98:C99"/>
    <mergeCell ref="A92:A93"/>
    <mergeCell ref="B92:B93"/>
    <mergeCell ref="C92:C93"/>
    <mergeCell ref="A94:A95"/>
    <mergeCell ref="B94:B95"/>
    <mergeCell ref="C94:C95"/>
    <mergeCell ref="A88:A89"/>
    <mergeCell ref="B88:B89"/>
    <mergeCell ref="C88:C89"/>
    <mergeCell ref="A90:A91"/>
    <mergeCell ref="B90:B91"/>
    <mergeCell ref="C90:C91"/>
    <mergeCell ref="A84:A85"/>
    <mergeCell ref="B84:B85"/>
    <mergeCell ref="C84:C85"/>
    <mergeCell ref="A86:A87"/>
    <mergeCell ref="B86:B87"/>
    <mergeCell ref="C86:C87"/>
    <mergeCell ref="A80:A81"/>
    <mergeCell ref="B80:B81"/>
    <mergeCell ref="C80:C81"/>
    <mergeCell ref="A82:A83"/>
    <mergeCell ref="B82:B83"/>
    <mergeCell ref="C82:C83"/>
    <mergeCell ref="A76:A77"/>
    <mergeCell ref="B76:B77"/>
    <mergeCell ref="C76:C77"/>
    <mergeCell ref="A78:A79"/>
    <mergeCell ref="B78:B79"/>
    <mergeCell ref="C78:C79"/>
    <mergeCell ref="A74:A75"/>
    <mergeCell ref="B74:B75"/>
    <mergeCell ref="C74:C75"/>
    <mergeCell ref="A68:A69"/>
    <mergeCell ref="B68:B69"/>
    <mergeCell ref="C68:C69"/>
    <mergeCell ref="A70:A71"/>
    <mergeCell ref="B70:B71"/>
    <mergeCell ref="C70:C71"/>
    <mergeCell ref="A66:A67"/>
    <mergeCell ref="B66:B67"/>
    <mergeCell ref="C66:C67"/>
    <mergeCell ref="A62:A63"/>
    <mergeCell ref="B62:B63"/>
    <mergeCell ref="C62:C63"/>
    <mergeCell ref="A72:A73"/>
    <mergeCell ref="B72:B73"/>
    <mergeCell ref="C72:C73"/>
    <mergeCell ref="A42:A43"/>
    <mergeCell ref="B56:B57"/>
    <mergeCell ref="A48:A49"/>
    <mergeCell ref="B48:B49"/>
    <mergeCell ref="B42:B43"/>
    <mergeCell ref="A50:A51"/>
    <mergeCell ref="B50:B51"/>
    <mergeCell ref="A64:A65"/>
    <mergeCell ref="B64:B65"/>
    <mergeCell ref="A54:A55"/>
    <mergeCell ref="B54:B55"/>
    <mergeCell ref="A44:A45"/>
    <mergeCell ref="B44:B45"/>
    <mergeCell ref="A46:A47"/>
    <mergeCell ref="B46:B47"/>
    <mergeCell ref="A52:A53"/>
    <mergeCell ref="B52:B53"/>
    <mergeCell ref="A60:A61"/>
    <mergeCell ref="B60:B61"/>
    <mergeCell ref="A58:A59"/>
    <mergeCell ref="B58:B59"/>
    <mergeCell ref="A56:A57"/>
    <mergeCell ref="A38:A39"/>
    <mergeCell ref="B38:B39"/>
    <mergeCell ref="C38:C39"/>
    <mergeCell ref="A40:A41"/>
    <mergeCell ref="B40:B41"/>
    <mergeCell ref="C40:C41"/>
    <mergeCell ref="A30:A31"/>
    <mergeCell ref="B30:B31"/>
    <mergeCell ref="C30:C31"/>
    <mergeCell ref="A36:A37"/>
    <mergeCell ref="B36:B37"/>
    <mergeCell ref="C36:C37"/>
    <mergeCell ref="A32:A33"/>
    <mergeCell ref="B32:B33"/>
    <mergeCell ref="C32:C33"/>
    <mergeCell ref="A34:A35"/>
    <mergeCell ref="B34:B35"/>
    <mergeCell ref="C34:C35"/>
    <mergeCell ref="A26:A27"/>
    <mergeCell ref="B26:B27"/>
    <mergeCell ref="C26:C27"/>
    <mergeCell ref="A28:A29"/>
    <mergeCell ref="B28:B29"/>
    <mergeCell ref="C28:C29"/>
    <mergeCell ref="A22:A23"/>
    <mergeCell ref="B22:B23"/>
    <mergeCell ref="C22:C23"/>
    <mergeCell ref="A24:A25"/>
    <mergeCell ref="B24:B25"/>
    <mergeCell ref="C24:C25"/>
    <mergeCell ref="A18:A19"/>
    <mergeCell ref="B18:B19"/>
    <mergeCell ref="C18:C19"/>
    <mergeCell ref="A20:A21"/>
    <mergeCell ref="B20:B21"/>
    <mergeCell ref="C20:C21"/>
    <mergeCell ref="A14:A15"/>
    <mergeCell ref="B14:B15"/>
    <mergeCell ref="C14:C15"/>
    <mergeCell ref="A16:A17"/>
    <mergeCell ref="B16:B17"/>
    <mergeCell ref="C16:C17"/>
    <mergeCell ref="A12:A13"/>
    <mergeCell ref="B12:B13"/>
    <mergeCell ref="C12:C13"/>
    <mergeCell ref="A8:A9"/>
    <mergeCell ref="B8:B9"/>
    <mergeCell ref="C8:C9"/>
    <mergeCell ref="B10:B11"/>
    <mergeCell ref="C10:C11"/>
    <mergeCell ref="A5:A6"/>
    <mergeCell ref="B5:B6"/>
    <mergeCell ref="C5:C6"/>
    <mergeCell ref="A10:A11"/>
    <mergeCell ref="D95:E95"/>
    <mergeCell ref="AE5:AE6"/>
    <mergeCell ref="Z5:Z6"/>
    <mergeCell ref="AB5:AB6"/>
    <mergeCell ref="AC5:AD5"/>
    <mergeCell ref="D77:E77"/>
    <mergeCell ref="D78:E78"/>
    <mergeCell ref="D79:E79"/>
    <mergeCell ref="D80:E80"/>
    <mergeCell ref="D81:E81"/>
    <mergeCell ref="D82:E82"/>
    <mergeCell ref="D85:E85"/>
    <mergeCell ref="D86:E86"/>
    <mergeCell ref="D87:E87"/>
    <mergeCell ref="D62:E62"/>
    <mergeCell ref="D83:E83"/>
    <mergeCell ref="D84:E84"/>
    <mergeCell ref="D75:E75"/>
    <mergeCell ref="D76:E76"/>
    <mergeCell ref="D74:E74"/>
    <mergeCell ref="D69:E69"/>
    <mergeCell ref="D70:E70"/>
    <mergeCell ref="Q5:W5"/>
    <mergeCell ref="F5:F6"/>
    <mergeCell ref="D106:E106"/>
    <mergeCell ref="D107:E107"/>
    <mergeCell ref="D98:E98"/>
    <mergeCell ref="D99:E99"/>
    <mergeCell ref="D108:E108"/>
    <mergeCell ref="D100:E100"/>
    <mergeCell ref="D117:E117"/>
    <mergeCell ref="D109:E109"/>
    <mergeCell ref="D104:E104"/>
    <mergeCell ref="D105:E105"/>
    <mergeCell ref="D115:E115"/>
    <mergeCell ref="D91:E91"/>
    <mergeCell ref="D92:E92"/>
    <mergeCell ref="D93:E93"/>
    <mergeCell ref="AF5:AF6"/>
    <mergeCell ref="D121:E121"/>
    <mergeCell ref="A124:A125"/>
    <mergeCell ref="B124:B125"/>
    <mergeCell ref="C124:C125"/>
    <mergeCell ref="A122:A123"/>
    <mergeCell ref="B122:B123"/>
    <mergeCell ref="D110:E110"/>
    <mergeCell ref="D111:E111"/>
    <mergeCell ref="D112:E112"/>
    <mergeCell ref="D94:E94"/>
    <mergeCell ref="D88:E88"/>
    <mergeCell ref="D89:E89"/>
    <mergeCell ref="D90:E90"/>
    <mergeCell ref="D116:E116"/>
    <mergeCell ref="D101:E101"/>
    <mergeCell ref="D102:E102"/>
    <mergeCell ref="D103:E103"/>
    <mergeCell ref="D113:E113"/>
    <mergeCell ref="D114:E114"/>
    <mergeCell ref="C54:C55"/>
    <mergeCell ref="C52:C53"/>
    <mergeCell ref="D49:E49"/>
    <mergeCell ref="D50:E50"/>
    <mergeCell ref="C48:C49"/>
    <mergeCell ref="D71:E71"/>
    <mergeCell ref="D72:E72"/>
    <mergeCell ref="C60:C61"/>
    <mergeCell ref="D68:E68"/>
    <mergeCell ref="D63:E63"/>
    <mergeCell ref="D64:E64"/>
    <mergeCell ref="D66:E66"/>
    <mergeCell ref="D65:E65"/>
    <mergeCell ref="D67:E67"/>
    <mergeCell ref="D61:E61"/>
    <mergeCell ref="C50:C51"/>
    <mergeCell ref="C64:C65"/>
    <mergeCell ref="D35:E35"/>
    <mergeCell ref="D36:E36"/>
    <mergeCell ref="D37:E37"/>
    <mergeCell ref="D42:E42"/>
    <mergeCell ref="C42:C43"/>
    <mergeCell ref="D34:E34"/>
    <mergeCell ref="D45:E45"/>
    <mergeCell ref="D59:E59"/>
    <mergeCell ref="D56:E56"/>
    <mergeCell ref="D53:E53"/>
    <mergeCell ref="C56:C57"/>
    <mergeCell ref="D57:E57"/>
    <mergeCell ref="C58:C59"/>
    <mergeCell ref="D43:E43"/>
    <mergeCell ref="D48:E48"/>
    <mergeCell ref="D55:E55"/>
    <mergeCell ref="D54:E54"/>
    <mergeCell ref="D52:E52"/>
    <mergeCell ref="D51:E51"/>
    <mergeCell ref="D58:E58"/>
    <mergeCell ref="C44:C45"/>
    <mergeCell ref="D47:E47"/>
    <mergeCell ref="D46:E46"/>
    <mergeCell ref="C46:C47"/>
    <mergeCell ref="AB138:AF138"/>
    <mergeCell ref="AB141:AF141"/>
    <mergeCell ref="AL5:AL6"/>
    <mergeCell ref="AG5:AG6"/>
    <mergeCell ref="AH5:AH6"/>
    <mergeCell ref="AI5:AI6"/>
    <mergeCell ref="AJ5:AJ6"/>
    <mergeCell ref="AK5:AK6"/>
    <mergeCell ref="D14:E14"/>
    <mergeCell ref="D12:E12"/>
    <mergeCell ref="D5:E6"/>
    <mergeCell ref="I5:P5"/>
    <mergeCell ref="D9:E9"/>
    <mergeCell ref="D7:E7"/>
    <mergeCell ref="D10:E10"/>
    <mergeCell ref="D15:E15"/>
    <mergeCell ref="D8:E8"/>
    <mergeCell ref="D38:E38"/>
    <mergeCell ref="D44:E44"/>
    <mergeCell ref="D41:E41"/>
    <mergeCell ref="D31:E31"/>
    <mergeCell ref="D32:E32"/>
    <mergeCell ref="D33:E33"/>
    <mergeCell ref="D28:E28"/>
    <mergeCell ref="D131:E131"/>
    <mergeCell ref="D16:E16"/>
    <mergeCell ref="D24:E24"/>
    <mergeCell ref="D29:E29"/>
    <mergeCell ref="D30:E30"/>
    <mergeCell ref="D27:E27"/>
    <mergeCell ref="AA5:AA6"/>
    <mergeCell ref="D19:E19"/>
    <mergeCell ref="D22:E22"/>
    <mergeCell ref="D18:E18"/>
    <mergeCell ref="D17:E17"/>
    <mergeCell ref="D20:E20"/>
    <mergeCell ref="D25:E25"/>
    <mergeCell ref="D26:E26"/>
    <mergeCell ref="D23:E23"/>
    <mergeCell ref="D21:E21"/>
    <mergeCell ref="D11:E11"/>
    <mergeCell ref="D13:E13"/>
    <mergeCell ref="D39:E39"/>
    <mergeCell ref="D40:E40"/>
    <mergeCell ref="D60:E60"/>
    <mergeCell ref="D73:E73"/>
    <mergeCell ref="D96:E96"/>
    <mergeCell ref="D97:E97"/>
  </mergeCells>
  <phoneticPr fontId="24" type="noConversion"/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X1185"/>
  <sheetViews>
    <sheetView topLeftCell="A238" zoomScale="70" zoomScaleNormal="70" workbookViewId="0">
      <selection activeCell="R671" sqref="R671:W671"/>
    </sheetView>
  </sheetViews>
  <sheetFormatPr defaultColWidth="9" defaultRowHeight="18.75" customHeight="1"/>
  <cols>
    <col min="1" max="1" width="11.875" style="48" customWidth="1"/>
    <col min="2" max="2" width="4.5" style="48" customWidth="1"/>
    <col min="3" max="3" width="6" style="48" customWidth="1"/>
    <col min="4" max="4" width="4.125" style="48" customWidth="1"/>
    <col min="5" max="9" width="4.375" style="48" customWidth="1"/>
    <col min="10" max="10" width="6" style="48" customWidth="1"/>
    <col min="11" max="11" width="17.75" style="48" customWidth="1"/>
    <col min="12" max="12" width="11.125" style="48" customWidth="1"/>
    <col min="13" max="13" width="11.625" style="48" customWidth="1"/>
    <col min="14" max="14" width="3.625" style="48" customWidth="1"/>
    <col min="15" max="15" width="5.5" style="48" customWidth="1"/>
    <col min="16" max="18" width="3.625" style="48" customWidth="1"/>
    <col min="19" max="19" width="9" style="48"/>
    <col min="20" max="20" width="3.875" style="48" customWidth="1"/>
    <col min="21" max="22" width="9" style="48"/>
    <col min="23" max="23" width="11.875" style="48" customWidth="1"/>
    <col min="24" max="16384" width="9" style="48"/>
  </cols>
  <sheetData>
    <row r="1" spans="1:24" ht="18.75" customHeight="1" thickTop="1">
      <c r="A1" s="445" t="s">
        <v>172</v>
      </c>
      <c r="B1" s="446"/>
      <c r="C1" s="446"/>
      <c r="D1" s="446"/>
      <c r="E1" s="446"/>
      <c r="F1" s="446"/>
      <c r="G1" s="446"/>
      <c r="H1" s="446"/>
      <c r="I1" s="446"/>
      <c r="J1" s="446"/>
      <c r="K1" s="447"/>
      <c r="L1" s="48">
        <v>26</v>
      </c>
      <c r="M1" s="445" t="s">
        <v>172</v>
      </c>
      <c r="N1" s="446"/>
      <c r="O1" s="446"/>
      <c r="P1" s="446"/>
      <c r="Q1" s="446"/>
      <c r="R1" s="446"/>
      <c r="S1" s="446"/>
      <c r="T1" s="446"/>
      <c r="U1" s="446"/>
      <c r="V1" s="446"/>
      <c r="W1" s="447"/>
      <c r="X1" s="48">
        <v>26</v>
      </c>
    </row>
    <row r="2" spans="1:24" ht="18.75" customHeight="1">
      <c r="A2" s="49" t="s">
        <v>87</v>
      </c>
      <c r="B2" s="50"/>
      <c r="C2" s="50"/>
      <c r="D2" s="50"/>
      <c r="E2" s="50"/>
      <c r="F2" s="50"/>
      <c r="G2" s="50"/>
      <c r="H2" s="50"/>
      <c r="I2" s="50"/>
      <c r="J2" s="50"/>
      <c r="K2" s="51"/>
      <c r="L2" s="48" t="s">
        <v>169</v>
      </c>
      <c r="M2" s="49" t="s">
        <v>88</v>
      </c>
      <c r="N2" s="50"/>
      <c r="O2" s="50"/>
      <c r="P2" s="50"/>
      <c r="Q2" s="50"/>
      <c r="R2" s="50"/>
      <c r="S2" s="50"/>
      <c r="T2" s="50"/>
      <c r="U2" s="50"/>
      <c r="V2" s="50"/>
      <c r="W2" s="51"/>
    </row>
    <row r="3" spans="1:24" ht="18.75" customHeight="1">
      <c r="A3" s="448" t="s">
        <v>39</v>
      </c>
      <c r="B3" s="449"/>
      <c r="C3" s="449"/>
      <c r="D3" s="449"/>
      <c r="E3" s="449"/>
      <c r="F3" s="449"/>
      <c r="G3" s="449"/>
      <c r="H3" s="449"/>
      <c r="I3" s="449"/>
      <c r="J3" s="449"/>
      <c r="K3" s="450"/>
      <c r="M3" s="448" t="s">
        <v>39</v>
      </c>
      <c r="N3" s="449"/>
      <c r="O3" s="449"/>
      <c r="P3" s="449"/>
      <c r="Q3" s="449"/>
      <c r="R3" s="449"/>
      <c r="S3" s="449"/>
      <c r="T3" s="449"/>
      <c r="U3" s="449"/>
      <c r="V3" s="449"/>
      <c r="W3" s="450"/>
    </row>
    <row r="4" spans="1:24" ht="18.75" customHeight="1">
      <c r="A4" s="440" t="s">
        <v>40</v>
      </c>
      <c r="B4" s="441"/>
      <c r="C4" s="441"/>
      <c r="D4" s="441"/>
      <c r="E4" s="52" t="s">
        <v>41</v>
      </c>
      <c r="F4" s="442">
        <f>'Bang TH nop'!B9</f>
        <v>0</v>
      </c>
      <c r="G4" s="441"/>
      <c r="H4" s="441"/>
      <c r="I4" s="441"/>
      <c r="J4" s="441"/>
      <c r="K4" s="444"/>
      <c r="M4" s="440" t="s">
        <v>40</v>
      </c>
      <c r="N4" s="441"/>
      <c r="O4" s="441"/>
      <c r="P4" s="441"/>
      <c r="Q4" s="52" t="s">
        <v>41</v>
      </c>
      <c r="R4" s="442">
        <f>'Bang TH nop'!B11</f>
        <v>0</v>
      </c>
      <c r="S4" s="441"/>
      <c r="T4" s="441"/>
      <c r="U4" s="441"/>
      <c r="V4" s="441"/>
      <c r="W4" s="444"/>
    </row>
    <row r="5" spans="1:24" ht="18.75" customHeight="1">
      <c r="A5" s="440" t="s">
        <v>42</v>
      </c>
      <c r="B5" s="441"/>
      <c r="C5" s="441"/>
      <c r="D5" s="441"/>
      <c r="E5" s="52" t="s">
        <v>41</v>
      </c>
      <c r="F5" s="442">
        <f>'Bang TH nop'!C9</f>
        <v>0</v>
      </c>
      <c r="G5" s="442"/>
      <c r="H5" s="442"/>
      <c r="I5" s="442"/>
      <c r="J5" s="442"/>
      <c r="K5" s="443"/>
      <c r="M5" s="440" t="s">
        <v>42</v>
      </c>
      <c r="N5" s="441"/>
      <c r="O5" s="441"/>
      <c r="P5" s="441"/>
      <c r="Q5" s="52" t="s">
        <v>41</v>
      </c>
      <c r="R5" s="442">
        <f>'Bang TH nop'!C11</f>
        <v>0</v>
      </c>
      <c r="S5" s="442"/>
      <c r="T5" s="442"/>
      <c r="U5" s="442"/>
      <c r="V5" s="442"/>
      <c r="W5" s="443"/>
    </row>
    <row r="6" spans="1:24" ht="18.75" customHeight="1">
      <c r="A6" s="440" t="s">
        <v>43</v>
      </c>
      <c r="B6" s="441"/>
      <c r="C6" s="441"/>
      <c r="D6" s="441"/>
      <c r="E6" s="52" t="s">
        <v>41</v>
      </c>
      <c r="F6" s="441" t="str">
        <f>+$L$2</f>
        <v xml:space="preserve">Tổ  </v>
      </c>
      <c r="G6" s="441"/>
      <c r="H6" s="441"/>
      <c r="I6" s="441"/>
      <c r="J6" s="441"/>
      <c r="K6" s="444"/>
      <c r="M6" s="440" t="s">
        <v>43</v>
      </c>
      <c r="N6" s="441"/>
      <c r="O6" s="441"/>
      <c r="P6" s="441"/>
      <c r="Q6" s="52" t="s">
        <v>41</v>
      </c>
      <c r="R6" s="441" t="str">
        <f>+$L$2</f>
        <v xml:space="preserve">Tổ  </v>
      </c>
      <c r="S6" s="441"/>
      <c r="T6" s="441"/>
      <c r="U6" s="441"/>
      <c r="V6" s="441"/>
      <c r="W6" s="444"/>
    </row>
    <row r="7" spans="1:24" ht="18.75" customHeight="1">
      <c r="A7" s="448" t="s">
        <v>44</v>
      </c>
      <c r="B7" s="449"/>
      <c r="C7" s="449"/>
      <c r="D7" s="449"/>
      <c r="E7" s="449"/>
      <c r="F7" s="449"/>
      <c r="G7" s="449"/>
      <c r="H7" s="449"/>
      <c r="I7" s="449"/>
      <c r="J7" s="449"/>
      <c r="K7" s="450"/>
      <c r="M7" s="448" t="s">
        <v>44</v>
      </c>
      <c r="N7" s="449"/>
      <c r="O7" s="449"/>
      <c r="P7" s="449"/>
      <c r="Q7" s="449"/>
      <c r="R7" s="449"/>
      <c r="S7" s="449"/>
      <c r="T7" s="449"/>
      <c r="U7" s="449"/>
      <c r="V7" s="449"/>
      <c r="W7" s="450"/>
    </row>
    <row r="8" spans="1:24" ht="18.75" customHeight="1">
      <c r="A8" s="440" t="s">
        <v>45</v>
      </c>
      <c r="B8" s="441"/>
      <c r="C8" s="441"/>
      <c r="D8" s="441"/>
      <c r="E8" s="52" t="s">
        <v>41</v>
      </c>
      <c r="F8" s="455">
        <f>VLOOKUP(F5,'Bang TH nop'!$C$9:$AP$266,29,0)</f>
        <v>0</v>
      </c>
      <c r="G8" s="455"/>
      <c r="H8" s="455"/>
      <c r="I8" s="455"/>
      <c r="J8" s="52" t="s">
        <v>46</v>
      </c>
      <c r="K8" s="54"/>
      <c r="M8" s="440" t="s">
        <v>45</v>
      </c>
      <c r="N8" s="441"/>
      <c r="O8" s="441"/>
      <c r="P8" s="441"/>
      <c r="Q8" s="52" t="s">
        <v>41</v>
      </c>
      <c r="R8" s="455">
        <f>VLOOKUP(R5,'Bang TH nop'!$C$9:$AP$266,29,0)</f>
        <v>0</v>
      </c>
      <c r="S8" s="455"/>
      <c r="T8" s="455"/>
      <c r="U8" s="455"/>
      <c r="V8" s="52" t="s">
        <v>46</v>
      </c>
      <c r="W8" s="54"/>
    </row>
    <row r="9" spans="1:24" ht="18.75" customHeight="1">
      <c r="A9" s="55" t="s">
        <v>47</v>
      </c>
      <c r="B9" s="52"/>
      <c r="C9" s="56"/>
      <c r="D9" s="57"/>
      <c r="E9" s="58"/>
      <c r="F9" s="58"/>
      <c r="G9" s="58"/>
      <c r="H9" s="52"/>
      <c r="I9" s="59">
        <f>'LƯƠNG Tx'!F9</f>
        <v>0</v>
      </c>
      <c r="J9" s="60"/>
      <c r="K9" s="61"/>
      <c r="M9" s="55" t="s">
        <v>47</v>
      </c>
      <c r="N9" s="52"/>
      <c r="O9" s="56"/>
      <c r="P9" s="57"/>
      <c r="Q9" s="58"/>
      <c r="R9" s="58"/>
      <c r="S9" s="58"/>
      <c r="T9" s="52"/>
      <c r="U9" s="59">
        <f>'LƯƠNG Tx'!F11</f>
        <v>0</v>
      </c>
      <c r="V9" s="60"/>
      <c r="W9" s="61"/>
    </row>
    <row r="10" spans="1:24" ht="18.75" customHeight="1">
      <c r="A10" s="55" t="s">
        <v>48</v>
      </c>
      <c r="B10" s="52"/>
      <c r="C10" s="56"/>
      <c r="D10" s="57"/>
      <c r="E10" s="58"/>
      <c r="F10" s="58"/>
      <c r="G10" s="58"/>
      <c r="H10" s="52"/>
      <c r="I10" s="59" t="e">
        <f>I11/C11/8</f>
        <v>#DIV/0!</v>
      </c>
      <c r="J10" s="60"/>
      <c r="K10" s="61"/>
      <c r="M10" s="55" t="s">
        <v>48</v>
      </c>
      <c r="N10" s="52"/>
      <c r="O10" s="56"/>
      <c r="P10" s="57"/>
      <c r="Q10" s="58"/>
      <c r="R10" s="58"/>
      <c r="S10" s="58"/>
      <c r="T10" s="52"/>
      <c r="U10" s="59" t="e">
        <f>U11/O11/8</f>
        <v>#DIV/0!</v>
      </c>
      <c r="V10" s="60"/>
      <c r="W10" s="61"/>
    </row>
    <row r="11" spans="1:24" ht="18.75" customHeight="1">
      <c r="A11" s="55" t="s">
        <v>49</v>
      </c>
      <c r="B11" s="52" t="s">
        <v>41</v>
      </c>
      <c r="C11" s="56">
        <f>'LƯƠNG Tx'!I8</f>
        <v>0</v>
      </c>
      <c r="D11" s="57" t="s">
        <v>50</v>
      </c>
      <c r="E11" s="453" t="s">
        <v>51</v>
      </c>
      <c r="F11" s="453"/>
      <c r="G11" s="453"/>
      <c r="H11" s="52" t="s">
        <v>41</v>
      </c>
      <c r="I11" s="454">
        <f>'LƯƠNG Tx'!I9</f>
        <v>0</v>
      </c>
      <c r="J11" s="454"/>
      <c r="K11" s="61" t="s">
        <v>46</v>
      </c>
      <c r="L11" s="62">
        <f>F8/L1*C11</f>
        <v>0</v>
      </c>
      <c r="M11" s="55" t="s">
        <v>49</v>
      </c>
      <c r="N11" s="52" t="s">
        <v>41</v>
      </c>
      <c r="O11" s="56">
        <f>'LƯƠNG Tx'!I10</f>
        <v>0</v>
      </c>
      <c r="P11" s="57" t="s">
        <v>50</v>
      </c>
      <c r="Q11" s="453" t="s">
        <v>51</v>
      </c>
      <c r="R11" s="453"/>
      <c r="S11" s="453"/>
      <c r="T11" s="52" t="s">
        <v>41</v>
      </c>
      <c r="U11" s="454">
        <f>'LƯƠNG Tx'!I11</f>
        <v>0</v>
      </c>
      <c r="V11" s="454"/>
      <c r="W11" s="61" t="s">
        <v>46</v>
      </c>
      <c r="X11" s="62">
        <f>R8/X1*O11</f>
        <v>0</v>
      </c>
    </row>
    <row r="12" spans="1:24" ht="18.75" customHeight="1">
      <c r="A12" s="55" t="s">
        <v>52</v>
      </c>
      <c r="B12" s="52" t="s">
        <v>41</v>
      </c>
      <c r="C12" s="56">
        <f>'LƯƠNG Tx'!J8</f>
        <v>0</v>
      </c>
      <c r="D12" s="57" t="s">
        <v>50</v>
      </c>
      <c r="E12" s="441" t="s">
        <v>53</v>
      </c>
      <c r="F12" s="441"/>
      <c r="G12" s="441"/>
      <c r="H12" s="52" t="s">
        <v>41</v>
      </c>
      <c r="I12" s="452">
        <f>$F$8/$L$1*C12</f>
        <v>0</v>
      </c>
      <c r="J12" s="452"/>
      <c r="K12" s="61" t="s">
        <v>46</v>
      </c>
      <c r="L12" s="62"/>
      <c r="M12" s="55" t="s">
        <v>52</v>
      </c>
      <c r="N12" s="52" t="s">
        <v>41</v>
      </c>
      <c r="O12" s="56">
        <f>'LƯƠNG Tx'!J10</f>
        <v>0</v>
      </c>
      <c r="P12" s="57" t="s">
        <v>50</v>
      </c>
      <c r="Q12" s="441" t="s">
        <v>53</v>
      </c>
      <c r="R12" s="441"/>
      <c r="S12" s="441"/>
      <c r="T12" s="52" t="s">
        <v>41</v>
      </c>
      <c r="U12" s="452">
        <f>$F$8/$L$1*O12</f>
        <v>0</v>
      </c>
      <c r="V12" s="452"/>
      <c r="W12" s="61" t="s">
        <v>46</v>
      </c>
      <c r="X12" s="62"/>
    </row>
    <row r="13" spans="1:24" ht="18.75" customHeight="1">
      <c r="A13" s="55" t="s">
        <v>54</v>
      </c>
      <c r="B13" s="52" t="s">
        <v>41</v>
      </c>
      <c r="C13" s="56">
        <f>'LƯƠNG Tx'!K8</f>
        <v>0</v>
      </c>
      <c r="D13" s="57" t="s">
        <v>50</v>
      </c>
      <c r="E13" s="451" t="s">
        <v>55</v>
      </c>
      <c r="F13" s="451"/>
      <c r="G13" s="451"/>
      <c r="H13" s="52" t="s">
        <v>41</v>
      </c>
      <c r="I13" s="452">
        <f>$F$8/$L$1*C13</f>
        <v>0</v>
      </c>
      <c r="J13" s="452"/>
      <c r="K13" s="61" t="s">
        <v>46</v>
      </c>
      <c r="L13" s="62"/>
      <c r="M13" s="55" t="s">
        <v>54</v>
      </c>
      <c r="N13" s="52" t="s">
        <v>41</v>
      </c>
      <c r="O13" s="56">
        <f>'LƯƠNG Tx'!K10</f>
        <v>0</v>
      </c>
      <c r="P13" s="57" t="s">
        <v>50</v>
      </c>
      <c r="Q13" s="451" t="s">
        <v>55</v>
      </c>
      <c r="R13" s="451"/>
      <c r="S13" s="451"/>
      <c r="T13" s="52" t="s">
        <v>41</v>
      </c>
      <c r="U13" s="452">
        <f>$F$8/$L$1*O13</f>
        <v>0</v>
      </c>
      <c r="V13" s="452"/>
      <c r="W13" s="61" t="s">
        <v>46</v>
      </c>
      <c r="X13" s="62"/>
    </row>
    <row r="14" spans="1:24" ht="18.75" customHeight="1">
      <c r="A14" s="55" t="s">
        <v>56</v>
      </c>
      <c r="B14" s="52" t="s">
        <v>41</v>
      </c>
      <c r="C14" s="56">
        <f>'LƯƠNG Tx'!L8</f>
        <v>0</v>
      </c>
      <c r="D14" s="57" t="s">
        <v>50</v>
      </c>
      <c r="E14" s="451" t="s">
        <v>57</v>
      </c>
      <c r="F14" s="451"/>
      <c r="G14" s="451"/>
      <c r="H14" s="52" t="s">
        <v>41</v>
      </c>
      <c r="I14" s="452">
        <f>$F$8/$L$1*C14</f>
        <v>0</v>
      </c>
      <c r="J14" s="452"/>
      <c r="K14" s="61" t="s">
        <v>46</v>
      </c>
      <c r="L14" s="62"/>
      <c r="M14" s="55" t="s">
        <v>56</v>
      </c>
      <c r="N14" s="52" t="s">
        <v>41</v>
      </c>
      <c r="O14" s="56">
        <f>'LƯƠNG Tx'!L10</f>
        <v>0</v>
      </c>
      <c r="P14" s="57" t="s">
        <v>50</v>
      </c>
      <c r="Q14" s="451" t="s">
        <v>57</v>
      </c>
      <c r="R14" s="451"/>
      <c r="S14" s="451"/>
      <c r="T14" s="52" t="s">
        <v>41</v>
      </c>
      <c r="U14" s="452">
        <f>$F$8/$L$1*O14</f>
        <v>0</v>
      </c>
      <c r="V14" s="452"/>
      <c r="W14" s="61" t="s">
        <v>46</v>
      </c>
      <c r="X14" s="62"/>
    </row>
    <row r="15" spans="1:24" ht="18.75" customHeight="1">
      <c r="A15" s="55" t="s">
        <v>58</v>
      </c>
      <c r="B15" s="52" t="s">
        <v>41</v>
      </c>
      <c r="C15" s="56">
        <f>'LƯƠNG Tx'!Q8</f>
        <v>0</v>
      </c>
      <c r="D15" s="57" t="s">
        <v>59</v>
      </c>
      <c r="E15" s="441" t="s">
        <v>60</v>
      </c>
      <c r="F15" s="441"/>
      <c r="G15" s="441"/>
      <c r="H15" s="52" t="s">
        <v>41</v>
      </c>
      <c r="I15" s="452">
        <f>'LƯƠNG Tx'!Q9</f>
        <v>0</v>
      </c>
      <c r="J15" s="452"/>
      <c r="K15" s="61" t="s">
        <v>46</v>
      </c>
      <c r="L15" s="62">
        <f>F8*C15/L1/8*1.5</f>
        <v>0</v>
      </c>
      <c r="M15" s="55" t="s">
        <v>58</v>
      </c>
      <c r="N15" s="52" t="s">
        <v>41</v>
      </c>
      <c r="O15" s="56">
        <f>'LƯƠNG Tx'!Q10</f>
        <v>0</v>
      </c>
      <c r="P15" s="57" t="s">
        <v>59</v>
      </c>
      <c r="Q15" s="441" t="s">
        <v>60</v>
      </c>
      <c r="R15" s="441"/>
      <c r="S15" s="441"/>
      <c r="T15" s="52" t="s">
        <v>41</v>
      </c>
      <c r="U15" s="452">
        <f>'LƯƠNG Tx'!Q11</f>
        <v>0</v>
      </c>
      <c r="V15" s="452"/>
      <c r="W15" s="61" t="s">
        <v>46</v>
      </c>
      <c r="X15" s="62">
        <f>R8*O15/X1/8*1.5</f>
        <v>0</v>
      </c>
    </row>
    <row r="16" spans="1:24" ht="18.75" customHeight="1">
      <c r="A16" s="440" t="s">
        <v>170</v>
      </c>
      <c r="B16" s="441"/>
      <c r="C16" s="56"/>
      <c r="D16" s="57" t="s">
        <v>50</v>
      </c>
      <c r="E16" s="441" t="s">
        <v>171</v>
      </c>
      <c r="F16" s="441"/>
      <c r="G16" s="441"/>
      <c r="H16" s="63" t="s">
        <v>41</v>
      </c>
      <c r="I16" s="452"/>
      <c r="J16" s="452"/>
      <c r="K16" s="61" t="s">
        <v>46</v>
      </c>
      <c r="L16" s="62"/>
      <c r="M16" s="440" t="s">
        <v>170</v>
      </c>
      <c r="N16" s="441"/>
      <c r="O16" s="56"/>
      <c r="P16" s="57" t="s">
        <v>50</v>
      </c>
      <c r="Q16" s="441" t="s">
        <v>171</v>
      </c>
      <c r="R16" s="441"/>
      <c r="S16" s="441"/>
      <c r="T16" s="63" t="s">
        <v>41</v>
      </c>
      <c r="U16" s="452"/>
      <c r="V16" s="452"/>
      <c r="W16" s="61" t="s">
        <v>46</v>
      </c>
      <c r="X16" s="62"/>
    </row>
    <row r="17" spans="1:24" ht="18.75" customHeight="1">
      <c r="A17" s="55" t="s">
        <v>63</v>
      </c>
      <c r="B17" s="52" t="s">
        <v>41</v>
      </c>
      <c r="C17" s="56"/>
      <c r="D17" s="57" t="s">
        <v>50</v>
      </c>
      <c r="E17" s="441" t="s">
        <v>64</v>
      </c>
      <c r="F17" s="441"/>
      <c r="G17" s="441"/>
      <c r="H17" s="52" t="s">
        <v>41</v>
      </c>
      <c r="I17" s="452"/>
      <c r="J17" s="452"/>
      <c r="K17" s="61" t="s">
        <v>46</v>
      </c>
      <c r="L17" s="62"/>
      <c r="M17" s="55" t="s">
        <v>63</v>
      </c>
      <c r="N17" s="52" t="s">
        <v>41</v>
      </c>
      <c r="O17" s="56"/>
      <c r="P17" s="57" t="s">
        <v>50</v>
      </c>
      <c r="Q17" s="441" t="s">
        <v>64</v>
      </c>
      <c r="R17" s="441"/>
      <c r="S17" s="441"/>
      <c r="T17" s="52" t="s">
        <v>41</v>
      </c>
      <c r="U17" s="452"/>
      <c r="V17" s="452"/>
      <c r="W17" s="61" t="s">
        <v>46</v>
      </c>
      <c r="X17" s="62"/>
    </row>
    <row r="18" spans="1:24" ht="18.75" customHeight="1">
      <c r="A18" s="64" t="s">
        <v>65</v>
      </c>
      <c r="B18" s="52"/>
      <c r="C18" s="56">
        <f>'LƯƠNG Tx'!M8</f>
        <v>0</v>
      </c>
      <c r="D18" s="57" t="s">
        <v>59</v>
      </c>
      <c r="E18" s="441" t="s">
        <v>66</v>
      </c>
      <c r="F18" s="441"/>
      <c r="G18" s="441"/>
      <c r="H18" s="52" t="s">
        <v>41</v>
      </c>
      <c r="I18" s="452">
        <f>$F$8*C18/8/$L$1</f>
        <v>0</v>
      </c>
      <c r="J18" s="452"/>
      <c r="K18" s="61" t="s">
        <v>46</v>
      </c>
      <c r="L18" s="62"/>
      <c r="M18" s="64" t="s">
        <v>65</v>
      </c>
      <c r="N18" s="52"/>
      <c r="O18" s="56">
        <f>'LƯƠNG Tx'!M10</f>
        <v>0</v>
      </c>
      <c r="P18" s="57" t="s">
        <v>59</v>
      </c>
      <c r="Q18" s="441" t="s">
        <v>66</v>
      </c>
      <c r="R18" s="441"/>
      <c r="S18" s="441"/>
      <c r="T18" s="52" t="s">
        <v>41</v>
      </c>
      <c r="U18" s="452">
        <f>$F$8*O18/8/$L$1</f>
        <v>0</v>
      </c>
      <c r="V18" s="452"/>
      <c r="W18" s="61" t="s">
        <v>46</v>
      </c>
      <c r="X18" s="62"/>
    </row>
    <row r="19" spans="1:24" ht="18.75" customHeight="1">
      <c r="A19" s="55" t="s">
        <v>167</v>
      </c>
      <c r="B19" s="52" t="s">
        <v>41</v>
      </c>
      <c r="C19" s="56"/>
      <c r="D19" s="57" t="s">
        <v>59</v>
      </c>
      <c r="E19" s="441" t="s">
        <v>73</v>
      </c>
      <c r="F19" s="441"/>
      <c r="G19" s="441"/>
      <c r="H19" s="52" t="s">
        <v>41</v>
      </c>
      <c r="I19" s="454"/>
      <c r="J19" s="454"/>
      <c r="K19" s="61" t="s">
        <v>46</v>
      </c>
      <c r="L19" s="62"/>
      <c r="M19" s="55" t="s">
        <v>167</v>
      </c>
      <c r="N19" s="52" t="s">
        <v>41</v>
      </c>
      <c r="O19" s="56"/>
      <c r="P19" s="57" t="s">
        <v>59</v>
      </c>
      <c r="Q19" s="441" t="s">
        <v>73</v>
      </c>
      <c r="R19" s="441"/>
      <c r="S19" s="441"/>
      <c r="T19" s="52" t="s">
        <v>41</v>
      </c>
      <c r="U19" s="454"/>
      <c r="V19" s="454"/>
      <c r="W19" s="61" t="s">
        <v>46</v>
      </c>
      <c r="X19" s="62"/>
    </row>
    <row r="20" spans="1:24" ht="18.75" customHeight="1">
      <c r="A20" s="55" t="s">
        <v>69</v>
      </c>
      <c r="B20" s="52" t="s">
        <v>41</v>
      </c>
      <c r="C20" s="56"/>
      <c r="D20" s="57" t="s">
        <v>70</v>
      </c>
      <c r="E20" s="53" t="s">
        <v>71</v>
      </c>
      <c r="F20" s="53"/>
      <c r="G20" s="53"/>
      <c r="H20" s="52" t="s">
        <v>41</v>
      </c>
      <c r="I20" s="452"/>
      <c r="J20" s="452"/>
      <c r="K20" s="61" t="s">
        <v>46</v>
      </c>
      <c r="L20" s="62">
        <f>+IF(L11-I11&lt;0,0,L11-I11)+IF(L15-I15&lt;0,0,L15-I15)</f>
        <v>0</v>
      </c>
      <c r="M20" s="55" t="s">
        <v>69</v>
      </c>
      <c r="N20" s="52" t="s">
        <v>41</v>
      </c>
      <c r="O20" s="56"/>
      <c r="P20" s="57" t="s">
        <v>70</v>
      </c>
      <c r="Q20" s="53" t="s">
        <v>71</v>
      </c>
      <c r="R20" s="53"/>
      <c r="S20" s="53"/>
      <c r="T20" s="52" t="s">
        <v>41</v>
      </c>
      <c r="U20" s="452"/>
      <c r="V20" s="452"/>
      <c r="W20" s="61" t="s">
        <v>46</v>
      </c>
      <c r="X20" s="62">
        <f>+IF(X11-U11&lt;0,0,X11-U11)+IF(X15-U15&lt;0,0,X15-U15)</f>
        <v>0</v>
      </c>
    </row>
    <row r="21" spans="1:24" ht="18.75" customHeight="1">
      <c r="A21" s="65" t="s">
        <v>164</v>
      </c>
      <c r="B21" s="66"/>
      <c r="C21" s="56"/>
      <c r="D21" s="57" t="s">
        <v>50</v>
      </c>
      <c r="E21" s="441" t="s">
        <v>165</v>
      </c>
      <c r="F21" s="441"/>
      <c r="G21" s="441"/>
      <c r="H21" s="52" t="s">
        <v>41</v>
      </c>
      <c r="I21" s="452"/>
      <c r="J21" s="452"/>
      <c r="K21" s="61" t="s">
        <v>46</v>
      </c>
      <c r="L21" s="62"/>
      <c r="M21" s="65" t="s">
        <v>164</v>
      </c>
      <c r="N21" s="66"/>
      <c r="O21" s="56"/>
      <c r="P21" s="57" t="s">
        <v>50</v>
      </c>
      <c r="Q21" s="441" t="s">
        <v>165</v>
      </c>
      <c r="R21" s="441"/>
      <c r="S21" s="441"/>
      <c r="T21" s="52" t="s">
        <v>41</v>
      </c>
      <c r="U21" s="452"/>
      <c r="V21" s="452"/>
      <c r="W21" s="61" t="s">
        <v>46</v>
      </c>
      <c r="X21" s="62"/>
    </row>
    <row r="22" spans="1:24" ht="18.75" customHeight="1">
      <c r="A22" s="460" t="s">
        <v>166</v>
      </c>
      <c r="B22" s="461"/>
      <c r="C22" s="56"/>
      <c r="D22" s="57"/>
      <c r="E22" s="58"/>
      <c r="F22" s="58"/>
      <c r="G22" s="58"/>
      <c r="H22" s="52" t="s">
        <v>41</v>
      </c>
      <c r="I22" s="452">
        <f>'LƯƠNG Tx'!P9</f>
        <v>0</v>
      </c>
      <c r="J22" s="452"/>
      <c r="K22" s="61" t="s">
        <v>46</v>
      </c>
      <c r="L22" s="62"/>
      <c r="M22" s="460" t="s">
        <v>166</v>
      </c>
      <c r="N22" s="461"/>
      <c r="O22" s="56"/>
      <c r="P22" s="57"/>
      <c r="Q22" s="58"/>
      <c r="R22" s="58"/>
      <c r="S22" s="58"/>
      <c r="T22" s="52" t="s">
        <v>41</v>
      </c>
      <c r="U22" s="452">
        <f>'LƯƠNG Tx'!P11</f>
        <v>0</v>
      </c>
      <c r="V22" s="452"/>
      <c r="W22" s="61" t="s">
        <v>46</v>
      </c>
      <c r="X22" s="62"/>
    </row>
    <row r="23" spans="1:24" ht="18.75" customHeight="1">
      <c r="A23" s="55" t="s">
        <v>75</v>
      </c>
      <c r="B23" s="52" t="s">
        <v>41</v>
      </c>
      <c r="C23" s="56"/>
      <c r="D23" s="57"/>
      <c r="E23" s="58" t="s">
        <v>76</v>
      </c>
      <c r="F23" s="58"/>
      <c r="G23" s="58"/>
      <c r="H23" s="52" t="s">
        <v>41</v>
      </c>
      <c r="I23" s="452">
        <f>L20</f>
        <v>0</v>
      </c>
      <c r="J23" s="452"/>
      <c r="K23" s="61" t="s">
        <v>46</v>
      </c>
      <c r="L23" s="62"/>
      <c r="M23" s="55" t="s">
        <v>75</v>
      </c>
      <c r="N23" s="52" t="s">
        <v>41</v>
      </c>
      <c r="O23" s="56"/>
      <c r="P23" s="57"/>
      <c r="Q23" s="58" t="s">
        <v>76</v>
      </c>
      <c r="R23" s="58"/>
      <c r="S23" s="58"/>
      <c r="T23" s="52" t="s">
        <v>41</v>
      </c>
      <c r="U23" s="452">
        <f>X20</f>
        <v>0</v>
      </c>
      <c r="V23" s="452"/>
      <c r="W23" s="61" t="s">
        <v>46</v>
      </c>
      <c r="X23" s="62"/>
    </row>
    <row r="24" spans="1:24" ht="18.75" customHeight="1">
      <c r="A24" s="456" t="s">
        <v>77</v>
      </c>
      <c r="B24" s="457"/>
      <c r="C24" s="457"/>
      <c r="D24" s="457"/>
      <c r="E24" s="457"/>
      <c r="F24" s="457"/>
      <c r="G24" s="52" t="s">
        <v>41</v>
      </c>
      <c r="H24" s="458">
        <f>I11+I12+I13+I14+I15+I18+I22+I23+I16+I17+I19+I20+I21+C22</f>
        <v>0</v>
      </c>
      <c r="I24" s="459"/>
      <c r="J24" s="459"/>
      <c r="K24" s="61" t="s">
        <v>46</v>
      </c>
      <c r="M24" s="456" t="s">
        <v>77</v>
      </c>
      <c r="N24" s="457"/>
      <c r="O24" s="457"/>
      <c r="P24" s="457"/>
      <c r="Q24" s="457"/>
      <c r="R24" s="457"/>
      <c r="S24" s="52" t="s">
        <v>41</v>
      </c>
      <c r="T24" s="458">
        <f>U11+U12+U13+U14+U15+U18+U22+U23+U16+U17+U19+U20+U21+O22</f>
        <v>0</v>
      </c>
      <c r="U24" s="459"/>
      <c r="V24" s="459"/>
      <c r="W24" s="61" t="s">
        <v>46</v>
      </c>
    </row>
    <row r="25" spans="1:24" ht="18.75" customHeight="1">
      <c r="A25" s="67"/>
      <c r="B25" s="68"/>
      <c r="C25" s="68"/>
      <c r="D25" s="68"/>
      <c r="E25" s="68"/>
      <c r="F25" s="68"/>
      <c r="G25" s="68"/>
      <c r="H25" s="68"/>
      <c r="I25" s="68"/>
      <c r="J25" s="68"/>
      <c r="K25" s="69"/>
      <c r="M25" s="67"/>
      <c r="N25" s="68"/>
      <c r="O25" s="68"/>
      <c r="P25" s="68"/>
      <c r="Q25" s="68"/>
      <c r="R25" s="68"/>
      <c r="S25" s="68"/>
      <c r="T25" s="68"/>
      <c r="U25" s="68"/>
      <c r="V25" s="68"/>
      <c r="W25" s="69"/>
    </row>
    <row r="26" spans="1:24" ht="18.75" customHeight="1">
      <c r="A26" s="468" t="s">
        <v>78</v>
      </c>
      <c r="B26" s="469"/>
      <c r="C26" s="469"/>
      <c r="D26" s="469"/>
      <c r="E26" s="469"/>
      <c r="F26" s="469"/>
      <c r="G26" s="52"/>
      <c r="H26" s="52"/>
      <c r="I26" s="52"/>
      <c r="J26" s="52"/>
      <c r="K26" s="61"/>
      <c r="M26" s="468" t="s">
        <v>78</v>
      </c>
      <c r="N26" s="469"/>
      <c r="O26" s="469"/>
      <c r="P26" s="469"/>
      <c r="Q26" s="469"/>
      <c r="R26" s="469"/>
      <c r="S26" s="52"/>
      <c r="T26" s="52"/>
      <c r="U26" s="52"/>
      <c r="V26" s="52"/>
      <c r="W26" s="61"/>
    </row>
    <row r="27" spans="1:24" ht="18.75" customHeight="1">
      <c r="A27" s="462" t="s">
        <v>79</v>
      </c>
      <c r="B27" s="463"/>
      <c r="C27" s="463"/>
      <c r="D27" s="463"/>
      <c r="E27" s="463"/>
      <c r="F27" s="463"/>
      <c r="G27" s="52" t="s">
        <v>41</v>
      </c>
      <c r="H27" s="470">
        <f>IF(($L$1-(C11+C12+C13+C14))&gt;12,0,F8*8%)</f>
        <v>0</v>
      </c>
      <c r="I27" s="470"/>
      <c r="J27" s="470"/>
      <c r="K27" s="61" t="s">
        <v>46</v>
      </c>
      <c r="M27" s="462" t="s">
        <v>79</v>
      </c>
      <c r="N27" s="463"/>
      <c r="O27" s="463"/>
      <c r="P27" s="463"/>
      <c r="Q27" s="463"/>
      <c r="R27" s="463"/>
      <c r="S27" s="52" t="s">
        <v>41</v>
      </c>
      <c r="T27" s="470">
        <f>IF(($L$1-(O11+O12+O13+O14))&gt;12,0,R8*8%)</f>
        <v>0</v>
      </c>
      <c r="U27" s="470"/>
      <c r="V27" s="470"/>
      <c r="W27" s="61" t="s">
        <v>46</v>
      </c>
    </row>
    <row r="28" spans="1:24" ht="18.75" customHeight="1">
      <c r="A28" s="462" t="s">
        <v>80</v>
      </c>
      <c r="B28" s="463"/>
      <c r="C28" s="463"/>
      <c r="D28" s="463"/>
      <c r="E28" s="463"/>
      <c r="F28" s="463"/>
      <c r="G28" s="52" t="s">
        <v>41</v>
      </c>
      <c r="H28" s="464">
        <f>IF(($L$1-(C11+C12+C13+C14))&gt;12,0,F8*1.5%)</f>
        <v>0</v>
      </c>
      <c r="I28" s="464"/>
      <c r="J28" s="464"/>
      <c r="K28" s="61" t="s">
        <v>46</v>
      </c>
      <c r="M28" s="462" t="s">
        <v>80</v>
      </c>
      <c r="N28" s="463"/>
      <c r="O28" s="463"/>
      <c r="P28" s="463"/>
      <c r="Q28" s="463"/>
      <c r="R28" s="463"/>
      <c r="S28" s="52" t="s">
        <v>41</v>
      </c>
      <c r="T28" s="464">
        <f>IF(($L$1-(O11+O12+O13+O14))&gt;12,0,R8*1.5%)</f>
        <v>0</v>
      </c>
      <c r="U28" s="464"/>
      <c r="V28" s="464"/>
      <c r="W28" s="61" t="s">
        <v>46</v>
      </c>
    </row>
    <row r="29" spans="1:24" ht="18.75" customHeight="1">
      <c r="A29" s="462" t="s">
        <v>81</v>
      </c>
      <c r="B29" s="463"/>
      <c r="C29" s="463"/>
      <c r="D29" s="463"/>
      <c r="E29" s="463"/>
      <c r="F29" s="463"/>
      <c r="G29" s="52" t="s">
        <v>41</v>
      </c>
      <c r="H29" s="464">
        <f>IF(($L$1-(C11+C12+C13+C14))&gt;12,0,F8*1%)</f>
        <v>0</v>
      </c>
      <c r="I29" s="464"/>
      <c r="J29" s="464"/>
      <c r="K29" s="61" t="s">
        <v>46</v>
      </c>
      <c r="M29" s="462" t="s">
        <v>81</v>
      </c>
      <c r="N29" s="463"/>
      <c r="O29" s="463"/>
      <c r="P29" s="463"/>
      <c r="Q29" s="463"/>
      <c r="R29" s="463"/>
      <c r="S29" s="52" t="s">
        <v>41</v>
      </c>
      <c r="T29" s="464">
        <f>IF(($L$1-(O11+O12+O13+O14))&gt;12,0,R8*1%)</f>
        <v>0</v>
      </c>
      <c r="U29" s="464"/>
      <c r="V29" s="464"/>
      <c r="W29" s="61" t="s">
        <v>46</v>
      </c>
    </row>
    <row r="30" spans="1:24" ht="18.75" customHeight="1">
      <c r="A30" s="462" t="s">
        <v>82</v>
      </c>
      <c r="B30" s="463"/>
      <c r="C30" s="463"/>
      <c r="D30" s="463"/>
      <c r="E30" s="463"/>
      <c r="F30" s="463"/>
      <c r="G30" s="52" t="s">
        <v>41</v>
      </c>
      <c r="H30" s="464">
        <v>0</v>
      </c>
      <c r="I30" s="464"/>
      <c r="J30" s="464"/>
      <c r="K30" s="61" t="s">
        <v>46</v>
      </c>
      <c r="M30" s="462" t="s">
        <v>82</v>
      </c>
      <c r="N30" s="463"/>
      <c r="O30" s="463"/>
      <c r="P30" s="463"/>
      <c r="Q30" s="463"/>
      <c r="R30" s="463"/>
      <c r="S30" s="52" t="s">
        <v>41</v>
      </c>
      <c r="T30" s="464">
        <v>0</v>
      </c>
      <c r="U30" s="464"/>
      <c r="V30" s="464"/>
      <c r="W30" s="61" t="s">
        <v>46</v>
      </c>
    </row>
    <row r="31" spans="1:24" ht="18.75" customHeight="1">
      <c r="A31" s="465" t="s">
        <v>83</v>
      </c>
      <c r="B31" s="466"/>
      <c r="C31" s="466"/>
      <c r="D31" s="466"/>
      <c r="E31" s="466"/>
      <c r="F31" s="466"/>
      <c r="G31" s="52" t="s">
        <v>41</v>
      </c>
      <c r="H31" s="467">
        <f>SUM(H27:J30)</f>
        <v>0</v>
      </c>
      <c r="I31" s="467"/>
      <c r="J31" s="467"/>
      <c r="K31" s="61" t="s">
        <v>46</v>
      </c>
      <c r="M31" s="465" t="s">
        <v>83</v>
      </c>
      <c r="N31" s="466"/>
      <c r="O31" s="466"/>
      <c r="P31" s="466"/>
      <c r="Q31" s="466"/>
      <c r="R31" s="466"/>
      <c r="S31" s="52" t="s">
        <v>41</v>
      </c>
      <c r="T31" s="467">
        <f>SUM(T27:V30)</f>
        <v>0</v>
      </c>
      <c r="U31" s="467"/>
      <c r="V31" s="467"/>
      <c r="W31" s="61" t="s">
        <v>46</v>
      </c>
    </row>
    <row r="32" spans="1:24" ht="18.75" customHeight="1">
      <c r="A32" s="462" t="s">
        <v>84</v>
      </c>
      <c r="B32" s="463"/>
      <c r="C32" s="463"/>
      <c r="D32" s="463"/>
      <c r="E32" s="463"/>
      <c r="F32" s="463"/>
      <c r="G32" s="52" t="s">
        <v>41</v>
      </c>
      <c r="H32" s="475">
        <f>ROUND(H24-H31,-2)</f>
        <v>0</v>
      </c>
      <c r="I32" s="475"/>
      <c r="J32" s="475"/>
      <c r="K32" s="61" t="s">
        <v>46</v>
      </c>
      <c r="M32" s="462" t="s">
        <v>84</v>
      </c>
      <c r="N32" s="463"/>
      <c r="O32" s="463"/>
      <c r="P32" s="463"/>
      <c r="Q32" s="463"/>
      <c r="R32" s="463"/>
      <c r="S32" s="52" t="s">
        <v>41</v>
      </c>
      <c r="T32" s="475">
        <f>ROUND(T24-T31,-2)</f>
        <v>0</v>
      </c>
      <c r="U32" s="475"/>
      <c r="V32" s="475"/>
      <c r="W32" s="61" t="s">
        <v>46</v>
      </c>
    </row>
    <row r="33" spans="1:24" ht="18.75" customHeight="1">
      <c r="A33" s="70"/>
      <c r="B33" s="71"/>
      <c r="C33" s="71"/>
      <c r="D33" s="71"/>
      <c r="E33" s="71"/>
      <c r="F33" s="71"/>
      <c r="G33" s="71"/>
      <c r="H33" s="71"/>
      <c r="I33" s="71"/>
      <c r="J33" s="71"/>
      <c r="K33" s="72"/>
      <c r="M33" s="70"/>
      <c r="N33" s="71"/>
      <c r="O33" s="71"/>
      <c r="P33" s="71"/>
      <c r="Q33" s="71"/>
      <c r="R33" s="71"/>
      <c r="S33" s="71"/>
      <c r="T33" s="71"/>
      <c r="U33" s="71"/>
      <c r="V33" s="71"/>
      <c r="W33" s="72"/>
    </row>
    <row r="34" spans="1:24" ht="18.75" customHeight="1">
      <c r="A34" s="73"/>
      <c r="B34" s="52"/>
      <c r="C34" s="52"/>
      <c r="D34" s="52"/>
      <c r="E34" s="52"/>
      <c r="F34" s="52"/>
      <c r="G34" s="52"/>
      <c r="H34" s="52"/>
      <c r="I34" s="472" t="s">
        <v>85</v>
      </c>
      <c r="J34" s="472"/>
      <c r="K34" s="476"/>
      <c r="M34" s="73"/>
      <c r="N34" s="52"/>
      <c r="O34" s="52"/>
      <c r="P34" s="52"/>
      <c r="Q34" s="52"/>
      <c r="R34" s="52"/>
      <c r="S34" s="52"/>
      <c r="T34" s="52"/>
      <c r="U34" s="472" t="s">
        <v>85</v>
      </c>
      <c r="V34" s="472"/>
      <c r="W34" s="476"/>
    </row>
    <row r="35" spans="1:24" ht="18.75" customHeight="1">
      <c r="A35" s="73"/>
      <c r="B35" s="471"/>
      <c r="C35" s="472"/>
      <c r="D35" s="472"/>
      <c r="E35" s="472"/>
      <c r="F35" s="52"/>
      <c r="G35" s="52"/>
      <c r="H35" s="52"/>
      <c r="I35" s="52"/>
      <c r="J35" s="52"/>
      <c r="K35" s="54"/>
      <c r="M35" s="73"/>
      <c r="N35" s="471"/>
      <c r="O35" s="472"/>
      <c r="P35" s="472"/>
      <c r="Q35" s="472"/>
      <c r="R35" s="52"/>
      <c r="S35" s="52"/>
      <c r="T35" s="52"/>
      <c r="U35" s="52"/>
      <c r="V35" s="52"/>
      <c r="W35" s="54"/>
    </row>
    <row r="36" spans="1:24" ht="18.75" customHeight="1" thickBot="1">
      <c r="A36" s="75"/>
      <c r="B36" s="76"/>
      <c r="C36" s="76"/>
      <c r="D36" s="76"/>
      <c r="E36" s="76"/>
      <c r="F36" s="76"/>
      <c r="G36" s="76"/>
      <c r="H36" s="76"/>
      <c r="I36" s="473" t="s">
        <v>86</v>
      </c>
      <c r="J36" s="473"/>
      <c r="K36" s="474"/>
      <c r="M36" s="75"/>
      <c r="N36" s="76"/>
      <c r="O36" s="76"/>
      <c r="P36" s="76"/>
      <c r="Q36" s="76"/>
      <c r="R36" s="76"/>
      <c r="S36" s="76"/>
      <c r="T36" s="76"/>
      <c r="U36" s="473" t="s">
        <v>86</v>
      </c>
      <c r="V36" s="473"/>
      <c r="W36" s="474"/>
    </row>
    <row r="37" spans="1:24" ht="18.75" customHeight="1" thickTop="1"/>
    <row r="38" spans="1:24" ht="18.75" customHeight="1" thickBot="1"/>
    <row r="39" spans="1:24" ht="18.75" customHeight="1" thickTop="1">
      <c r="A39" s="445" t="s">
        <v>172</v>
      </c>
      <c r="B39" s="446"/>
      <c r="C39" s="446"/>
      <c r="D39" s="446"/>
      <c r="E39" s="446"/>
      <c r="F39" s="446"/>
      <c r="G39" s="446"/>
      <c r="H39" s="446"/>
      <c r="I39" s="446"/>
      <c r="J39" s="446"/>
      <c r="K39" s="447"/>
      <c r="L39" s="48">
        <v>26</v>
      </c>
      <c r="M39" s="445" t="s">
        <v>172</v>
      </c>
      <c r="N39" s="446"/>
      <c r="O39" s="446"/>
      <c r="P39" s="446"/>
      <c r="Q39" s="446"/>
      <c r="R39" s="446"/>
      <c r="S39" s="446"/>
      <c r="T39" s="446"/>
      <c r="U39" s="446"/>
      <c r="V39" s="446"/>
      <c r="W39" s="447"/>
      <c r="X39" s="48">
        <v>26</v>
      </c>
    </row>
    <row r="40" spans="1:24" ht="18.75" customHeight="1">
      <c r="A40" s="49" t="s">
        <v>89</v>
      </c>
      <c r="B40" s="50"/>
      <c r="C40" s="50"/>
      <c r="D40" s="50"/>
      <c r="E40" s="50"/>
      <c r="F40" s="50"/>
      <c r="G40" s="50"/>
      <c r="H40" s="50"/>
      <c r="I40" s="50"/>
      <c r="J40" s="50"/>
      <c r="K40" s="51"/>
      <c r="M40" s="49" t="s">
        <v>90</v>
      </c>
      <c r="N40" s="50"/>
      <c r="O40" s="50"/>
      <c r="P40" s="50"/>
      <c r="Q40" s="50"/>
      <c r="R40" s="50"/>
      <c r="S40" s="50"/>
      <c r="T40" s="50"/>
      <c r="U40" s="50"/>
      <c r="V40" s="50"/>
      <c r="W40" s="51"/>
    </row>
    <row r="41" spans="1:24" ht="18.75" customHeight="1">
      <c r="A41" s="448" t="s">
        <v>39</v>
      </c>
      <c r="B41" s="449"/>
      <c r="C41" s="449"/>
      <c r="D41" s="449"/>
      <c r="E41" s="449"/>
      <c r="F41" s="449"/>
      <c r="G41" s="449"/>
      <c r="H41" s="449"/>
      <c r="I41" s="449"/>
      <c r="J41" s="449"/>
      <c r="K41" s="450"/>
      <c r="M41" s="448" t="s">
        <v>39</v>
      </c>
      <c r="N41" s="449"/>
      <c r="O41" s="449"/>
      <c r="P41" s="449"/>
      <c r="Q41" s="449"/>
      <c r="R41" s="449"/>
      <c r="S41" s="449"/>
      <c r="T41" s="449"/>
      <c r="U41" s="449"/>
      <c r="V41" s="449"/>
      <c r="W41" s="450"/>
    </row>
    <row r="42" spans="1:24" ht="18.75" customHeight="1">
      <c r="A42" s="440" t="s">
        <v>40</v>
      </c>
      <c r="B42" s="441"/>
      <c r="C42" s="441"/>
      <c r="D42" s="441"/>
      <c r="E42" s="52" t="s">
        <v>41</v>
      </c>
      <c r="F42" s="442">
        <f>'Bang TH nop'!B13</f>
        <v>0</v>
      </c>
      <c r="G42" s="441"/>
      <c r="H42" s="441"/>
      <c r="I42" s="441"/>
      <c r="J42" s="441"/>
      <c r="K42" s="444"/>
      <c r="M42" s="440" t="s">
        <v>40</v>
      </c>
      <c r="N42" s="441"/>
      <c r="O42" s="441"/>
      <c r="P42" s="441"/>
      <c r="Q42" s="52" t="s">
        <v>41</v>
      </c>
      <c r="R42" s="442">
        <f>'Bang TH nop'!B15</f>
        <v>0</v>
      </c>
      <c r="S42" s="441"/>
      <c r="T42" s="441"/>
      <c r="U42" s="441"/>
      <c r="V42" s="441"/>
      <c r="W42" s="444"/>
    </row>
    <row r="43" spans="1:24" ht="18.75" customHeight="1">
      <c r="A43" s="440" t="s">
        <v>42</v>
      </c>
      <c r="B43" s="441"/>
      <c r="C43" s="441"/>
      <c r="D43" s="441"/>
      <c r="E43" s="52" t="s">
        <v>41</v>
      </c>
      <c r="F43" s="442">
        <f>'Bang TH nop'!C13</f>
        <v>0</v>
      </c>
      <c r="G43" s="442"/>
      <c r="H43" s="442"/>
      <c r="I43" s="442"/>
      <c r="J43" s="442"/>
      <c r="K43" s="443"/>
      <c r="M43" s="440" t="s">
        <v>42</v>
      </c>
      <c r="N43" s="441"/>
      <c r="O43" s="441"/>
      <c r="P43" s="441"/>
      <c r="Q43" s="52" t="s">
        <v>41</v>
      </c>
      <c r="R43" s="442">
        <f>'Bang TH nop'!C15</f>
        <v>0</v>
      </c>
      <c r="S43" s="442"/>
      <c r="T43" s="442"/>
      <c r="U43" s="442"/>
      <c r="V43" s="442"/>
      <c r="W43" s="443"/>
    </row>
    <row r="44" spans="1:24" ht="18.75" customHeight="1">
      <c r="A44" s="440" t="s">
        <v>43</v>
      </c>
      <c r="B44" s="441"/>
      <c r="C44" s="441"/>
      <c r="D44" s="441"/>
      <c r="E44" s="52" t="s">
        <v>41</v>
      </c>
      <c r="F44" s="441" t="str">
        <f>+$L$2</f>
        <v xml:space="preserve">Tổ  </v>
      </c>
      <c r="G44" s="441"/>
      <c r="H44" s="441"/>
      <c r="I44" s="441"/>
      <c r="J44" s="441"/>
      <c r="K44" s="444"/>
      <c r="M44" s="440" t="s">
        <v>43</v>
      </c>
      <c r="N44" s="441"/>
      <c r="O44" s="441"/>
      <c r="P44" s="441"/>
      <c r="Q44" s="52" t="s">
        <v>41</v>
      </c>
      <c r="R44" s="441" t="str">
        <f>+$L$2</f>
        <v xml:space="preserve">Tổ  </v>
      </c>
      <c r="S44" s="441"/>
      <c r="T44" s="441"/>
      <c r="U44" s="441"/>
      <c r="V44" s="441"/>
      <c r="W44" s="444"/>
    </row>
    <row r="45" spans="1:24" ht="18.75" customHeight="1">
      <c r="A45" s="448" t="s">
        <v>44</v>
      </c>
      <c r="B45" s="449"/>
      <c r="C45" s="449"/>
      <c r="D45" s="449"/>
      <c r="E45" s="449"/>
      <c r="F45" s="449"/>
      <c r="G45" s="449"/>
      <c r="H45" s="449"/>
      <c r="I45" s="449"/>
      <c r="J45" s="449"/>
      <c r="K45" s="450"/>
      <c r="M45" s="448" t="s">
        <v>44</v>
      </c>
      <c r="N45" s="449"/>
      <c r="O45" s="449"/>
      <c r="P45" s="449"/>
      <c r="Q45" s="449"/>
      <c r="R45" s="449"/>
      <c r="S45" s="449"/>
      <c r="T45" s="449"/>
      <c r="U45" s="449"/>
      <c r="V45" s="449"/>
      <c r="W45" s="450"/>
    </row>
    <row r="46" spans="1:24" ht="18.75" customHeight="1">
      <c r="A46" s="440" t="s">
        <v>45</v>
      </c>
      <c r="B46" s="441"/>
      <c r="C46" s="441"/>
      <c r="D46" s="441"/>
      <c r="E46" s="52" t="s">
        <v>41</v>
      </c>
      <c r="F46" s="455">
        <f>VLOOKUP(F43,'Bang TH nop'!$C$9:$AP$266,29,0)</f>
        <v>0</v>
      </c>
      <c r="G46" s="455"/>
      <c r="H46" s="455"/>
      <c r="I46" s="455"/>
      <c r="J46" s="52" t="s">
        <v>46</v>
      </c>
      <c r="K46" s="54"/>
      <c r="M46" s="440" t="s">
        <v>45</v>
      </c>
      <c r="N46" s="441"/>
      <c r="O46" s="441"/>
      <c r="P46" s="441"/>
      <c r="Q46" s="52" t="s">
        <v>41</v>
      </c>
      <c r="R46" s="455">
        <f>VLOOKUP(R43,'Bang TH nop'!$C$9:$AP$266,29,0)</f>
        <v>0</v>
      </c>
      <c r="S46" s="455"/>
      <c r="T46" s="455"/>
      <c r="U46" s="455"/>
      <c r="V46" s="52" t="s">
        <v>46</v>
      </c>
      <c r="W46" s="54"/>
    </row>
    <row r="47" spans="1:24" ht="18.75" customHeight="1">
      <c r="A47" s="55" t="s">
        <v>47</v>
      </c>
      <c r="B47" s="52"/>
      <c r="C47" s="56"/>
      <c r="D47" s="57"/>
      <c r="E47" s="58"/>
      <c r="F47" s="58"/>
      <c r="G47" s="58"/>
      <c r="H47" s="52"/>
      <c r="I47" s="59">
        <f>'LƯƠNG Tx'!F13</f>
        <v>0</v>
      </c>
      <c r="J47" s="60"/>
      <c r="K47" s="61"/>
      <c r="M47" s="55" t="s">
        <v>47</v>
      </c>
      <c r="N47" s="52"/>
      <c r="O47" s="56"/>
      <c r="P47" s="57"/>
      <c r="Q47" s="58"/>
      <c r="R47" s="58"/>
      <c r="S47" s="58"/>
      <c r="T47" s="52"/>
      <c r="U47" s="59">
        <f>'LƯƠNG Tx'!F15</f>
        <v>0</v>
      </c>
      <c r="V47" s="60"/>
      <c r="W47" s="61"/>
    </row>
    <row r="48" spans="1:24" ht="18.75" customHeight="1">
      <c r="A48" s="55" t="s">
        <v>48</v>
      </c>
      <c r="B48" s="52"/>
      <c r="C48" s="56"/>
      <c r="D48" s="57"/>
      <c r="E48" s="58"/>
      <c r="F48" s="58"/>
      <c r="G48" s="58"/>
      <c r="H48" s="52"/>
      <c r="I48" s="59" t="e">
        <f>I49/C49/8</f>
        <v>#DIV/0!</v>
      </c>
      <c r="J48" s="60"/>
      <c r="K48" s="61"/>
      <c r="M48" s="55" t="s">
        <v>48</v>
      </c>
      <c r="N48" s="52"/>
      <c r="O48" s="56"/>
      <c r="P48" s="57"/>
      <c r="Q48" s="58"/>
      <c r="R48" s="58"/>
      <c r="S48" s="58"/>
      <c r="T48" s="52"/>
      <c r="U48" s="59" t="e">
        <f>U49/O49/8</f>
        <v>#DIV/0!</v>
      </c>
      <c r="V48" s="60"/>
      <c r="W48" s="61"/>
    </row>
    <row r="49" spans="1:24" ht="18.75" customHeight="1">
      <c r="A49" s="55" t="s">
        <v>49</v>
      </c>
      <c r="B49" s="52" t="s">
        <v>41</v>
      </c>
      <c r="C49" s="56">
        <f>'LƯƠNG Tx'!I12</f>
        <v>0</v>
      </c>
      <c r="D49" s="57" t="s">
        <v>50</v>
      </c>
      <c r="E49" s="453" t="s">
        <v>51</v>
      </c>
      <c r="F49" s="453"/>
      <c r="G49" s="453"/>
      <c r="H49" s="52" t="s">
        <v>41</v>
      </c>
      <c r="I49" s="454">
        <f>'LƯƠNG Tx'!I13</f>
        <v>0</v>
      </c>
      <c r="J49" s="454"/>
      <c r="K49" s="61" t="s">
        <v>46</v>
      </c>
      <c r="L49" s="62">
        <f>F46/L39*C49</f>
        <v>0</v>
      </c>
      <c r="M49" s="55" t="s">
        <v>49</v>
      </c>
      <c r="N49" s="52" t="s">
        <v>41</v>
      </c>
      <c r="O49" s="56">
        <f>'LƯƠNG Tx'!I14</f>
        <v>0</v>
      </c>
      <c r="P49" s="57" t="s">
        <v>50</v>
      </c>
      <c r="Q49" s="453" t="s">
        <v>51</v>
      </c>
      <c r="R49" s="453"/>
      <c r="S49" s="453"/>
      <c r="T49" s="52" t="s">
        <v>41</v>
      </c>
      <c r="U49" s="454">
        <f>'LƯƠNG Tx'!I15</f>
        <v>0</v>
      </c>
      <c r="V49" s="454"/>
      <c r="W49" s="61" t="s">
        <v>46</v>
      </c>
      <c r="X49" s="62">
        <f>R46/X39*O49</f>
        <v>0</v>
      </c>
    </row>
    <row r="50" spans="1:24" ht="18.75" customHeight="1">
      <c r="A50" s="55" t="s">
        <v>52</v>
      </c>
      <c r="B50" s="52" t="s">
        <v>41</v>
      </c>
      <c r="C50" s="56">
        <f>'LƯƠNG Tx'!J12</f>
        <v>0</v>
      </c>
      <c r="D50" s="57" t="s">
        <v>50</v>
      </c>
      <c r="E50" s="441" t="s">
        <v>53</v>
      </c>
      <c r="F50" s="441"/>
      <c r="G50" s="441"/>
      <c r="H50" s="52" t="s">
        <v>41</v>
      </c>
      <c r="I50" s="452">
        <f>$F$8/$L$1*C50</f>
        <v>0</v>
      </c>
      <c r="J50" s="452"/>
      <c r="K50" s="61" t="s">
        <v>46</v>
      </c>
      <c r="L50" s="62"/>
      <c r="M50" s="55" t="s">
        <v>52</v>
      </c>
      <c r="N50" s="52" t="s">
        <v>41</v>
      </c>
      <c r="O50" s="56">
        <f>'LƯƠNG Tx'!J14</f>
        <v>0</v>
      </c>
      <c r="P50" s="57" t="s">
        <v>50</v>
      </c>
      <c r="Q50" s="441" t="s">
        <v>53</v>
      </c>
      <c r="R50" s="441"/>
      <c r="S50" s="441"/>
      <c r="T50" s="52" t="s">
        <v>41</v>
      </c>
      <c r="U50" s="452">
        <f>$F$8/$L$1*O50</f>
        <v>0</v>
      </c>
      <c r="V50" s="452"/>
      <c r="W50" s="61" t="s">
        <v>46</v>
      </c>
      <c r="X50" s="62"/>
    </row>
    <row r="51" spans="1:24" ht="18.75" customHeight="1">
      <c r="A51" s="55" t="s">
        <v>54</v>
      </c>
      <c r="B51" s="52" t="s">
        <v>41</v>
      </c>
      <c r="C51" s="56">
        <f>'LƯƠNG Tx'!K12</f>
        <v>0</v>
      </c>
      <c r="D51" s="57" t="s">
        <v>50</v>
      </c>
      <c r="E51" s="451" t="s">
        <v>55</v>
      </c>
      <c r="F51" s="451"/>
      <c r="G51" s="451"/>
      <c r="H51" s="52" t="s">
        <v>41</v>
      </c>
      <c r="I51" s="452">
        <f>$F$8/$L$1*C51</f>
        <v>0</v>
      </c>
      <c r="J51" s="452"/>
      <c r="K51" s="61" t="s">
        <v>46</v>
      </c>
      <c r="L51" s="62"/>
      <c r="M51" s="55" t="s">
        <v>54</v>
      </c>
      <c r="N51" s="52" t="s">
        <v>41</v>
      </c>
      <c r="O51" s="56">
        <f>'LƯƠNG Tx'!K14</f>
        <v>0</v>
      </c>
      <c r="P51" s="57" t="s">
        <v>50</v>
      </c>
      <c r="Q51" s="451" t="s">
        <v>55</v>
      </c>
      <c r="R51" s="451"/>
      <c r="S51" s="451"/>
      <c r="T51" s="52" t="s">
        <v>41</v>
      </c>
      <c r="U51" s="452">
        <f>$F$8/$L$1*O51</f>
        <v>0</v>
      </c>
      <c r="V51" s="452"/>
      <c r="W51" s="61" t="s">
        <v>46</v>
      </c>
      <c r="X51" s="62"/>
    </row>
    <row r="52" spans="1:24" ht="18.75" customHeight="1">
      <c r="A52" s="55" t="s">
        <v>56</v>
      </c>
      <c r="B52" s="52" t="s">
        <v>41</v>
      </c>
      <c r="C52" s="56">
        <f>'LƯƠNG Tx'!L12</f>
        <v>0</v>
      </c>
      <c r="D52" s="57" t="s">
        <v>50</v>
      </c>
      <c r="E52" s="451" t="s">
        <v>57</v>
      </c>
      <c r="F52" s="451"/>
      <c r="G52" s="451"/>
      <c r="H52" s="52" t="s">
        <v>41</v>
      </c>
      <c r="I52" s="452">
        <f>$F$8/$L$1*C52</f>
        <v>0</v>
      </c>
      <c r="J52" s="452"/>
      <c r="K52" s="61" t="s">
        <v>46</v>
      </c>
      <c r="L52" s="62"/>
      <c r="M52" s="55" t="s">
        <v>56</v>
      </c>
      <c r="N52" s="52" t="s">
        <v>41</v>
      </c>
      <c r="O52" s="56">
        <f>'LƯƠNG Tx'!L14</f>
        <v>0</v>
      </c>
      <c r="P52" s="57" t="s">
        <v>50</v>
      </c>
      <c r="Q52" s="451" t="s">
        <v>57</v>
      </c>
      <c r="R52" s="451"/>
      <c r="S52" s="451"/>
      <c r="T52" s="52" t="s">
        <v>41</v>
      </c>
      <c r="U52" s="452">
        <f>$F$8/$L$1*O52</f>
        <v>0</v>
      </c>
      <c r="V52" s="452"/>
      <c r="W52" s="61" t="s">
        <v>46</v>
      </c>
      <c r="X52" s="62"/>
    </row>
    <row r="53" spans="1:24" ht="18.75" customHeight="1">
      <c r="A53" s="55" t="s">
        <v>58</v>
      </c>
      <c r="B53" s="52" t="s">
        <v>41</v>
      </c>
      <c r="C53" s="56">
        <f>'LƯƠNG Tx'!Q12</f>
        <v>0</v>
      </c>
      <c r="D53" s="57" t="s">
        <v>59</v>
      </c>
      <c r="E53" s="441" t="s">
        <v>60</v>
      </c>
      <c r="F53" s="441"/>
      <c r="G53" s="441"/>
      <c r="H53" s="52" t="s">
        <v>41</v>
      </c>
      <c r="I53" s="452">
        <f>'LƯƠNG Tx'!Q13</f>
        <v>0</v>
      </c>
      <c r="J53" s="452"/>
      <c r="K53" s="61" t="s">
        <v>46</v>
      </c>
      <c r="L53" s="62">
        <f>F46*C53/L39/8*1.5</f>
        <v>0</v>
      </c>
      <c r="M53" s="55" t="s">
        <v>58</v>
      </c>
      <c r="N53" s="52" t="s">
        <v>41</v>
      </c>
      <c r="O53" s="56">
        <f>'LƯƠNG Tx'!Q14</f>
        <v>0</v>
      </c>
      <c r="P53" s="57" t="s">
        <v>59</v>
      </c>
      <c r="Q53" s="441" t="s">
        <v>60</v>
      </c>
      <c r="R53" s="441"/>
      <c r="S53" s="441"/>
      <c r="T53" s="52" t="s">
        <v>41</v>
      </c>
      <c r="U53" s="452">
        <f>'LƯƠNG Tx'!Q15</f>
        <v>0</v>
      </c>
      <c r="V53" s="452"/>
      <c r="W53" s="61" t="s">
        <v>46</v>
      </c>
      <c r="X53" s="62">
        <f>R46*O53/X39/8*1.5</f>
        <v>0</v>
      </c>
    </row>
    <row r="54" spans="1:24" ht="18.75" customHeight="1">
      <c r="A54" s="440" t="s">
        <v>170</v>
      </c>
      <c r="B54" s="441"/>
      <c r="C54" s="56"/>
      <c r="D54" s="57" t="s">
        <v>50</v>
      </c>
      <c r="E54" s="441" t="s">
        <v>171</v>
      </c>
      <c r="F54" s="441"/>
      <c r="G54" s="441"/>
      <c r="H54" s="63" t="s">
        <v>41</v>
      </c>
      <c r="I54" s="452"/>
      <c r="J54" s="452"/>
      <c r="K54" s="61" t="s">
        <v>46</v>
      </c>
      <c r="L54" s="62"/>
      <c r="M54" s="440" t="s">
        <v>170</v>
      </c>
      <c r="N54" s="441"/>
      <c r="O54" s="56"/>
      <c r="P54" s="57" t="s">
        <v>50</v>
      </c>
      <c r="Q54" s="441" t="s">
        <v>171</v>
      </c>
      <c r="R54" s="441"/>
      <c r="S54" s="441"/>
      <c r="T54" s="63" t="s">
        <v>41</v>
      </c>
      <c r="U54" s="452"/>
      <c r="V54" s="452"/>
      <c r="W54" s="61" t="s">
        <v>46</v>
      </c>
      <c r="X54" s="62"/>
    </row>
    <row r="55" spans="1:24" ht="18.75" customHeight="1">
      <c r="A55" s="55" t="s">
        <v>63</v>
      </c>
      <c r="B55" s="52" t="s">
        <v>41</v>
      </c>
      <c r="C55" s="56"/>
      <c r="D55" s="57" t="s">
        <v>50</v>
      </c>
      <c r="E55" s="441" t="s">
        <v>64</v>
      </c>
      <c r="F55" s="441"/>
      <c r="G55" s="441"/>
      <c r="H55" s="52" t="s">
        <v>41</v>
      </c>
      <c r="I55" s="452"/>
      <c r="J55" s="452"/>
      <c r="K55" s="61" t="s">
        <v>46</v>
      </c>
      <c r="L55" s="62"/>
      <c r="M55" s="55" t="s">
        <v>63</v>
      </c>
      <c r="N55" s="52" t="s">
        <v>41</v>
      </c>
      <c r="O55" s="56"/>
      <c r="P55" s="57" t="s">
        <v>50</v>
      </c>
      <c r="Q55" s="441" t="s">
        <v>64</v>
      </c>
      <c r="R55" s="441"/>
      <c r="S55" s="441"/>
      <c r="T55" s="52" t="s">
        <v>41</v>
      </c>
      <c r="U55" s="452"/>
      <c r="V55" s="452"/>
      <c r="W55" s="61" t="s">
        <v>46</v>
      </c>
      <c r="X55" s="62"/>
    </row>
    <row r="56" spans="1:24" ht="18.75" customHeight="1">
      <c r="A56" s="64" t="s">
        <v>65</v>
      </c>
      <c r="B56" s="52"/>
      <c r="C56" s="56">
        <f>'LƯƠNG Tx'!M12</f>
        <v>0</v>
      </c>
      <c r="D56" s="57" t="s">
        <v>59</v>
      </c>
      <c r="E56" s="441" t="s">
        <v>66</v>
      </c>
      <c r="F56" s="441"/>
      <c r="G56" s="441"/>
      <c r="H56" s="52" t="s">
        <v>41</v>
      </c>
      <c r="I56" s="452">
        <f>$F$8*C56/8/$L$1</f>
        <v>0</v>
      </c>
      <c r="J56" s="452"/>
      <c r="K56" s="61" t="s">
        <v>46</v>
      </c>
      <c r="L56" s="62"/>
      <c r="M56" s="64" t="s">
        <v>65</v>
      </c>
      <c r="N56" s="52"/>
      <c r="O56" s="56">
        <f>'LƯƠNG Tx'!M14</f>
        <v>0</v>
      </c>
      <c r="P56" s="57" t="s">
        <v>59</v>
      </c>
      <c r="Q56" s="441" t="s">
        <v>66</v>
      </c>
      <c r="R56" s="441"/>
      <c r="S56" s="441"/>
      <c r="T56" s="52" t="s">
        <v>41</v>
      </c>
      <c r="U56" s="452">
        <f>$F$8*O56/8/$L$1</f>
        <v>0</v>
      </c>
      <c r="V56" s="452"/>
      <c r="W56" s="61" t="s">
        <v>46</v>
      </c>
      <c r="X56" s="62"/>
    </row>
    <row r="57" spans="1:24" ht="18.75" customHeight="1">
      <c r="A57" s="55" t="s">
        <v>167</v>
      </c>
      <c r="B57" s="52" t="s">
        <v>41</v>
      </c>
      <c r="C57" s="56"/>
      <c r="D57" s="57" t="s">
        <v>59</v>
      </c>
      <c r="E57" s="441" t="s">
        <v>73</v>
      </c>
      <c r="F57" s="441"/>
      <c r="G57" s="441"/>
      <c r="H57" s="52" t="s">
        <v>41</v>
      </c>
      <c r="I57" s="454"/>
      <c r="J57" s="454"/>
      <c r="K57" s="61" t="s">
        <v>46</v>
      </c>
      <c r="L57" s="62"/>
      <c r="M57" s="55" t="s">
        <v>167</v>
      </c>
      <c r="N57" s="52" t="s">
        <v>41</v>
      </c>
      <c r="O57" s="56"/>
      <c r="P57" s="57" t="s">
        <v>59</v>
      </c>
      <c r="Q57" s="441" t="s">
        <v>73</v>
      </c>
      <c r="R57" s="441"/>
      <c r="S57" s="441"/>
      <c r="T57" s="52" t="s">
        <v>41</v>
      </c>
      <c r="U57" s="454"/>
      <c r="V57" s="454"/>
      <c r="W57" s="61" t="s">
        <v>46</v>
      </c>
      <c r="X57" s="62"/>
    </row>
    <row r="58" spans="1:24" ht="18.75" customHeight="1">
      <c r="A58" s="55" t="s">
        <v>69</v>
      </c>
      <c r="B58" s="52" t="s">
        <v>41</v>
      </c>
      <c r="C58" s="56"/>
      <c r="D58" s="57" t="s">
        <v>70</v>
      </c>
      <c r="E58" s="53" t="s">
        <v>71</v>
      </c>
      <c r="F58" s="53"/>
      <c r="G58" s="53"/>
      <c r="H58" s="52" t="s">
        <v>41</v>
      </c>
      <c r="I58" s="452"/>
      <c r="J58" s="452"/>
      <c r="K58" s="61" t="s">
        <v>46</v>
      </c>
      <c r="L58" s="62">
        <f>+IF(L49-I49&lt;0,0,L49-I49)+IF(L53-I53&lt;0,0,L53-I53)</f>
        <v>0</v>
      </c>
      <c r="M58" s="55" t="s">
        <v>69</v>
      </c>
      <c r="N58" s="52" t="s">
        <v>41</v>
      </c>
      <c r="O58" s="56"/>
      <c r="P58" s="57" t="s">
        <v>70</v>
      </c>
      <c r="Q58" s="53" t="s">
        <v>71</v>
      </c>
      <c r="R58" s="53"/>
      <c r="S58" s="53"/>
      <c r="T58" s="52" t="s">
        <v>41</v>
      </c>
      <c r="U58" s="452"/>
      <c r="V58" s="452"/>
      <c r="W58" s="61" t="s">
        <v>46</v>
      </c>
      <c r="X58" s="62">
        <f>+IF(X49-U49&lt;0,0,X49-U49)+IF(X53-U53&lt;0,0,X53-U53)</f>
        <v>0</v>
      </c>
    </row>
    <row r="59" spans="1:24" ht="18.75" customHeight="1">
      <c r="A59" s="65" t="s">
        <v>164</v>
      </c>
      <c r="B59" s="66"/>
      <c r="C59" s="56"/>
      <c r="D59" s="57" t="s">
        <v>50</v>
      </c>
      <c r="E59" s="441" t="s">
        <v>165</v>
      </c>
      <c r="F59" s="441"/>
      <c r="G59" s="441"/>
      <c r="H59" s="52" t="s">
        <v>41</v>
      </c>
      <c r="I59" s="452"/>
      <c r="J59" s="452"/>
      <c r="K59" s="61" t="s">
        <v>46</v>
      </c>
      <c r="L59" s="62"/>
      <c r="M59" s="65" t="s">
        <v>164</v>
      </c>
      <c r="N59" s="66"/>
      <c r="O59" s="56"/>
      <c r="P59" s="57" t="s">
        <v>50</v>
      </c>
      <c r="Q59" s="441" t="s">
        <v>165</v>
      </c>
      <c r="R59" s="441"/>
      <c r="S59" s="441"/>
      <c r="T59" s="52" t="s">
        <v>41</v>
      </c>
      <c r="U59" s="452"/>
      <c r="V59" s="452"/>
      <c r="W59" s="61" t="s">
        <v>46</v>
      </c>
      <c r="X59" s="62"/>
    </row>
    <row r="60" spans="1:24" ht="18.75" customHeight="1">
      <c r="A60" s="460" t="s">
        <v>166</v>
      </c>
      <c r="B60" s="461"/>
      <c r="C60" s="56"/>
      <c r="D60" s="57"/>
      <c r="E60" s="58"/>
      <c r="F60" s="58"/>
      <c r="G60" s="58"/>
      <c r="H60" s="52" t="s">
        <v>41</v>
      </c>
      <c r="I60" s="452">
        <f>'LƯƠNG Tx'!P13</f>
        <v>0</v>
      </c>
      <c r="J60" s="452"/>
      <c r="K60" s="61" t="s">
        <v>46</v>
      </c>
      <c r="L60" s="62"/>
      <c r="M60" s="460" t="s">
        <v>166</v>
      </c>
      <c r="N60" s="461"/>
      <c r="O60" s="56"/>
      <c r="P60" s="57"/>
      <c r="Q60" s="58"/>
      <c r="R60" s="58"/>
      <c r="S60" s="58"/>
      <c r="T60" s="52" t="s">
        <v>41</v>
      </c>
      <c r="U60" s="452">
        <f>'LƯƠNG Tx'!P15</f>
        <v>0</v>
      </c>
      <c r="V60" s="452"/>
      <c r="W60" s="61" t="s">
        <v>46</v>
      </c>
      <c r="X60" s="62"/>
    </row>
    <row r="61" spans="1:24" ht="18.75" customHeight="1">
      <c r="A61" s="55" t="s">
        <v>75</v>
      </c>
      <c r="B61" s="52" t="s">
        <v>41</v>
      </c>
      <c r="C61" s="56"/>
      <c r="D61" s="57"/>
      <c r="E61" s="58" t="s">
        <v>76</v>
      </c>
      <c r="F61" s="58"/>
      <c r="G61" s="58"/>
      <c r="H61" s="52" t="s">
        <v>41</v>
      </c>
      <c r="I61" s="452">
        <f>L58</f>
        <v>0</v>
      </c>
      <c r="J61" s="452"/>
      <c r="K61" s="61" t="s">
        <v>46</v>
      </c>
      <c r="L61" s="62"/>
      <c r="M61" s="55" t="s">
        <v>75</v>
      </c>
      <c r="N61" s="52" t="s">
        <v>41</v>
      </c>
      <c r="O61" s="56"/>
      <c r="P61" s="57"/>
      <c r="Q61" s="58" t="s">
        <v>76</v>
      </c>
      <c r="R61" s="58"/>
      <c r="S61" s="58"/>
      <c r="T61" s="52" t="s">
        <v>41</v>
      </c>
      <c r="U61" s="452">
        <f>X58</f>
        <v>0</v>
      </c>
      <c r="V61" s="452"/>
      <c r="W61" s="61" t="s">
        <v>46</v>
      </c>
      <c r="X61" s="62"/>
    </row>
    <row r="62" spans="1:24" ht="18.75" customHeight="1">
      <c r="A62" s="456" t="s">
        <v>77</v>
      </c>
      <c r="B62" s="457"/>
      <c r="C62" s="457"/>
      <c r="D62" s="457"/>
      <c r="E62" s="457"/>
      <c r="F62" s="457"/>
      <c r="G62" s="52" t="s">
        <v>41</v>
      </c>
      <c r="H62" s="458">
        <f>I49+I50+I51+I52+I53+I56+I60+I61+I54+I55+I57+I58+I59+C60</f>
        <v>0</v>
      </c>
      <c r="I62" s="459"/>
      <c r="J62" s="459"/>
      <c r="K62" s="61" t="s">
        <v>46</v>
      </c>
      <c r="M62" s="456" t="s">
        <v>77</v>
      </c>
      <c r="N62" s="457"/>
      <c r="O62" s="457"/>
      <c r="P62" s="457"/>
      <c r="Q62" s="457"/>
      <c r="R62" s="457"/>
      <c r="S62" s="52" t="s">
        <v>41</v>
      </c>
      <c r="T62" s="458">
        <f>U49+U50+U51+U52+U53+U56+U60+U61+U54+U55+U57+U58+U59+O60</f>
        <v>0</v>
      </c>
      <c r="U62" s="459"/>
      <c r="V62" s="459"/>
      <c r="W62" s="61" t="s">
        <v>46</v>
      </c>
    </row>
    <row r="63" spans="1:24" ht="18.75" customHeight="1">
      <c r="A63" s="67"/>
      <c r="B63" s="68"/>
      <c r="C63" s="68"/>
      <c r="D63" s="68"/>
      <c r="E63" s="68"/>
      <c r="F63" s="68"/>
      <c r="G63" s="68"/>
      <c r="H63" s="68"/>
      <c r="I63" s="68"/>
      <c r="J63" s="68"/>
      <c r="K63" s="69"/>
      <c r="M63" s="67"/>
      <c r="N63" s="68"/>
      <c r="O63" s="68"/>
      <c r="P63" s="68"/>
      <c r="Q63" s="68"/>
      <c r="R63" s="68"/>
      <c r="S63" s="68"/>
      <c r="T63" s="68"/>
      <c r="U63" s="68"/>
      <c r="V63" s="68"/>
      <c r="W63" s="69"/>
    </row>
    <row r="64" spans="1:24" ht="18.75" customHeight="1">
      <c r="A64" s="468" t="s">
        <v>78</v>
      </c>
      <c r="B64" s="469"/>
      <c r="C64" s="469"/>
      <c r="D64" s="469"/>
      <c r="E64" s="469"/>
      <c r="F64" s="469"/>
      <c r="G64" s="52"/>
      <c r="H64" s="52"/>
      <c r="I64" s="52"/>
      <c r="J64" s="52"/>
      <c r="K64" s="61"/>
      <c r="M64" s="468" t="s">
        <v>78</v>
      </c>
      <c r="N64" s="469"/>
      <c r="O64" s="469"/>
      <c r="P64" s="469"/>
      <c r="Q64" s="469"/>
      <c r="R64" s="469"/>
      <c r="S64" s="52"/>
      <c r="T64" s="52"/>
      <c r="U64" s="52"/>
      <c r="V64" s="52"/>
      <c r="W64" s="61"/>
    </row>
    <row r="65" spans="1:24" ht="18.75" customHeight="1">
      <c r="A65" s="462" t="s">
        <v>79</v>
      </c>
      <c r="B65" s="463"/>
      <c r="C65" s="463"/>
      <c r="D65" s="463"/>
      <c r="E65" s="463"/>
      <c r="F65" s="463"/>
      <c r="G65" s="52" t="s">
        <v>41</v>
      </c>
      <c r="H65" s="470">
        <f>IF(($L$1-(C49+C50+C51+C52))&gt;12,0,F46*8%)</f>
        <v>0</v>
      </c>
      <c r="I65" s="470"/>
      <c r="J65" s="470"/>
      <c r="K65" s="61" t="s">
        <v>46</v>
      </c>
      <c r="M65" s="462" t="s">
        <v>79</v>
      </c>
      <c r="N65" s="463"/>
      <c r="O65" s="463"/>
      <c r="P65" s="463"/>
      <c r="Q65" s="463"/>
      <c r="R65" s="463"/>
      <c r="S65" s="52" t="s">
        <v>41</v>
      </c>
      <c r="T65" s="470">
        <f>IF(($L$1-(O49+O50+O51+O52))&gt;12,0,R46*8%)</f>
        <v>0</v>
      </c>
      <c r="U65" s="470"/>
      <c r="V65" s="470"/>
      <c r="W65" s="61" t="s">
        <v>46</v>
      </c>
    </row>
    <row r="66" spans="1:24" ht="18.75" customHeight="1">
      <c r="A66" s="462" t="s">
        <v>80</v>
      </c>
      <c r="B66" s="463"/>
      <c r="C66" s="463"/>
      <c r="D66" s="463"/>
      <c r="E66" s="463"/>
      <c r="F66" s="463"/>
      <c r="G66" s="52" t="s">
        <v>41</v>
      </c>
      <c r="H66" s="464">
        <f>IF(($L$1-(C49+C50+C51+C52))&gt;12,0,F46*1.5%)</f>
        <v>0</v>
      </c>
      <c r="I66" s="464"/>
      <c r="J66" s="464"/>
      <c r="K66" s="61" t="s">
        <v>46</v>
      </c>
      <c r="M66" s="462" t="s">
        <v>80</v>
      </c>
      <c r="N66" s="463"/>
      <c r="O66" s="463"/>
      <c r="P66" s="463"/>
      <c r="Q66" s="463"/>
      <c r="R66" s="463"/>
      <c r="S66" s="52" t="s">
        <v>41</v>
      </c>
      <c r="T66" s="464">
        <f>IF(($L$1-(O49+O50+O51+O52))&gt;12,0,R46*1.5%)</f>
        <v>0</v>
      </c>
      <c r="U66" s="464"/>
      <c r="V66" s="464"/>
      <c r="W66" s="61" t="s">
        <v>46</v>
      </c>
    </row>
    <row r="67" spans="1:24" ht="18.75" customHeight="1">
      <c r="A67" s="462" t="s">
        <v>81</v>
      </c>
      <c r="B67" s="463"/>
      <c r="C67" s="463"/>
      <c r="D67" s="463"/>
      <c r="E67" s="463"/>
      <c r="F67" s="463"/>
      <c r="G67" s="52" t="s">
        <v>41</v>
      </c>
      <c r="H67" s="464">
        <f>IF(($L$1-(C49+C50+C51+C52))&gt;12,0,F46*1%)</f>
        <v>0</v>
      </c>
      <c r="I67" s="464"/>
      <c r="J67" s="464"/>
      <c r="K67" s="61" t="s">
        <v>46</v>
      </c>
      <c r="M67" s="462" t="s">
        <v>81</v>
      </c>
      <c r="N67" s="463"/>
      <c r="O67" s="463"/>
      <c r="P67" s="463"/>
      <c r="Q67" s="463"/>
      <c r="R67" s="463"/>
      <c r="S67" s="52" t="s">
        <v>41</v>
      </c>
      <c r="T67" s="464">
        <f>IF(($L$1-(O49+O50+O51+O52))&gt;12,0,R46*1%)</f>
        <v>0</v>
      </c>
      <c r="U67" s="464"/>
      <c r="V67" s="464"/>
      <c r="W67" s="61" t="s">
        <v>46</v>
      </c>
    </row>
    <row r="68" spans="1:24" ht="18.75" customHeight="1">
      <c r="A68" s="462" t="s">
        <v>82</v>
      </c>
      <c r="B68" s="463"/>
      <c r="C68" s="463"/>
      <c r="D68" s="463"/>
      <c r="E68" s="463"/>
      <c r="F68" s="463"/>
      <c r="G68" s="52" t="s">
        <v>41</v>
      </c>
      <c r="H68" s="464">
        <v>0</v>
      </c>
      <c r="I68" s="464"/>
      <c r="J68" s="464"/>
      <c r="K68" s="61" t="s">
        <v>46</v>
      </c>
      <c r="M68" s="462" t="s">
        <v>82</v>
      </c>
      <c r="N68" s="463"/>
      <c r="O68" s="463"/>
      <c r="P68" s="463"/>
      <c r="Q68" s="463"/>
      <c r="R68" s="463"/>
      <c r="S68" s="52" t="s">
        <v>41</v>
      </c>
      <c r="T68" s="464">
        <v>0</v>
      </c>
      <c r="U68" s="464"/>
      <c r="V68" s="464"/>
      <c r="W68" s="61" t="s">
        <v>46</v>
      </c>
    </row>
    <row r="69" spans="1:24" ht="18.75" customHeight="1">
      <c r="A69" s="465" t="s">
        <v>83</v>
      </c>
      <c r="B69" s="466"/>
      <c r="C69" s="466"/>
      <c r="D69" s="466"/>
      <c r="E69" s="466"/>
      <c r="F69" s="466"/>
      <c r="G69" s="52" t="s">
        <v>41</v>
      </c>
      <c r="H69" s="467">
        <f>SUM(H65:J68)</f>
        <v>0</v>
      </c>
      <c r="I69" s="467"/>
      <c r="J69" s="467"/>
      <c r="K69" s="61" t="s">
        <v>46</v>
      </c>
      <c r="M69" s="465" t="s">
        <v>83</v>
      </c>
      <c r="N69" s="466"/>
      <c r="O69" s="466"/>
      <c r="P69" s="466"/>
      <c r="Q69" s="466"/>
      <c r="R69" s="466"/>
      <c r="S69" s="52" t="s">
        <v>41</v>
      </c>
      <c r="T69" s="467">
        <f>SUM(T65:V68)</f>
        <v>0</v>
      </c>
      <c r="U69" s="467"/>
      <c r="V69" s="467"/>
      <c r="W69" s="61" t="s">
        <v>46</v>
      </c>
    </row>
    <row r="70" spans="1:24" ht="18.75" customHeight="1">
      <c r="A70" s="462" t="s">
        <v>84</v>
      </c>
      <c r="B70" s="463"/>
      <c r="C70" s="463"/>
      <c r="D70" s="463"/>
      <c r="E70" s="463"/>
      <c r="F70" s="463"/>
      <c r="G70" s="52" t="s">
        <v>41</v>
      </c>
      <c r="H70" s="475">
        <f>ROUND(H62-H69,-2)</f>
        <v>0</v>
      </c>
      <c r="I70" s="475"/>
      <c r="J70" s="475"/>
      <c r="K70" s="61" t="s">
        <v>46</v>
      </c>
      <c r="M70" s="462" t="s">
        <v>84</v>
      </c>
      <c r="N70" s="463"/>
      <c r="O70" s="463"/>
      <c r="P70" s="463"/>
      <c r="Q70" s="463"/>
      <c r="R70" s="463"/>
      <c r="S70" s="52" t="s">
        <v>41</v>
      </c>
      <c r="T70" s="475">
        <f>ROUND(T62-T69,-2)</f>
        <v>0</v>
      </c>
      <c r="U70" s="475"/>
      <c r="V70" s="475"/>
      <c r="W70" s="61" t="s">
        <v>46</v>
      </c>
    </row>
    <row r="71" spans="1:24" ht="18.75" customHeight="1">
      <c r="A71" s="70"/>
      <c r="B71" s="71"/>
      <c r="C71" s="71"/>
      <c r="D71" s="71"/>
      <c r="E71" s="71"/>
      <c r="F71" s="71"/>
      <c r="G71" s="71"/>
      <c r="H71" s="71"/>
      <c r="I71" s="71"/>
      <c r="J71" s="71"/>
      <c r="K71" s="72"/>
      <c r="M71" s="70"/>
      <c r="N71" s="71"/>
      <c r="O71" s="71"/>
      <c r="P71" s="71"/>
      <c r="Q71" s="71"/>
      <c r="R71" s="71"/>
      <c r="S71" s="71"/>
      <c r="T71" s="71"/>
      <c r="U71" s="71"/>
      <c r="V71" s="71"/>
      <c r="W71" s="72"/>
    </row>
    <row r="72" spans="1:24" ht="18.75" customHeight="1">
      <c r="A72" s="73"/>
      <c r="B72" s="52"/>
      <c r="C72" s="52"/>
      <c r="D72" s="52"/>
      <c r="E72" s="52"/>
      <c r="F72" s="52"/>
      <c r="G72" s="52"/>
      <c r="H72" s="52"/>
      <c r="I72" s="472" t="s">
        <v>85</v>
      </c>
      <c r="J72" s="472"/>
      <c r="K72" s="476"/>
      <c r="M72" s="73"/>
      <c r="N72" s="52"/>
      <c r="O72" s="52"/>
      <c r="P72" s="52"/>
      <c r="Q72" s="52"/>
      <c r="R72" s="52"/>
      <c r="S72" s="52"/>
      <c r="T72" s="52"/>
      <c r="U72" s="472" t="s">
        <v>85</v>
      </c>
      <c r="V72" s="472"/>
      <c r="W72" s="476"/>
    </row>
    <row r="73" spans="1:24" ht="18.75" customHeight="1">
      <c r="A73" s="73"/>
      <c r="B73" s="471"/>
      <c r="C73" s="472"/>
      <c r="D73" s="472"/>
      <c r="E73" s="472"/>
      <c r="F73" s="52"/>
      <c r="G73" s="52"/>
      <c r="H73" s="52"/>
      <c r="I73" s="52"/>
      <c r="J73" s="52"/>
      <c r="K73" s="54"/>
      <c r="M73" s="73"/>
      <c r="N73" s="471"/>
      <c r="O73" s="472"/>
      <c r="P73" s="472"/>
      <c r="Q73" s="472"/>
      <c r="R73" s="52"/>
      <c r="S73" s="52"/>
      <c r="T73" s="52"/>
      <c r="U73" s="52"/>
      <c r="V73" s="52"/>
      <c r="W73" s="54"/>
    </row>
    <row r="74" spans="1:24" ht="18.75" customHeight="1" thickBot="1">
      <c r="A74" s="75"/>
      <c r="B74" s="76"/>
      <c r="C74" s="76"/>
      <c r="D74" s="76"/>
      <c r="E74" s="76"/>
      <c r="F74" s="76"/>
      <c r="G74" s="76"/>
      <c r="H74" s="76"/>
      <c r="I74" s="473" t="s">
        <v>86</v>
      </c>
      <c r="J74" s="473"/>
      <c r="K74" s="474"/>
      <c r="M74" s="75"/>
      <c r="N74" s="76"/>
      <c r="O74" s="76"/>
      <c r="P74" s="76"/>
      <c r="Q74" s="76"/>
      <c r="R74" s="76"/>
      <c r="S74" s="76"/>
      <c r="T74" s="76"/>
      <c r="U74" s="473" t="s">
        <v>86</v>
      </c>
      <c r="V74" s="473"/>
      <c r="W74" s="474"/>
    </row>
    <row r="75" spans="1:24" ht="18.75" customHeight="1" thickTop="1" thickBot="1"/>
    <row r="76" spans="1:24" ht="18.75" customHeight="1" thickTop="1">
      <c r="A76" s="445" t="s">
        <v>172</v>
      </c>
      <c r="B76" s="446"/>
      <c r="C76" s="446"/>
      <c r="D76" s="446"/>
      <c r="E76" s="446"/>
      <c r="F76" s="446"/>
      <c r="G76" s="446"/>
      <c r="H76" s="446"/>
      <c r="I76" s="446"/>
      <c r="J76" s="446"/>
      <c r="K76" s="447"/>
      <c r="L76" s="48">
        <v>26</v>
      </c>
      <c r="M76" s="445" t="s">
        <v>172</v>
      </c>
      <c r="N76" s="446"/>
      <c r="O76" s="446"/>
      <c r="P76" s="446"/>
      <c r="Q76" s="446"/>
      <c r="R76" s="446"/>
      <c r="S76" s="446"/>
      <c r="T76" s="446"/>
      <c r="U76" s="446"/>
      <c r="V76" s="446"/>
      <c r="W76" s="447"/>
      <c r="X76" s="48">
        <v>26</v>
      </c>
    </row>
    <row r="77" spans="1:24" ht="18.75" customHeight="1">
      <c r="A77" s="49" t="s">
        <v>91</v>
      </c>
      <c r="B77" s="50"/>
      <c r="C77" s="50"/>
      <c r="D77" s="50"/>
      <c r="E77" s="50"/>
      <c r="F77" s="50"/>
      <c r="G77" s="50"/>
      <c r="H77" s="50"/>
      <c r="I77" s="50"/>
      <c r="J77" s="50"/>
      <c r="K77" s="51"/>
      <c r="M77" s="49" t="s">
        <v>92</v>
      </c>
      <c r="N77" s="50"/>
      <c r="O77" s="50"/>
      <c r="P77" s="50"/>
      <c r="Q77" s="50"/>
      <c r="R77" s="50"/>
      <c r="S77" s="50"/>
      <c r="T77" s="50"/>
      <c r="U77" s="50"/>
      <c r="V77" s="50"/>
      <c r="W77" s="51"/>
    </row>
    <row r="78" spans="1:24" ht="18.75" customHeight="1">
      <c r="A78" s="448" t="s">
        <v>39</v>
      </c>
      <c r="B78" s="449"/>
      <c r="C78" s="449"/>
      <c r="D78" s="449"/>
      <c r="E78" s="449"/>
      <c r="F78" s="449"/>
      <c r="G78" s="449"/>
      <c r="H78" s="449"/>
      <c r="I78" s="449"/>
      <c r="J78" s="449"/>
      <c r="K78" s="450"/>
      <c r="M78" s="448" t="s">
        <v>39</v>
      </c>
      <c r="N78" s="449"/>
      <c r="O78" s="449"/>
      <c r="P78" s="449"/>
      <c r="Q78" s="449"/>
      <c r="R78" s="449"/>
      <c r="S78" s="449"/>
      <c r="T78" s="449"/>
      <c r="U78" s="449"/>
      <c r="V78" s="449"/>
      <c r="W78" s="450"/>
    </row>
    <row r="79" spans="1:24" ht="18.75" customHeight="1">
      <c r="A79" s="440" t="s">
        <v>40</v>
      </c>
      <c r="B79" s="441"/>
      <c r="C79" s="441"/>
      <c r="D79" s="441"/>
      <c r="E79" s="52" t="s">
        <v>41</v>
      </c>
      <c r="F79" s="442">
        <f>'Bang TH nop'!B17</f>
        <v>0</v>
      </c>
      <c r="G79" s="441"/>
      <c r="H79" s="441"/>
      <c r="I79" s="441"/>
      <c r="J79" s="441"/>
      <c r="K79" s="444"/>
      <c r="M79" s="440" t="s">
        <v>40</v>
      </c>
      <c r="N79" s="441"/>
      <c r="O79" s="441"/>
      <c r="P79" s="441"/>
      <c r="Q79" s="52" t="s">
        <v>41</v>
      </c>
      <c r="R79" s="442">
        <f>'Bang TH nop'!B19</f>
        <v>0</v>
      </c>
      <c r="S79" s="441"/>
      <c r="T79" s="441"/>
      <c r="U79" s="441"/>
      <c r="V79" s="441"/>
      <c r="W79" s="444"/>
    </row>
    <row r="80" spans="1:24" ht="18.75" customHeight="1">
      <c r="A80" s="440" t="s">
        <v>42</v>
      </c>
      <c r="B80" s="441"/>
      <c r="C80" s="441"/>
      <c r="D80" s="441"/>
      <c r="E80" s="52" t="s">
        <v>41</v>
      </c>
      <c r="F80" s="442">
        <f>'Bang TH nop'!C17</f>
        <v>0</v>
      </c>
      <c r="G80" s="442"/>
      <c r="H80" s="442"/>
      <c r="I80" s="442"/>
      <c r="J80" s="442"/>
      <c r="K80" s="443"/>
      <c r="M80" s="440" t="s">
        <v>42</v>
      </c>
      <c r="N80" s="441"/>
      <c r="O80" s="441"/>
      <c r="P80" s="441"/>
      <c r="Q80" s="52" t="s">
        <v>41</v>
      </c>
      <c r="R80" s="442">
        <f>'Bang TH nop'!C19</f>
        <v>0</v>
      </c>
      <c r="S80" s="442"/>
      <c r="T80" s="442"/>
      <c r="U80" s="442"/>
      <c r="V80" s="442"/>
      <c r="W80" s="443"/>
    </row>
    <row r="81" spans="1:24" ht="18.75" customHeight="1">
      <c r="A81" s="440" t="s">
        <v>43</v>
      </c>
      <c r="B81" s="441"/>
      <c r="C81" s="441"/>
      <c r="D81" s="441"/>
      <c r="E81" s="52" t="s">
        <v>41</v>
      </c>
      <c r="F81" s="441" t="str">
        <f>+$L$2</f>
        <v xml:space="preserve">Tổ  </v>
      </c>
      <c r="G81" s="441"/>
      <c r="H81" s="441"/>
      <c r="I81" s="441"/>
      <c r="J81" s="441"/>
      <c r="K81" s="444"/>
      <c r="M81" s="440" t="s">
        <v>43</v>
      </c>
      <c r="N81" s="441"/>
      <c r="O81" s="441"/>
      <c r="P81" s="441"/>
      <c r="Q81" s="52" t="s">
        <v>41</v>
      </c>
      <c r="R81" s="441" t="str">
        <f>+$L$2</f>
        <v xml:space="preserve">Tổ  </v>
      </c>
      <c r="S81" s="441"/>
      <c r="T81" s="441"/>
      <c r="U81" s="441"/>
      <c r="V81" s="441"/>
      <c r="W81" s="444"/>
    </row>
    <row r="82" spans="1:24" ht="18.75" customHeight="1">
      <c r="A82" s="448" t="s">
        <v>44</v>
      </c>
      <c r="B82" s="449"/>
      <c r="C82" s="449"/>
      <c r="D82" s="449"/>
      <c r="E82" s="449"/>
      <c r="F82" s="449"/>
      <c r="G82" s="449"/>
      <c r="H82" s="449"/>
      <c r="I82" s="449"/>
      <c r="J82" s="449"/>
      <c r="K82" s="450"/>
      <c r="M82" s="448" t="s">
        <v>44</v>
      </c>
      <c r="N82" s="449"/>
      <c r="O82" s="449"/>
      <c r="P82" s="449"/>
      <c r="Q82" s="449"/>
      <c r="R82" s="449"/>
      <c r="S82" s="449"/>
      <c r="T82" s="449"/>
      <c r="U82" s="449"/>
      <c r="V82" s="449"/>
      <c r="W82" s="450"/>
    </row>
    <row r="83" spans="1:24" ht="18.75" customHeight="1">
      <c r="A83" s="440" t="s">
        <v>45</v>
      </c>
      <c r="B83" s="441"/>
      <c r="C83" s="441"/>
      <c r="D83" s="441"/>
      <c r="E83" s="52" t="s">
        <v>41</v>
      </c>
      <c r="F83" s="455">
        <f>VLOOKUP(F80,'Bang TH nop'!$C$9:$AP$266,29,0)</f>
        <v>0</v>
      </c>
      <c r="G83" s="455"/>
      <c r="H83" s="455"/>
      <c r="I83" s="455"/>
      <c r="J83" s="52" t="s">
        <v>46</v>
      </c>
      <c r="K83" s="54"/>
      <c r="M83" s="440" t="s">
        <v>45</v>
      </c>
      <c r="N83" s="441"/>
      <c r="O83" s="441"/>
      <c r="P83" s="441"/>
      <c r="Q83" s="52" t="s">
        <v>41</v>
      </c>
      <c r="R83" s="455">
        <f>VLOOKUP(R80,'Bang TH nop'!$C$9:$AP$266,29,0)</f>
        <v>0</v>
      </c>
      <c r="S83" s="455"/>
      <c r="T83" s="455"/>
      <c r="U83" s="455"/>
      <c r="V83" s="52" t="s">
        <v>46</v>
      </c>
      <c r="W83" s="54"/>
    </row>
    <row r="84" spans="1:24" ht="18.75" customHeight="1">
      <c r="A84" s="55" t="s">
        <v>47</v>
      </c>
      <c r="B84" s="52"/>
      <c r="C84" s="56"/>
      <c r="D84" s="57"/>
      <c r="E84" s="58"/>
      <c r="F84" s="58"/>
      <c r="G84" s="58"/>
      <c r="H84" s="52"/>
      <c r="I84" s="59">
        <f>'LƯƠNG Tx'!F17</f>
        <v>0</v>
      </c>
      <c r="J84" s="60"/>
      <c r="K84" s="61"/>
      <c r="M84" s="55" t="s">
        <v>47</v>
      </c>
      <c r="N84" s="52"/>
      <c r="O84" s="56"/>
      <c r="P84" s="57"/>
      <c r="Q84" s="58"/>
      <c r="R84" s="58"/>
      <c r="S84" s="58"/>
      <c r="T84" s="52"/>
      <c r="U84" s="59">
        <f>'LƯƠNG Tx'!F19</f>
        <v>0</v>
      </c>
      <c r="V84" s="60"/>
      <c r="W84" s="61"/>
    </row>
    <row r="85" spans="1:24" ht="18.75" customHeight="1">
      <c r="A85" s="55" t="s">
        <v>48</v>
      </c>
      <c r="B85" s="52"/>
      <c r="C85" s="56"/>
      <c r="D85" s="57"/>
      <c r="E85" s="58"/>
      <c r="F85" s="58"/>
      <c r="G85" s="58"/>
      <c r="H85" s="52"/>
      <c r="I85" s="59" t="e">
        <f>I86/C86/8</f>
        <v>#DIV/0!</v>
      </c>
      <c r="J85" s="60"/>
      <c r="K85" s="61"/>
      <c r="M85" s="55" t="s">
        <v>48</v>
      </c>
      <c r="N85" s="52"/>
      <c r="O85" s="56"/>
      <c r="P85" s="57"/>
      <c r="Q85" s="58"/>
      <c r="R85" s="58"/>
      <c r="S85" s="58"/>
      <c r="T85" s="52"/>
      <c r="U85" s="59" t="e">
        <f>U86/O86/8</f>
        <v>#DIV/0!</v>
      </c>
      <c r="V85" s="60"/>
      <c r="W85" s="61"/>
    </row>
    <row r="86" spans="1:24" ht="18.75" customHeight="1">
      <c r="A86" s="55" t="s">
        <v>49</v>
      </c>
      <c r="B86" s="52" t="s">
        <v>41</v>
      </c>
      <c r="C86" s="56">
        <f>'LƯƠNG Tx'!I16</f>
        <v>0</v>
      </c>
      <c r="D86" s="57" t="s">
        <v>50</v>
      </c>
      <c r="E86" s="453" t="s">
        <v>51</v>
      </c>
      <c r="F86" s="453"/>
      <c r="G86" s="453"/>
      <c r="H86" s="52" t="s">
        <v>41</v>
      </c>
      <c r="I86" s="454">
        <f>'LƯƠNG Tx'!I17</f>
        <v>0</v>
      </c>
      <c r="J86" s="454"/>
      <c r="K86" s="61" t="s">
        <v>46</v>
      </c>
      <c r="L86" s="62">
        <f>F83/L76*C86</f>
        <v>0</v>
      </c>
      <c r="M86" s="55" t="s">
        <v>49</v>
      </c>
      <c r="N86" s="52" t="s">
        <v>41</v>
      </c>
      <c r="O86" s="56">
        <f>'LƯƠNG Tx'!I18</f>
        <v>0</v>
      </c>
      <c r="P86" s="57" t="s">
        <v>50</v>
      </c>
      <c r="Q86" s="453" t="s">
        <v>51</v>
      </c>
      <c r="R86" s="453"/>
      <c r="S86" s="453"/>
      <c r="T86" s="52" t="s">
        <v>41</v>
      </c>
      <c r="U86" s="454">
        <f>'LƯƠNG Tx'!I19</f>
        <v>0</v>
      </c>
      <c r="V86" s="454"/>
      <c r="W86" s="61" t="s">
        <v>46</v>
      </c>
      <c r="X86" s="62">
        <f>R83/X76*O86</f>
        <v>0</v>
      </c>
    </row>
    <row r="87" spans="1:24" ht="18.75" customHeight="1">
      <c r="A87" s="55" t="s">
        <v>52</v>
      </c>
      <c r="B87" s="52" t="s">
        <v>41</v>
      </c>
      <c r="C87" s="56">
        <f>'LƯƠNG Tx'!J16</f>
        <v>0</v>
      </c>
      <c r="D87" s="57" t="s">
        <v>50</v>
      </c>
      <c r="E87" s="441" t="s">
        <v>53</v>
      </c>
      <c r="F87" s="441"/>
      <c r="G87" s="441"/>
      <c r="H87" s="52" t="s">
        <v>41</v>
      </c>
      <c r="I87" s="452">
        <f>$F$8/$L$1*C87</f>
        <v>0</v>
      </c>
      <c r="J87" s="452"/>
      <c r="K87" s="61" t="s">
        <v>46</v>
      </c>
      <c r="L87" s="62"/>
      <c r="M87" s="55" t="s">
        <v>52</v>
      </c>
      <c r="N87" s="52" t="s">
        <v>41</v>
      </c>
      <c r="O87" s="56">
        <f>'LƯƠNG Tx'!J18</f>
        <v>0</v>
      </c>
      <c r="P87" s="57" t="s">
        <v>50</v>
      </c>
      <c r="Q87" s="441" t="s">
        <v>53</v>
      </c>
      <c r="R87" s="441"/>
      <c r="S87" s="441"/>
      <c r="T87" s="52" t="s">
        <v>41</v>
      </c>
      <c r="U87" s="452">
        <f>$F$8/$L$1*O87</f>
        <v>0</v>
      </c>
      <c r="V87" s="452"/>
      <c r="W87" s="61" t="s">
        <v>46</v>
      </c>
      <c r="X87" s="62"/>
    </row>
    <row r="88" spans="1:24" ht="18.75" customHeight="1">
      <c r="A88" s="55" t="s">
        <v>54</v>
      </c>
      <c r="B88" s="52" t="s">
        <v>41</v>
      </c>
      <c r="C88" s="56">
        <f>'LƯƠNG Tx'!K16</f>
        <v>0</v>
      </c>
      <c r="D88" s="57" t="s">
        <v>50</v>
      </c>
      <c r="E88" s="451" t="s">
        <v>55</v>
      </c>
      <c r="F88" s="451"/>
      <c r="G88" s="451"/>
      <c r="H88" s="52" t="s">
        <v>41</v>
      </c>
      <c r="I88" s="452">
        <f>$F$8/$L$1*C88</f>
        <v>0</v>
      </c>
      <c r="J88" s="452"/>
      <c r="K88" s="61" t="s">
        <v>46</v>
      </c>
      <c r="L88" s="62"/>
      <c r="M88" s="55" t="s">
        <v>54</v>
      </c>
      <c r="N88" s="52" t="s">
        <v>41</v>
      </c>
      <c r="O88" s="56">
        <f>'LƯƠNG Tx'!K18</f>
        <v>0</v>
      </c>
      <c r="P88" s="57" t="s">
        <v>50</v>
      </c>
      <c r="Q88" s="451" t="s">
        <v>55</v>
      </c>
      <c r="R88" s="451"/>
      <c r="S88" s="451"/>
      <c r="T88" s="52" t="s">
        <v>41</v>
      </c>
      <c r="U88" s="452">
        <f>$F$8/$L$1*O88</f>
        <v>0</v>
      </c>
      <c r="V88" s="452"/>
      <c r="W88" s="61" t="s">
        <v>46</v>
      </c>
      <c r="X88" s="62"/>
    </row>
    <row r="89" spans="1:24" ht="18.75" customHeight="1">
      <c r="A89" s="55" t="s">
        <v>56</v>
      </c>
      <c r="B89" s="52" t="s">
        <v>41</v>
      </c>
      <c r="C89" s="56">
        <f>'LƯƠNG Tx'!L16</f>
        <v>0</v>
      </c>
      <c r="D89" s="57" t="s">
        <v>50</v>
      </c>
      <c r="E89" s="451" t="s">
        <v>57</v>
      </c>
      <c r="F89" s="451"/>
      <c r="G89" s="451"/>
      <c r="H89" s="52" t="s">
        <v>41</v>
      </c>
      <c r="I89" s="452">
        <f>$F$8/$L$1*C89</f>
        <v>0</v>
      </c>
      <c r="J89" s="452"/>
      <c r="K89" s="61" t="s">
        <v>46</v>
      </c>
      <c r="L89" s="62"/>
      <c r="M89" s="55" t="s">
        <v>56</v>
      </c>
      <c r="N89" s="52" t="s">
        <v>41</v>
      </c>
      <c r="O89" s="56">
        <f>'LƯƠNG Tx'!L18</f>
        <v>0</v>
      </c>
      <c r="P89" s="57" t="s">
        <v>50</v>
      </c>
      <c r="Q89" s="451" t="s">
        <v>57</v>
      </c>
      <c r="R89" s="451"/>
      <c r="S89" s="451"/>
      <c r="T89" s="52" t="s">
        <v>41</v>
      </c>
      <c r="U89" s="452">
        <f>$F$8/$L$1*O89</f>
        <v>0</v>
      </c>
      <c r="V89" s="452"/>
      <c r="W89" s="61" t="s">
        <v>46</v>
      </c>
      <c r="X89" s="62"/>
    </row>
    <row r="90" spans="1:24" ht="18.75" customHeight="1">
      <c r="A90" s="55" t="s">
        <v>58</v>
      </c>
      <c r="B90" s="52" t="s">
        <v>41</v>
      </c>
      <c r="C90" s="56">
        <f>'LƯƠNG Tx'!Q16</f>
        <v>0</v>
      </c>
      <c r="D90" s="57" t="s">
        <v>59</v>
      </c>
      <c r="E90" s="441" t="s">
        <v>60</v>
      </c>
      <c r="F90" s="441"/>
      <c r="G90" s="441"/>
      <c r="H90" s="52" t="s">
        <v>41</v>
      </c>
      <c r="I90" s="452">
        <f>'LƯƠNG Tx'!Q17</f>
        <v>0</v>
      </c>
      <c r="J90" s="452"/>
      <c r="K90" s="61" t="s">
        <v>46</v>
      </c>
      <c r="L90" s="62">
        <f>F83*C90/L76/8*1.5</f>
        <v>0</v>
      </c>
      <c r="M90" s="55" t="s">
        <v>58</v>
      </c>
      <c r="N90" s="52" t="s">
        <v>41</v>
      </c>
      <c r="O90" s="56">
        <f>'LƯƠNG Tx'!Q18</f>
        <v>0</v>
      </c>
      <c r="P90" s="57" t="s">
        <v>59</v>
      </c>
      <c r="Q90" s="441" t="s">
        <v>60</v>
      </c>
      <c r="R90" s="441"/>
      <c r="S90" s="441"/>
      <c r="T90" s="52" t="s">
        <v>41</v>
      </c>
      <c r="U90" s="452">
        <f>'LƯƠNG Tx'!Q19</f>
        <v>0</v>
      </c>
      <c r="V90" s="452"/>
      <c r="W90" s="61" t="s">
        <v>46</v>
      </c>
      <c r="X90" s="62">
        <f>R83*O90/X76/8*1.5</f>
        <v>0</v>
      </c>
    </row>
    <row r="91" spans="1:24" ht="18.75" customHeight="1">
      <c r="A91" s="440" t="s">
        <v>170</v>
      </c>
      <c r="B91" s="441"/>
      <c r="C91" s="56"/>
      <c r="D91" s="57" t="s">
        <v>50</v>
      </c>
      <c r="E91" s="441" t="s">
        <v>171</v>
      </c>
      <c r="F91" s="441"/>
      <c r="G91" s="441"/>
      <c r="H91" s="63" t="s">
        <v>41</v>
      </c>
      <c r="I91" s="452"/>
      <c r="J91" s="452"/>
      <c r="K91" s="61" t="s">
        <v>46</v>
      </c>
      <c r="L91" s="62"/>
      <c r="M91" s="440" t="s">
        <v>170</v>
      </c>
      <c r="N91" s="441"/>
      <c r="O91" s="56"/>
      <c r="P91" s="57" t="s">
        <v>50</v>
      </c>
      <c r="Q91" s="441" t="s">
        <v>171</v>
      </c>
      <c r="R91" s="441"/>
      <c r="S91" s="441"/>
      <c r="T91" s="63" t="s">
        <v>41</v>
      </c>
      <c r="U91" s="452"/>
      <c r="V91" s="452"/>
      <c r="W91" s="61" t="s">
        <v>46</v>
      </c>
      <c r="X91" s="62"/>
    </row>
    <row r="92" spans="1:24" ht="18.75" customHeight="1">
      <c r="A92" s="55" t="s">
        <v>63</v>
      </c>
      <c r="B92" s="52" t="s">
        <v>41</v>
      </c>
      <c r="C92" s="56"/>
      <c r="D92" s="57" t="s">
        <v>50</v>
      </c>
      <c r="E92" s="441" t="s">
        <v>64</v>
      </c>
      <c r="F92" s="441"/>
      <c r="G92" s="441"/>
      <c r="H92" s="52" t="s">
        <v>41</v>
      </c>
      <c r="I92" s="452"/>
      <c r="J92" s="452"/>
      <c r="K92" s="61" t="s">
        <v>46</v>
      </c>
      <c r="L92" s="62"/>
      <c r="M92" s="55" t="s">
        <v>63</v>
      </c>
      <c r="N92" s="52" t="s">
        <v>41</v>
      </c>
      <c r="O92" s="56"/>
      <c r="P92" s="57" t="s">
        <v>50</v>
      </c>
      <c r="Q92" s="441" t="s">
        <v>64</v>
      </c>
      <c r="R92" s="441"/>
      <c r="S92" s="441"/>
      <c r="T92" s="52" t="s">
        <v>41</v>
      </c>
      <c r="U92" s="452"/>
      <c r="V92" s="452"/>
      <c r="W92" s="61" t="s">
        <v>46</v>
      </c>
      <c r="X92" s="62"/>
    </row>
    <row r="93" spans="1:24" ht="18.75" customHeight="1">
      <c r="A93" s="64" t="s">
        <v>65</v>
      </c>
      <c r="B93" s="52"/>
      <c r="C93" s="56">
        <f>'LƯƠNG Tx'!M16</f>
        <v>0</v>
      </c>
      <c r="D93" s="57" t="s">
        <v>59</v>
      </c>
      <c r="E93" s="441" t="s">
        <v>66</v>
      </c>
      <c r="F93" s="441"/>
      <c r="G93" s="441"/>
      <c r="H93" s="52" t="s">
        <v>41</v>
      </c>
      <c r="I93" s="452">
        <f>$F$8*C93/8/$L$1</f>
        <v>0</v>
      </c>
      <c r="J93" s="452"/>
      <c r="K93" s="61" t="s">
        <v>46</v>
      </c>
      <c r="L93" s="62"/>
      <c r="M93" s="64" t="s">
        <v>65</v>
      </c>
      <c r="N93" s="52"/>
      <c r="O93" s="56">
        <f>'LƯƠNG Tx'!M18</f>
        <v>0</v>
      </c>
      <c r="P93" s="57" t="s">
        <v>59</v>
      </c>
      <c r="Q93" s="441" t="s">
        <v>66</v>
      </c>
      <c r="R93" s="441"/>
      <c r="S93" s="441"/>
      <c r="T93" s="52" t="s">
        <v>41</v>
      </c>
      <c r="U93" s="452">
        <f>$F$8*O93/8/$L$1</f>
        <v>0</v>
      </c>
      <c r="V93" s="452"/>
      <c r="W93" s="61" t="s">
        <v>46</v>
      </c>
      <c r="X93" s="62"/>
    </row>
    <row r="94" spans="1:24" ht="18.75" customHeight="1">
      <c r="A94" s="55" t="s">
        <v>167</v>
      </c>
      <c r="B94" s="52" t="s">
        <v>41</v>
      </c>
      <c r="C94" s="56"/>
      <c r="D94" s="57" t="s">
        <v>59</v>
      </c>
      <c r="E94" s="441" t="s">
        <v>73</v>
      </c>
      <c r="F94" s="441"/>
      <c r="G94" s="441"/>
      <c r="H94" s="52" t="s">
        <v>41</v>
      </c>
      <c r="I94" s="454"/>
      <c r="J94" s="454"/>
      <c r="K94" s="61" t="s">
        <v>46</v>
      </c>
      <c r="L94" s="62"/>
      <c r="M94" s="55" t="s">
        <v>167</v>
      </c>
      <c r="N94" s="52" t="s">
        <v>41</v>
      </c>
      <c r="O94" s="56"/>
      <c r="P94" s="57" t="s">
        <v>59</v>
      </c>
      <c r="Q94" s="441" t="s">
        <v>73</v>
      </c>
      <c r="R94" s="441"/>
      <c r="S94" s="441"/>
      <c r="T94" s="52" t="s">
        <v>41</v>
      </c>
      <c r="U94" s="454"/>
      <c r="V94" s="454"/>
      <c r="W94" s="61" t="s">
        <v>46</v>
      </c>
      <c r="X94" s="62"/>
    </row>
    <row r="95" spans="1:24" ht="18.75" customHeight="1">
      <c r="A95" s="55" t="s">
        <v>69</v>
      </c>
      <c r="B95" s="52" t="s">
        <v>41</v>
      </c>
      <c r="C95" s="56"/>
      <c r="D95" s="57" t="s">
        <v>70</v>
      </c>
      <c r="E95" s="53" t="s">
        <v>71</v>
      </c>
      <c r="F95" s="53"/>
      <c r="G95" s="53"/>
      <c r="H95" s="52" t="s">
        <v>41</v>
      </c>
      <c r="I95" s="452"/>
      <c r="J95" s="452"/>
      <c r="K95" s="61" t="s">
        <v>46</v>
      </c>
      <c r="L95" s="62">
        <f>+IF(L86-I86&lt;0,0,L86-I86)+IF(L90-I90&lt;0,0,L90-I90)</f>
        <v>0</v>
      </c>
      <c r="M95" s="55" t="s">
        <v>69</v>
      </c>
      <c r="N95" s="52" t="s">
        <v>41</v>
      </c>
      <c r="O95" s="56"/>
      <c r="P95" s="57" t="s">
        <v>70</v>
      </c>
      <c r="Q95" s="53" t="s">
        <v>71</v>
      </c>
      <c r="R95" s="53"/>
      <c r="S95" s="53"/>
      <c r="T95" s="52" t="s">
        <v>41</v>
      </c>
      <c r="U95" s="452"/>
      <c r="V95" s="452"/>
      <c r="W95" s="61" t="s">
        <v>46</v>
      </c>
      <c r="X95" s="62">
        <f>+IF(X86-U86&lt;0,0,X86-U86)+IF(X90-U90&lt;0,0,X90-U90)</f>
        <v>0</v>
      </c>
    </row>
    <row r="96" spans="1:24" ht="18.75" customHeight="1">
      <c r="A96" s="65" t="s">
        <v>164</v>
      </c>
      <c r="B96" s="66"/>
      <c r="C96" s="56"/>
      <c r="D96" s="57" t="s">
        <v>50</v>
      </c>
      <c r="E96" s="441" t="s">
        <v>165</v>
      </c>
      <c r="F96" s="441"/>
      <c r="G96" s="441"/>
      <c r="H96" s="52" t="s">
        <v>41</v>
      </c>
      <c r="I96" s="452"/>
      <c r="J96" s="452"/>
      <c r="K96" s="61" t="s">
        <v>46</v>
      </c>
      <c r="L96" s="62"/>
      <c r="M96" s="65" t="s">
        <v>164</v>
      </c>
      <c r="N96" s="66"/>
      <c r="O96" s="56"/>
      <c r="P96" s="57" t="s">
        <v>50</v>
      </c>
      <c r="Q96" s="441" t="s">
        <v>165</v>
      </c>
      <c r="R96" s="441"/>
      <c r="S96" s="441"/>
      <c r="T96" s="52" t="s">
        <v>41</v>
      </c>
      <c r="U96" s="452"/>
      <c r="V96" s="452"/>
      <c r="W96" s="61" t="s">
        <v>46</v>
      </c>
      <c r="X96" s="62"/>
    </row>
    <row r="97" spans="1:24" ht="18.75" customHeight="1">
      <c r="A97" s="460" t="s">
        <v>166</v>
      </c>
      <c r="B97" s="461"/>
      <c r="C97" s="56"/>
      <c r="D97" s="57"/>
      <c r="E97" s="58"/>
      <c r="F97" s="58"/>
      <c r="G97" s="58"/>
      <c r="H97" s="52" t="s">
        <v>41</v>
      </c>
      <c r="I97" s="452">
        <f>'LƯƠNG Tx'!P17</f>
        <v>0</v>
      </c>
      <c r="J97" s="452"/>
      <c r="K97" s="61" t="s">
        <v>46</v>
      </c>
      <c r="L97" s="62"/>
      <c r="M97" s="460" t="s">
        <v>166</v>
      </c>
      <c r="N97" s="461"/>
      <c r="O97" s="56"/>
      <c r="P97" s="57"/>
      <c r="Q97" s="58"/>
      <c r="R97" s="58"/>
      <c r="S97" s="58"/>
      <c r="T97" s="52" t="s">
        <v>41</v>
      </c>
      <c r="U97" s="452">
        <f>'LƯƠNG Tx'!P19</f>
        <v>0</v>
      </c>
      <c r="V97" s="452"/>
      <c r="W97" s="61" t="s">
        <v>46</v>
      </c>
      <c r="X97" s="62"/>
    </row>
    <row r="98" spans="1:24" ht="18.75" customHeight="1">
      <c r="A98" s="55" t="s">
        <v>75</v>
      </c>
      <c r="B98" s="52" t="s">
        <v>41</v>
      </c>
      <c r="C98" s="56"/>
      <c r="D98" s="57"/>
      <c r="E98" s="58" t="s">
        <v>76</v>
      </c>
      <c r="F98" s="58"/>
      <c r="G98" s="58"/>
      <c r="H98" s="52" t="s">
        <v>41</v>
      </c>
      <c r="I98" s="452">
        <f>L95</f>
        <v>0</v>
      </c>
      <c r="J98" s="452"/>
      <c r="K98" s="61" t="s">
        <v>46</v>
      </c>
      <c r="L98" s="62"/>
      <c r="M98" s="55" t="s">
        <v>75</v>
      </c>
      <c r="N98" s="52" t="s">
        <v>41</v>
      </c>
      <c r="O98" s="56"/>
      <c r="P98" s="57"/>
      <c r="Q98" s="58" t="s">
        <v>76</v>
      </c>
      <c r="R98" s="58"/>
      <c r="S98" s="58"/>
      <c r="T98" s="52" t="s">
        <v>41</v>
      </c>
      <c r="U98" s="452">
        <f>X95</f>
        <v>0</v>
      </c>
      <c r="V98" s="452"/>
      <c r="W98" s="61" t="s">
        <v>46</v>
      </c>
      <c r="X98" s="62"/>
    </row>
    <row r="99" spans="1:24" ht="18.75" customHeight="1">
      <c r="A99" s="456" t="s">
        <v>77</v>
      </c>
      <c r="B99" s="457"/>
      <c r="C99" s="457"/>
      <c r="D99" s="457"/>
      <c r="E99" s="457"/>
      <c r="F99" s="457"/>
      <c r="G99" s="52" t="s">
        <v>41</v>
      </c>
      <c r="H99" s="458">
        <f>I86+I87+I88+I89+I90+I93+I97+I98+I91+I92+I94+I95+I96+C97</f>
        <v>0</v>
      </c>
      <c r="I99" s="459"/>
      <c r="J99" s="459"/>
      <c r="K99" s="61" t="s">
        <v>46</v>
      </c>
      <c r="M99" s="456" t="s">
        <v>77</v>
      </c>
      <c r="N99" s="457"/>
      <c r="O99" s="457"/>
      <c r="P99" s="457"/>
      <c r="Q99" s="457"/>
      <c r="R99" s="457"/>
      <c r="S99" s="52" t="s">
        <v>41</v>
      </c>
      <c r="T99" s="458">
        <f>U86+U87+U88+U89+U90+U93+U97+U98+U91+U92+U94+U95+U96+O97</f>
        <v>0</v>
      </c>
      <c r="U99" s="459"/>
      <c r="V99" s="459"/>
      <c r="W99" s="61" t="s">
        <v>46</v>
      </c>
    </row>
    <row r="100" spans="1:24" ht="18.75" customHeight="1">
      <c r="A100" s="67"/>
      <c r="B100" s="68"/>
      <c r="C100" s="68"/>
      <c r="D100" s="68"/>
      <c r="E100" s="68"/>
      <c r="F100" s="68"/>
      <c r="G100" s="68"/>
      <c r="H100" s="68"/>
      <c r="I100" s="68"/>
      <c r="J100" s="68"/>
      <c r="K100" s="69"/>
      <c r="M100" s="67"/>
      <c r="N100" s="68"/>
      <c r="O100" s="68"/>
      <c r="P100" s="68"/>
      <c r="Q100" s="68"/>
      <c r="R100" s="68"/>
      <c r="S100" s="68"/>
      <c r="T100" s="68"/>
      <c r="U100" s="68"/>
      <c r="V100" s="68"/>
      <c r="W100" s="69"/>
    </row>
    <row r="101" spans="1:24" ht="18.75" customHeight="1">
      <c r="A101" s="468" t="s">
        <v>78</v>
      </c>
      <c r="B101" s="469"/>
      <c r="C101" s="469"/>
      <c r="D101" s="469"/>
      <c r="E101" s="469"/>
      <c r="F101" s="469"/>
      <c r="G101" s="52"/>
      <c r="H101" s="52"/>
      <c r="I101" s="52"/>
      <c r="J101" s="52"/>
      <c r="K101" s="61"/>
      <c r="M101" s="468" t="s">
        <v>78</v>
      </c>
      <c r="N101" s="469"/>
      <c r="O101" s="469"/>
      <c r="P101" s="469"/>
      <c r="Q101" s="469"/>
      <c r="R101" s="469"/>
      <c r="S101" s="52"/>
      <c r="T101" s="52"/>
      <c r="U101" s="52"/>
      <c r="V101" s="52"/>
      <c r="W101" s="61"/>
    </row>
    <row r="102" spans="1:24" ht="18.75" customHeight="1">
      <c r="A102" s="462" t="s">
        <v>79</v>
      </c>
      <c r="B102" s="463"/>
      <c r="C102" s="463"/>
      <c r="D102" s="463"/>
      <c r="E102" s="463"/>
      <c r="F102" s="463"/>
      <c r="G102" s="52" t="s">
        <v>41</v>
      </c>
      <c r="H102" s="470">
        <f>IF(($L$1-(C86+C87+C88+C89))&gt;12,0,F83*8%)</f>
        <v>0</v>
      </c>
      <c r="I102" s="470"/>
      <c r="J102" s="470"/>
      <c r="K102" s="61" t="s">
        <v>46</v>
      </c>
      <c r="M102" s="462" t="s">
        <v>79</v>
      </c>
      <c r="N102" s="463"/>
      <c r="O102" s="463"/>
      <c r="P102" s="463"/>
      <c r="Q102" s="463"/>
      <c r="R102" s="463"/>
      <c r="S102" s="52" t="s">
        <v>41</v>
      </c>
      <c r="T102" s="470">
        <f>IF(($L$1-(O86+O87+O88+O89))&gt;12,0,R83*8%)</f>
        <v>0</v>
      </c>
      <c r="U102" s="470"/>
      <c r="V102" s="470"/>
      <c r="W102" s="61" t="s">
        <v>46</v>
      </c>
    </row>
    <row r="103" spans="1:24" ht="18.75" customHeight="1">
      <c r="A103" s="462" t="s">
        <v>80</v>
      </c>
      <c r="B103" s="463"/>
      <c r="C103" s="463"/>
      <c r="D103" s="463"/>
      <c r="E103" s="463"/>
      <c r="F103" s="463"/>
      <c r="G103" s="52" t="s">
        <v>41</v>
      </c>
      <c r="H103" s="464">
        <f>IF(($L$1-(C86+C87+C88+C89))&gt;12,0,F83*1.5%)</f>
        <v>0</v>
      </c>
      <c r="I103" s="464"/>
      <c r="J103" s="464"/>
      <c r="K103" s="61" t="s">
        <v>46</v>
      </c>
      <c r="M103" s="462" t="s">
        <v>80</v>
      </c>
      <c r="N103" s="463"/>
      <c r="O103" s="463"/>
      <c r="P103" s="463"/>
      <c r="Q103" s="463"/>
      <c r="R103" s="463"/>
      <c r="S103" s="52" t="s">
        <v>41</v>
      </c>
      <c r="T103" s="464">
        <f>IF(($L$1-(O86+O87+O88+O89))&gt;12,0,R83*1.5%)</f>
        <v>0</v>
      </c>
      <c r="U103" s="464"/>
      <c r="V103" s="464"/>
      <c r="W103" s="61" t="s">
        <v>46</v>
      </c>
    </row>
    <row r="104" spans="1:24" ht="18.75" customHeight="1">
      <c r="A104" s="462" t="s">
        <v>81</v>
      </c>
      <c r="B104" s="463"/>
      <c r="C104" s="463"/>
      <c r="D104" s="463"/>
      <c r="E104" s="463"/>
      <c r="F104" s="463"/>
      <c r="G104" s="52" t="s">
        <v>41</v>
      </c>
      <c r="H104" s="464">
        <f>IF(($L$1-(C86+C87+C88+C89))&gt;12,0,F83*1%)</f>
        <v>0</v>
      </c>
      <c r="I104" s="464"/>
      <c r="J104" s="464"/>
      <c r="K104" s="61" t="s">
        <v>46</v>
      </c>
      <c r="M104" s="462" t="s">
        <v>81</v>
      </c>
      <c r="N104" s="463"/>
      <c r="O104" s="463"/>
      <c r="P104" s="463"/>
      <c r="Q104" s="463"/>
      <c r="R104" s="463"/>
      <c r="S104" s="52" t="s">
        <v>41</v>
      </c>
      <c r="T104" s="464">
        <f>IF(($L$1-(O86+O87+O88+O89))&gt;12,0,R83*1%)</f>
        <v>0</v>
      </c>
      <c r="U104" s="464"/>
      <c r="V104" s="464"/>
      <c r="W104" s="61" t="s">
        <v>46</v>
      </c>
    </row>
    <row r="105" spans="1:24" ht="18.75" customHeight="1">
      <c r="A105" s="462" t="s">
        <v>82</v>
      </c>
      <c r="B105" s="463"/>
      <c r="C105" s="463"/>
      <c r="D105" s="463"/>
      <c r="E105" s="463"/>
      <c r="F105" s="463"/>
      <c r="G105" s="52" t="s">
        <v>41</v>
      </c>
      <c r="H105" s="464">
        <v>0</v>
      </c>
      <c r="I105" s="464"/>
      <c r="J105" s="464"/>
      <c r="K105" s="61" t="s">
        <v>46</v>
      </c>
      <c r="M105" s="462" t="s">
        <v>82</v>
      </c>
      <c r="N105" s="463"/>
      <c r="O105" s="463"/>
      <c r="P105" s="463"/>
      <c r="Q105" s="463"/>
      <c r="R105" s="463"/>
      <c r="S105" s="52" t="s">
        <v>41</v>
      </c>
      <c r="T105" s="464">
        <v>0</v>
      </c>
      <c r="U105" s="464"/>
      <c r="V105" s="464"/>
      <c r="W105" s="61" t="s">
        <v>46</v>
      </c>
    </row>
    <row r="106" spans="1:24" ht="18.75" customHeight="1">
      <c r="A106" s="465" t="s">
        <v>83</v>
      </c>
      <c r="B106" s="466"/>
      <c r="C106" s="466"/>
      <c r="D106" s="466"/>
      <c r="E106" s="466"/>
      <c r="F106" s="466"/>
      <c r="G106" s="52" t="s">
        <v>41</v>
      </c>
      <c r="H106" s="467">
        <f>SUM(H102:J105)</f>
        <v>0</v>
      </c>
      <c r="I106" s="467"/>
      <c r="J106" s="467"/>
      <c r="K106" s="61" t="s">
        <v>46</v>
      </c>
      <c r="M106" s="465" t="s">
        <v>83</v>
      </c>
      <c r="N106" s="466"/>
      <c r="O106" s="466"/>
      <c r="P106" s="466"/>
      <c r="Q106" s="466"/>
      <c r="R106" s="466"/>
      <c r="S106" s="52" t="s">
        <v>41</v>
      </c>
      <c r="T106" s="467">
        <f>SUM(T102:V105)</f>
        <v>0</v>
      </c>
      <c r="U106" s="467"/>
      <c r="V106" s="467"/>
      <c r="W106" s="61" t="s">
        <v>46</v>
      </c>
    </row>
    <row r="107" spans="1:24" ht="18.75" customHeight="1">
      <c r="A107" s="462" t="s">
        <v>84</v>
      </c>
      <c r="B107" s="463"/>
      <c r="C107" s="463"/>
      <c r="D107" s="463"/>
      <c r="E107" s="463"/>
      <c r="F107" s="463"/>
      <c r="G107" s="52" t="s">
        <v>41</v>
      </c>
      <c r="H107" s="475">
        <f>ROUND(H99-H106,-2)</f>
        <v>0</v>
      </c>
      <c r="I107" s="475"/>
      <c r="J107" s="475"/>
      <c r="K107" s="61" t="s">
        <v>46</v>
      </c>
      <c r="M107" s="462" t="s">
        <v>84</v>
      </c>
      <c r="N107" s="463"/>
      <c r="O107" s="463"/>
      <c r="P107" s="463"/>
      <c r="Q107" s="463"/>
      <c r="R107" s="463"/>
      <c r="S107" s="52" t="s">
        <v>41</v>
      </c>
      <c r="T107" s="475">
        <f>ROUND(T99-T106,-2)</f>
        <v>0</v>
      </c>
      <c r="U107" s="475"/>
      <c r="V107" s="475"/>
      <c r="W107" s="61" t="s">
        <v>46</v>
      </c>
    </row>
    <row r="108" spans="1:24" ht="18.75" customHeight="1">
      <c r="A108" s="70"/>
      <c r="B108" s="71"/>
      <c r="C108" s="71"/>
      <c r="D108" s="71"/>
      <c r="E108" s="71"/>
      <c r="F108" s="71"/>
      <c r="G108" s="71"/>
      <c r="H108" s="71"/>
      <c r="I108" s="71"/>
      <c r="J108" s="71"/>
      <c r="K108" s="72"/>
      <c r="M108" s="70"/>
      <c r="N108" s="71"/>
      <c r="O108" s="71"/>
      <c r="P108" s="71"/>
      <c r="Q108" s="71"/>
      <c r="R108" s="71"/>
      <c r="S108" s="71"/>
      <c r="T108" s="71"/>
      <c r="U108" s="71"/>
      <c r="V108" s="71"/>
      <c r="W108" s="72"/>
    </row>
    <row r="109" spans="1:24" ht="18.75" customHeight="1">
      <c r="A109" s="73"/>
      <c r="B109" s="52"/>
      <c r="C109" s="52"/>
      <c r="D109" s="52"/>
      <c r="E109" s="52"/>
      <c r="F109" s="52"/>
      <c r="G109" s="52"/>
      <c r="H109" s="52"/>
      <c r="I109" s="472" t="s">
        <v>85</v>
      </c>
      <c r="J109" s="472"/>
      <c r="K109" s="476"/>
      <c r="M109" s="73"/>
      <c r="N109" s="52"/>
      <c r="O109" s="52"/>
      <c r="P109" s="52"/>
      <c r="Q109" s="52"/>
      <c r="R109" s="52"/>
      <c r="S109" s="52"/>
      <c r="T109" s="52"/>
      <c r="U109" s="472" t="s">
        <v>85</v>
      </c>
      <c r="V109" s="472"/>
      <c r="W109" s="476"/>
    </row>
    <row r="110" spans="1:24" ht="18.75" customHeight="1">
      <c r="A110" s="73"/>
      <c r="B110" s="471"/>
      <c r="C110" s="472"/>
      <c r="D110" s="472"/>
      <c r="E110" s="472"/>
      <c r="F110" s="52"/>
      <c r="G110" s="52"/>
      <c r="H110" s="52"/>
      <c r="I110" s="52"/>
      <c r="J110" s="52"/>
      <c r="K110" s="54"/>
      <c r="M110" s="73"/>
      <c r="N110" s="471"/>
      <c r="O110" s="472"/>
      <c r="P110" s="472"/>
      <c r="Q110" s="472"/>
      <c r="R110" s="52"/>
      <c r="S110" s="52"/>
      <c r="T110" s="52"/>
      <c r="U110" s="52"/>
      <c r="V110" s="52"/>
      <c r="W110" s="54"/>
    </row>
    <row r="111" spans="1:24" ht="18.75" customHeight="1" thickBot="1">
      <c r="A111" s="75"/>
      <c r="B111" s="76"/>
      <c r="C111" s="76"/>
      <c r="D111" s="76"/>
      <c r="E111" s="76"/>
      <c r="F111" s="76"/>
      <c r="G111" s="76"/>
      <c r="H111" s="76"/>
      <c r="I111" s="473" t="s">
        <v>86</v>
      </c>
      <c r="J111" s="473"/>
      <c r="K111" s="474"/>
      <c r="M111" s="75"/>
      <c r="N111" s="76"/>
      <c r="O111" s="76"/>
      <c r="P111" s="76"/>
      <c r="Q111" s="76"/>
      <c r="R111" s="76"/>
      <c r="S111" s="76"/>
      <c r="T111" s="76"/>
      <c r="U111" s="473" t="s">
        <v>86</v>
      </c>
      <c r="V111" s="473"/>
      <c r="W111" s="474"/>
    </row>
    <row r="112" spans="1:24" ht="18.75" customHeight="1" thickTop="1" thickBot="1"/>
    <row r="113" spans="1:24" ht="18.75" customHeight="1" thickTop="1">
      <c r="A113" s="445" t="s">
        <v>172</v>
      </c>
      <c r="B113" s="446"/>
      <c r="C113" s="446"/>
      <c r="D113" s="446"/>
      <c r="E113" s="446"/>
      <c r="F113" s="446"/>
      <c r="G113" s="446"/>
      <c r="H113" s="446"/>
      <c r="I113" s="446"/>
      <c r="J113" s="446"/>
      <c r="K113" s="447"/>
      <c r="L113" s="48">
        <v>26</v>
      </c>
      <c r="M113" s="445" t="s">
        <v>172</v>
      </c>
      <c r="N113" s="446"/>
      <c r="O113" s="446"/>
      <c r="P113" s="446"/>
      <c r="Q113" s="446"/>
      <c r="R113" s="446"/>
      <c r="S113" s="446"/>
      <c r="T113" s="446"/>
      <c r="U113" s="446"/>
      <c r="V113" s="446"/>
      <c r="W113" s="447"/>
      <c r="X113" s="48">
        <v>26</v>
      </c>
    </row>
    <row r="114" spans="1:24" ht="18.75" customHeight="1">
      <c r="A114" s="49" t="s">
        <v>93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1"/>
      <c r="M114" s="49" t="s">
        <v>94</v>
      </c>
      <c r="N114" s="50"/>
      <c r="O114" s="50"/>
      <c r="P114" s="50"/>
      <c r="Q114" s="50"/>
      <c r="R114" s="50"/>
      <c r="S114" s="50"/>
      <c r="T114" s="50"/>
      <c r="U114" s="50"/>
      <c r="V114" s="50"/>
      <c r="W114" s="51"/>
    </row>
    <row r="115" spans="1:24" ht="18.75" customHeight="1">
      <c r="A115" s="448" t="s">
        <v>39</v>
      </c>
      <c r="B115" s="449"/>
      <c r="C115" s="449"/>
      <c r="D115" s="449"/>
      <c r="E115" s="449"/>
      <c r="F115" s="449"/>
      <c r="G115" s="449"/>
      <c r="H115" s="449"/>
      <c r="I115" s="449"/>
      <c r="J115" s="449"/>
      <c r="K115" s="450"/>
      <c r="M115" s="448" t="s">
        <v>39</v>
      </c>
      <c r="N115" s="449"/>
      <c r="O115" s="449"/>
      <c r="P115" s="449"/>
      <c r="Q115" s="449"/>
      <c r="R115" s="449"/>
      <c r="S115" s="449"/>
      <c r="T115" s="449"/>
      <c r="U115" s="449"/>
      <c r="V115" s="449"/>
      <c r="W115" s="450"/>
    </row>
    <row r="116" spans="1:24" ht="18.75" customHeight="1">
      <c r="A116" s="440" t="s">
        <v>40</v>
      </c>
      <c r="B116" s="441"/>
      <c r="C116" s="441"/>
      <c r="D116" s="441"/>
      <c r="E116" s="52" t="s">
        <v>41</v>
      </c>
      <c r="F116" s="442">
        <f>'Bang TH nop'!B21</f>
        <v>0</v>
      </c>
      <c r="G116" s="441"/>
      <c r="H116" s="441"/>
      <c r="I116" s="441"/>
      <c r="J116" s="441"/>
      <c r="K116" s="444"/>
      <c r="M116" s="440" t="s">
        <v>40</v>
      </c>
      <c r="N116" s="441"/>
      <c r="O116" s="441"/>
      <c r="P116" s="441"/>
      <c r="Q116" s="52" t="s">
        <v>41</v>
      </c>
      <c r="R116" s="442">
        <f>'Bang TH nop'!B23</f>
        <v>0</v>
      </c>
      <c r="S116" s="441"/>
      <c r="T116" s="441"/>
      <c r="U116" s="441"/>
      <c r="V116" s="441"/>
      <c r="W116" s="444"/>
    </row>
    <row r="117" spans="1:24" ht="18.75" customHeight="1">
      <c r="A117" s="440" t="s">
        <v>42</v>
      </c>
      <c r="B117" s="441"/>
      <c r="C117" s="441"/>
      <c r="D117" s="441"/>
      <c r="E117" s="52" t="s">
        <v>41</v>
      </c>
      <c r="F117" s="442">
        <f>'Bang TH nop'!C21</f>
        <v>0</v>
      </c>
      <c r="G117" s="442"/>
      <c r="H117" s="442"/>
      <c r="I117" s="442"/>
      <c r="J117" s="442"/>
      <c r="K117" s="443"/>
      <c r="M117" s="440" t="s">
        <v>42</v>
      </c>
      <c r="N117" s="441"/>
      <c r="O117" s="441"/>
      <c r="P117" s="441"/>
      <c r="Q117" s="52" t="s">
        <v>41</v>
      </c>
      <c r="R117" s="442">
        <f>'Bang TH nop'!C23</f>
        <v>0</v>
      </c>
      <c r="S117" s="442"/>
      <c r="T117" s="442"/>
      <c r="U117" s="442"/>
      <c r="V117" s="442"/>
      <c r="W117" s="443"/>
    </row>
    <row r="118" spans="1:24" ht="18.75" customHeight="1">
      <c r="A118" s="440" t="s">
        <v>43</v>
      </c>
      <c r="B118" s="441"/>
      <c r="C118" s="441"/>
      <c r="D118" s="441"/>
      <c r="E118" s="52" t="s">
        <v>41</v>
      </c>
      <c r="F118" s="441" t="str">
        <f>+$L$2</f>
        <v xml:space="preserve">Tổ  </v>
      </c>
      <c r="G118" s="441"/>
      <c r="H118" s="441"/>
      <c r="I118" s="441"/>
      <c r="J118" s="441"/>
      <c r="K118" s="444"/>
      <c r="M118" s="440" t="s">
        <v>43</v>
      </c>
      <c r="N118" s="441"/>
      <c r="O118" s="441"/>
      <c r="P118" s="441"/>
      <c r="Q118" s="52" t="s">
        <v>41</v>
      </c>
      <c r="R118" s="441" t="str">
        <f>+$L$2</f>
        <v xml:space="preserve">Tổ  </v>
      </c>
      <c r="S118" s="441"/>
      <c r="T118" s="441"/>
      <c r="U118" s="441"/>
      <c r="V118" s="441"/>
      <c r="W118" s="444"/>
    </row>
    <row r="119" spans="1:24" ht="18.75" customHeight="1">
      <c r="A119" s="448" t="s">
        <v>44</v>
      </c>
      <c r="B119" s="449"/>
      <c r="C119" s="449"/>
      <c r="D119" s="449"/>
      <c r="E119" s="449"/>
      <c r="F119" s="449"/>
      <c r="G119" s="449"/>
      <c r="H119" s="449"/>
      <c r="I119" s="449"/>
      <c r="J119" s="449"/>
      <c r="K119" s="450"/>
      <c r="M119" s="448" t="s">
        <v>44</v>
      </c>
      <c r="N119" s="449"/>
      <c r="O119" s="449"/>
      <c r="P119" s="449"/>
      <c r="Q119" s="449"/>
      <c r="R119" s="449"/>
      <c r="S119" s="449"/>
      <c r="T119" s="449"/>
      <c r="U119" s="449"/>
      <c r="V119" s="449"/>
      <c r="W119" s="450"/>
    </row>
    <row r="120" spans="1:24" ht="18.75" customHeight="1">
      <c r="A120" s="440" t="s">
        <v>45</v>
      </c>
      <c r="B120" s="441"/>
      <c r="C120" s="441"/>
      <c r="D120" s="441"/>
      <c r="E120" s="52" t="s">
        <v>41</v>
      </c>
      <c r="F120" s="455">
        <f>VLOOKUP(F117,'Bang TH nop'!$C$9:$AP$266,29,0)</f>
        <v>0</v>
      </c>
      <c r="G120" s="455"/>
      <c r="H120" s="455"/>
      <c r="I120" s="455"/>
      <c r="J120" s="52" t="s">
        <v>46</v>
      </c>
      <c r="K120" s="54"/>
      <c r="M120" s="440" t="s">
        <v>45</v>
      </c>
      <c r="N120" s="441"/>
      <c r="O120" s="441"/>
      <c r="P120" s="441"/>
      <c r="Q120" s="52" t="s">
        <v>41</v>
      </c>
      <c r="R120" s="455">
        <f>VLOOKUP(R117,'Bang TH nop'!$C$9:$AP$266,29,0)</f>
        <v>0</v>
      </c>
      <c r="S120" s="455"/>
      <c r="T120" s="455"/>
      <c r="U120" s="455"/>
      <c r="V120" s="52" t="s">
        <v>46</v>
      </c>
      <c r="W120" s="54"/>
    </row>
    <row r="121" spans="1:24" ht="18.75" customHeight="1">
      <c r="A121" s="55" t="s">
        <v>47</v>
      </c>
      <c r="B121" s="52"/>
      <c r="C121" s="56"/>
      <c r="D121" s="57"/>
      <c r="E121" s="58"/>
      <c r="F121" s="58"/>
      <c r="G121" s="58"/>
      <c r="H121" s="52"/>
      <c r="I121" s="59">
        <f>'LƯƠNG Tx'!F21</f>
        <v>0</v>
      </c>
      <c r="J121" s="60"/>
      <c r="K121" s="61"/>
      <c r="M121" s="55" t="s">
        <v>47</v>
      </c>
      <c r="N121" s="52"/>
      <c r="O121" s="56"/>
      <c r="P121" s="57"/>
      <c r="Q121" s="58"/>
      <c r="R121" s="58"/>
      <c r="S121" s="58"/>
      <c r="T121" s="52"/>
      <c r="U121" s="59">
        <f>'LƯƠNG Tx'!F23</f>
        <v>0</v>
      </c>
      <c r="V121" s="60"/>
      <c r="W121" s="61"/>
    </row>
    <row r="122" spans="1:24" ht="18.75" customHeight="1">
      <c r="A122" s="55" t="s">
        <v>48</v>
      </c>
      <c r="B122" s="52"/>
      <c r="C122" s="56"/>
      <c r="D122" s="57"/>
      <c r="E122" s="58"/>
      <c r="F122" s="58"/>
      <c r="G122" s="58"/>
      <c r="H122" s="52"/>
      <c r="I122" s="59" t="e">
        <f>I123/C123/8</f>
        <v>#DIV/0!</v>
      </c>
      <c r="J122" s="60"/>
      <c r="K122" s="61"/>
      <c r="M122" s="55" t="s">
        <v>48</v>
      </c>
      <c r="N122" s="52"/>
      <c r="O122" s="56"/>
      <c r="P122" s="57"/>
      <c r="Q122" s="58"/>
      <c r="R122" s="58"/>
      <c r="S122" s="58"/>
      <c r="T122" s="52"/>
      <c r="U122" s="59" t="e">
        <f>U123/O123/8</f>
        <v>#DIV/0!</v>
      </c>
      <c r="V122" s="60"/>
      <c r="W122" s="61"/>
    </row>
    <row r="123" spans="1:24" ht="18.75" customHeight="1">
      <c r="A123" s="55" t="s">
        <v>49</v>
      </c>
      <c r="B123" s="52" t="s">
        <v>41</v>
      </c>
      <c r="C123" s="56">
        <f>'LƯƠNG Tx'!I20</f>
        <v>0</v>
      </c>
      <c r="D123" s="57" t="s">
        <v>50</v>
      </c>
      <c r="E123" s="453" t="s">
        <v>51</v>
      </c>
      <c r="F123" s="453"/>
      <c r="G123" s="453"/>
      <c r="H123" s="52" t="s">
        <v>41</v>
      </c>
      <c r="I123" s="454">
        <f>'LƯƠNG Tx'!I21</f>
        <v>0</v>
      </c>
      <c r="J123" s="454"/>
      <c r="K123" s="61" t="s">
        <v>46</v>
      </c>
      <c r="L123" s="62">
        <f>F120/L113*C123</f>
        <v>0</v>
      </c>
      <c r="M123" s="55" t="s">
        <v>49</v>
      </c>
      <c r="N123" s="52" t="s">
        <v>41</v>
      </c>
      <c r="O123" s="56">
        <f>'LƯƠNG Tx'!I22</f>
        <v>0</v>
      </c>
      <c r="P123" s="57" t="s">
        <v>50</v>
      </c>
      <c r="Q123" s="453" t="s">
        <v>51</v>
      </c>
      <c r="R123" s="453"/>
      <c r="S123" s="453"/>
      <c r="T123" s="52" t="s">
        <v>41</v>
      </c>
      <c r="U123" s="454">
        <f>'LƯƠNG Tx'!I23</f>
        <v>0</v>
      </c>
      <c r="V123" s="454"/>
      <c r="W123" s="61" t="s">
        <v>46</v>
      </c>
      <c r="X123" s="62">
        <f>R120/X113*O123</f>
        <v>0</v>
      </c>
    </row>
    <row r="124" spans="1:24" ht="18.75" customHeight="1">
      <c r="A124" s="55" t="s">
        <v>52</v>
      </c>
      <c r="B124" s="52" t="s">
        <v>41</v>
      </c>
      <c r="C124" s="56">
        <f>'LƯƠNG Tx'!J20</f>
        <v>0</v>
      </c>
      <c r="D124" s="57" t="s">
        <v>50</v>
      </c>
      <c r="E124" s="441" t="s">
        <v>53</v>
      </c>
      <c r="F124" s="441"/>
      <c r="G124" s="441"/>
      <c r="H124" s="52" t="s">
        <v>41</v>
      </c>
      <c r="I124" s="452">
        <f>$F$8/$L$1*C124</f>
        <v>0</v>
      </c>
      <c r="J124" s="452"/>
      <c r="K124" s="61" t="s">
        <v>46</v>
      </c>
      <c r="L124" s="62"/>
      <c r="M124" s="55" t="s">
        <v>52</v>
      </c>
      <c r="N124" s="52" t="s">
        <v>41</v>
      </c>
      <c r="O124" s="56">
        <f>'LƯƠNG Tx'!J22</f>
        <v>0</v>
      </c>
      <c r="P124" s="57" t="s">
        <v>50</v>
      </c>
      <c r="Q124" s="441" t="s">
        <v>53</v>
      </c>
      <c r="R124" s="441"/>
      <c r="S124" s="441"/>
      <c r="T124" s="52" t="s">
        <v>41</v>
      </c>
      <c r="U124" s="452">
        <f>$F$8/$L$1*O124</f>
        <v>0</v>
      </c>
      <c r="V124" s="452"/>
      <c r="W124" s="61" t="s">
        <v>46</v>
      </c>
      <c r="X124" s="62"/>
    </row>
    <row r="125" spans="1:24" ht="18.75" customHeight="1">
      <c r="A125" s="55" t="s">
        <v>54</v>
      </c>
      <c r="B125" s="52" t="s">
        <v>41</v>
      </c>
      <c r="C125" s="56">
        <f>'LƯƠNG Tx'!K20</f>
        <v>0</v>
      </c>
      <c r="D125" s="57" t="s">
        <v>50</v>
      </c>
      <c r="E125" s="451" t="s">
        <v>55</v>
      </c>
      <c r="F125" s="451"/>
      <c r="G125" s="451"/>
      <c r="H125" s="52" t="s">
        <v>41</v>
      </c>
      <c r="I125" s="452">
        <f>$F$8/$L$1*C125</f>
        <v>0</v>
      </c>
      <c r="J125" s="452"/>
      <c r="K125" s="61" t="s">
        <v>46</v>
      </c>
      <c r="L125" s="62"/>
      <c r="M125" s="55" t="s">
        <v>54</v>
      </c>
      <c r="N125" s="52" t="s">
        <v>41</v>
      </c>
      <c r="O125" s="56">
        <f>'LƯƠNG Tx'!K22</f>
        <v>0</v>
      </c>
      <c r="P125" s="57" t="s">
        <v>50</v>
      </c>
      <c r="Q125" s="451" t="s">
        <v>55</v>
      </c>
      <c r="R125" s="451"/>
      <c r="S125" s="451"/>
      <c r="T125" s="52" t="s">
        <v>41</v>
      </c>
      <c r="U125" s="452">
        <f>$F$8/$L$1*O125</f>
        <v>0</v>
      </c>
      <c r="V125" s="452"/>
      <c r="W125" s="61" t="s">
        <v>46</v>
      </c>
      <c r="X125" s="62"/>
    </row>
    <row r="126" spans="1:24" ht="18.75" customHeight="1">
      <c r="A126" s="55" t="s">
        <v>56</v>
      </c>
      <c r="B126" s="52" t="s">
        <v>41</v>
      </c>
      <c r="C126" s="56">
        <f>'LƯƠNG Tx'!L20</f>
        <v>0</v>
      </c>
      <c r="D126" s="57" t="s">
        <v>50</v>
      </c>
      <c r="E126" s="451" t="s">
        <v>57</v>
      </c>
      <c r="F126" s="451"/>
      <c r="G126" s="451"/>
      <c r="H126" s="52" t="s">
        <v>41</v>
      </c>
      <c r="I126" s="452">
        <f>$F$8/$L$1*C126</f>
        <v>0</v>
      </c>
      <c r="J126" s="452"/>
      <c r="K126" s="61" t="s">
        <v>46</v>
      </c>
      <c r="L126" s="62"/>
      <c r="M126" s="55" t="s">
        <v>56</v>
      </c>
      <c r="N126" s="52" t="s">
        <v>41</v>
      </c>
      <c r="O126" s="56">
        <f>'LƯƠNG Tx'!L22</f>
        <v>0</v>
      </c>
      <c r="P126" s="57" t="s">
        <v>50</v>
      </c>
      <c r="Q126" s="451" t="s">
        <v>57</v>
      </c>
      <c r="R126" s="451"/>
      <c r="S126" s="451"/>
      <c r="T126" s="52" t="s">
        <v>41</v>
      </c>
      <c r="U126" s="452">
        <f>$F$8/$L$1*O126</f>
        <v>0</v>
      </c>
      <c r="V126" s="452"/>
      <c r="W126" s="61" t="s">
        <v>46</v>
      </c>
      <c r="X126" s="62"/>
    </row>
    <row r="127" spans="1:24" ht="18.75" customHeight="1">
      <c r="A127" s="55" t="s">
        <v>58</v>
      </c>
      <c r="B127" s="52" t="s">
        <v>41</v>
      </c>
      <c r="C127" s="56">
        <f>'LƯƠNG Tx'!Q20</f>
        <v>0</v>
      </c>
      <c r="D127" s="57" t="s">
        <v>59</v>
      </c>
      <c r="E127" s="441" t="s">
        <v>60</v>
      </c>
      <c r="F127" s="441"/>
      <c r="G127" s="441"/>
      <c r="H127" s="52" t="s">
        <v>41</v>
      </c>
      <c r="I127" s="452">
        <f>'LƯƠNG Tx'!Q21</f>
        <v>0</v>
      </c>
      <c r="J127" s="452"/>
      <c r="K127" s="61" t="s">
        <v>46</v>
      </c>
      <c r="L127" s="62">
        <f>F120*C127/L113/8*1.5</f>
        <v>0</v>
      </c>
      <c r="M127" s="55" t="s">
        <v>58</v>
      </c>
      <c r="N127" s="52" t="s">
        <v>41</v>
      </c>
      <c r="O127" s="56">
        <f>'LƯƠNG Tx'!Q22</f>
        <v>0</v>
      </c>
      <c r="P127" s="57" t="s">
        <v>59</v>
      </c>
      <c r="Q127" s="441" t="s">
        <v>60</v>
      </c>
      <c r="R127" s="441"/>
      <c r="S127" s="441"/>
      <c r="T127" s="52" t="s">
        <v>41</v>
      </c>
      <c r="U127" s="452">
        <f>'LƯƠNG Tx'!Q23</f>
        <v>0</v>
      </c>
      <c r="V127" s="452"/>
      <c r="W127" s="61" t="s">
        <v>46</v>
      </c>
      <c r="X127" s="62">
        <f>R120*O127/X113/8*1.5</f>
        <v>0</v>
      </c>
    </row>
    <row r="128" spans="1:24" ht="18.75" customHeight="1">
      <c r="A128" s="440" t="s">
        <v>61</v>
      </c>
      <c r="B128" s="441"/>
      <c r="C128" s="56"/>
      <c r="D128" s="57" t="s">
        <v>50</v>
      </c>
      <c r="E128" s="441" t="s">
        <v>62</v>
      </c>
      <c r="F128" s="441"/>
      <c r="G128" s="441"/>
      <c r="H128" s="63" t="s">
        <v>41</v>
      </c>
      <c r="I128" s="452"/>
      <c r="J128" s="452"/>
      <c r="K128" s="61" t="s">
        <v>46</v>
      </c>
      <c r="L128" s="62"/>
      <c r="M128" s="440" t="s">
        <v>61</v>
      </c>
      <c r="N128" s="441"/>
      <c r="O128" s="56"/>
      <c r="P128" s="57" t="s">
        <v>50</v>
      </c>
      <c r="Q128" s="441" t="s">
        <v>62</v>
      </c>
      <c r="R128" s="441"/>
      <c r="S128" s="441"/>
      <c r="T128" s="63" t="s">
        <v>41</v>
      </c>
      <c r="U128" s="452"/>
      <c r="V128" s="452"/>
      <c r="W128" s="61" t="s">
        <v>46</v>
      </c>
      <c r="X128" s="62"/>
    </row>
    <row r="129" spans="1:24" ht="18.75" customHeight="1">
      <c r="A129" s="55" t="s">
        <v>63</v>
      </c>
      <c r="B129" s="52" t="s">
        <v>41</v>
      </c>
      <c r="C129" s="56"/>
      <c r="D129" s="57" t="s">
        <v>50</v>
      </c>
      <c r="E129" s="441" t="s">
        <v>64</v>
      </c>
      <c r="F129" s="441"/>
      <c r="G129" s="441"/>
      <c r="H129" s="52" t="s">
        <v>41</v>
      </c>
      <c r="I129" s="452"/>
      <c r="J129" s="452"/>
      <c r="K129" s="61" t="s">
        <v>46</v>
      </c>
      <c r="L129" s="62"/>
      <c r="M129" s="55" t="s">
        <v>63</v>
      </c>
      <c r="N129" s="52" t="s">
        <v>41</v>
      </c>
      <c r="O129" s="56"/>
      <c r="P129" s="57" t="s">
        <v>50</v>
      </c>
      <c r="Q129" s="441" t="s">
        <v>64</v>
      </c>
      <c r="R129" s="441"/>
      <c r="S129" s="441"/>
      <c r="T129" s="52" t="s">
        <v>41</v>
      </c>
      <c r="U129" s="452"/>
      <c r="V129" s="452"/>
      <c r="W129" s="61" t="s">
        <v>46</v>
      </c>
      <c r="X129" s="62"/>
    </row>
    <row r="130" spans="1:24" ht="18.75" customHeight="1">
      <c r="A130" s="64" t="s">
        <v>65</v>
      </c>
      <c r="B130" s="52"/>
      <c r="C130" s="56">
        <f>'LƯƠNG Tx'!M20</f>
        <v>0</v>
      </c>
      <c r="D130" s="57" t="s">
        <v>59</v>
      </c>
      <c r="E130" s="441" t="s">
        <v>66</v>
      </c>
      <c r="F130" s="441"/>
      <c r="G130" s="441"/>
      <c r="H130" s="52" t="s">
        <v>41</v>
      </c>
      <c r="I130" s="452">
        <f>$F$8*C130/8/$L$1</f>
        <v>0</v>
      </c>
      <c r="J130" s="452"/>
      <c r="K130" s="61" t="s">
        <v>46</v>
      </c>
      <c r="L130" s="62"/>
      <c r="M130" s="64" t="s">
        <v>65</v>
      </c>
      <c r="N130" s="52"/>
      <c r="O130" s="56">
        <f>'LƯƠNG Tx'!M22</f>
        <v>0</v>
      </c>
      <c r="P130" s="57" t="s">
        <v>59</v>
      </c>
      <c r="Q130" s="441" t="s">
        <v>66</v>
      </c>
      <c r="R130" s="441"/>
      <c r="S130" s="441"/>
      <c r="T130" s="52" t="s">
        <v>41</v>
      </c>
      <c r="U130" s="452">
        <f>$F$8*O130/8/$L$1</f>
        <v>0</v>
      </c>
      <c r="V130" s="452"/>
      <c r="W130" s="61" t="s">
        <v>46</v>
      </c>
      <c r="X130" s="62"/>
    </row>
    <row r="131" spans="1:24" ht="18.75" customHeight="1">
      <c r="A131" s="55" t="s">
        <v>167</v>
      </c>
      <c r="B131" s="52" t="s">
        <v>41</v>
      </c>
      <c r="C131" s="56"/>
      <c r="D131" s="57" t="s">
        <v>59</v>
      </c>
      <c r="E131" s="441" t="s">
        <v>73</v>
      </c>
      <c r="F131" s="441"/>
      <c r="G131" s="441"/>
      <c r="H131" s="52" t="s">
        <v>41</v>
      </c>
      <c r="I131" s="454"/>
      <c r="J131" s="454"/>
      <c r="K131" s="61" t="s">
        <v>46</v>
      </c>
      <c r="L131" s="62"/>
      <c r="M131" s="55" t="s">
        <v>167</v>
      </c>
      <c r="N131" s="52" t="s">
        <v>41</v>
      </c>
      <c r="O131" s="56"/>
      <c r="P131" s="57" t="s">
        <v>59</v>
      </c>
      <c r="Q131" s="441" t="s">
        <v>73</v>
      </c>
      <c r="R131" s="441"/>
      <c r="S131" s="441"/>
      <c r="T131" s="52" t="s">
        <v>41</v>
      </c>
      <c r="U131" s="454"/>
      <c r="V131" s="454"/>
      <c r="W131" s="61" t="s">
        <v>46</v>
      </c>
      <c r="X131" s="62"/>
    </row>
    <row r="132" spans="1:24" ht="18.75" customHeight="1">
      <c r="A132" s="55" t="s">
        <v>69</v>
      </c>
      <c r="B132" s="52" t="s">
        <v>41</v>
      </c>
      <c r="C132" s="56"/>
      <c r="D132" s="57" t="s">
        <v>70</v>
      </c>
      <c r="E132" s="53" t="s">
        <v>71</v>
      </c>
      <c r="F132" s="53"/>
      <c r="G132" s="53"/>
      <c r="H132" s="52" t="s">
        <v>41</v>
      </c>
      <c r="I132" s="452"/>
      <c r="J132" s="452"/>
      <c r="K132" s="61" t="s">
        <v>46</v>
      </c>
      <c r="L132" s="62">
        <f>+IF(L123-I123&lt;0,0,L123-I123)+IF(L127-I127&lt;0,0,L127-I127)</f>
        <v>0</v>
      </c>
      <c r="M132" s="55" t="s">
        <v>69</v>
      </c>
      <c r="N132" s="52" t="s">
        <v>41</v>
      </c>
      <c r="O132" s="56"/>
      <c r="P132" s="57" t="s">
        <v>70</v>
      </c>
      <c r="Q132" s="53" t="s">
        <v>71</v>
      </c>
      <c r="R132" s="53"/>
      <c r="S132" s="53"/>
      <c r="T132" s="52" t="s">
        <v>41</v>
      </c>
      <c r="U132" s="452"/>
      <c r="V132" s="452"/>
      <c r="W132" s="61" t="s">
        <v>46</v>
      </c>
      <c r="X132" s="62">
        <f>+IF(X123-U123&lt;0,0,X123-U123)+IF(X127-U127&lt;0,0,X127-U127)</f>
        <v>0</v>
      </c>
    </row>
    <row r="133" spans="1:24" ht="18.75" customHeight="1">
      <c r="A133" s="65" t="s">
        <v>164</v>
      </c>
      <c r="B133" s="66"/>
      <c r="C133" s="56"/>
      <c r="D133" s="57" t="s">
        <v>50</v>
      </c>
      <c r="E133" s="441" t="s">
        <v>165</v>
      </c>
      <c r="F133" s="441"/>
      <c r="G133" s="441"/>
      <c r="H133" s="52" t="s">
        <v>41</v>
      </c>
      <c r="I133" s="452"/>
      <c r="J133" s="452"/>
      <c r="K133" s="61" t="s">
        <v>46</v>
      </c>
      <c r="L133" s="62"/>
      <c r="M133" s="65" t="s">
        <v>164</v>
      </c>
      <c r="N133" s="66"/>
      <c r="O133" s="56"/>
      <c r="P133" s="57" t="s">
        <v>50</v>
      </c>
      <c r="Q133" s="441" t="s">
        <v>165</v>
      </c>
      <c r="R133" s="441"/>
      <c r="S133" s="441"/>
      <c r="T133" s="52" t="s">
        <v>41</v>
      </c>
      <c r="U133" s="452"/>
      <c r="V133" s="452"/>
      <c r="W133" s="61" t="s">
        <v>46</v>
      </c>
      <c r="X133" s="62"/>
    </row>
    <row r="134" spans="1:24" ht="18.75" customHeight="1">
      <c r="A134" s="460" t="s">
        <v>166</v>
      </c>
      <c r="B134" s="461"/>
      <c r="C134" s="56"/>
      <c r="D134" s="57"/>
      <c r="E134" s="58"/>
      <c r="F134" s="58"/>
      <c r="G134" s="58"/>
      <c r="H134" s="52" t="s">
        <v>41</v>
      </c>
      <c r="I134" s="452">
        <f>'LƯƠNG Tx'!P21</f>
        <v>0</v>
      </c>
      <c r="J134" s="452"/>
      <c r="K134" s="61" t="s">
        <v>46</v>
      </c>
      <c r="L134" s="62"/>
      <c r="M134" s="460" t="s">
        <v>166</v>
      </c>
      <c r="N134" s="461"/>
      <c r="O134" s="56"/>
      <c r="P134" s="57"/>
      <c r="Q134" s="58"/>
      <c r="R134" s="58"/>
      <c r="S134" s="58"/>
      <c r="T134" s="52" t="s">
        <v>41</v>
      </c>
      <c r="U134" s="452">
        <f>'LƯƠNG Tx'!P23</f>
        <v>0</v>
      </c>
      <c r="V134" s="452"/>
      <c r="W134" s="61" t="s">
        <v>46</v>
      </c>
      <c r="X134" s="62"/>
    </row>
    <row r="135" spans="1:24" ht="18.75" customHeight="1">
      <c r="A135" s="55" t="s">
        <v>75</v>
      </c>
      <c r="B135" s="52" t="s">
        <v>41</v>
      </c>
      <c r="C135" s="56"/>
      <c r="D135" s="57"/>
      <c r="E135" s="58" t="s">
        <v>76</v>
      </c>
      <c r="F135" s="58"/>
      <c r="G135" s="58"/>
      <c r="H135" s="52" t="s">
        <v>41</v>
      </c>
      <c r="I135" s="452">
        <f>L132</f>
        <v>0</v>
      </c>
      <c r="J135" s="452"/>
      <c r="K135" s="61" t="s">
        <v>46</v>
      </c>
      <c r="L135" s="62"/>
      <c r="M135" s="55" t="s">
        <v>75</v>
      </c>
      <c r="N135" s="52" t="s">
        <v>41</v>
      </c>
      <c r="O135" s="56"/>
      <c r="P135" s="57"/>
      <c r="Q135" s="58" t="s">
        <v>76</v>
      </c>
      <c r="R135" s="58"/>
      <c r="S135" s="58"/>
      <c r="T135" s="52" t="s">
        <v>41</v>
      </c>
      <c r="U135" s="452">
        <f>X132</f>
        <v>0</v>
      </c>
      <c r="V135" s="452"/>
      <c r="W135" s="61" t="s">
        <v>46</v>
      </c>
      <c r="X135" s="62"/>
    </row>
    <row r="136" spans="1:24" ht="18.75" customHeight="1">
      <c r="A136" s="456" t="s">
        <v>77</v>
      </c>
      <c r="B136" s="457"/>
      <c r="C136" s="457"/>
      <c r="D136" s="457"/>
      <c r="E136" s="457"/>
      <c r="F136" s="457"/>
      <c r="G136" s="52" t="s">
        <v>41</v>
      </c>
      <c r="H136" s="458">
        <f>I123+I124+I125+I126+I127+I130+I134+I135+I128+I129+I131+I132+I133+C134</f>
        <v>0</v>
      </c>
      <c r="I136" s="459"/>
      <c r="J136" s="459"/>
      <c r="K136" s="61" t="s">
        <v>46</v>
      </c>
      <c r="M136" s="456" t="s">
        <v>77</v>
      </c>
      <c r="N136" s="457"/>
      <c r="O136" s="457"/>
      <c r="P136" s="457"/>
      <c r="Q136" s="457"/>
      <c r="R136" s="457"/>
      <c r="S136" s="52" t="s">
        <v>41</v>
      </c>
      <c r="T136" s="458">
        <f>U123+U124+U125+U126+U127+U130+U134+U135+U128+U129+U131+U132+U133+O134</f>
        <v>0</v>
      </c>
      <c r="U136" s="459"/>
      <c r="V136" s="459"/>
      <c r="W136" s="61" t="s">
        <v>46</v>
      </c>
    </row>
    <row r="137" spans="1:24" ht="18.75" customHeight="1">
      <c r="A137" s="67"/>
      <c r="B137" s="68"/>
      <c r="C137" s="68"/>
      <c r="D137" s="68"/>
      <c r="E137" s="68"/>
      <c r="F137" s="68"/>
      <c r="G137" s="68"/>
      <c r="H137" s="68"/>
      <c r="I137" s="68"/>
      <c r="J137" s="68"/>
      <c r="K137" s="69"/>
      <c r="M137" s="67"/>
      <c r="N137" s="68"/>
      <c r="O137" s="68"/>
      <c r="P137" s="68"/>
      <c r="Q137" s="68"/>
      <c r="R137" s="68"/>
      <c r="S137" s="68"/>
      <c r="T137" s="68"/>
      <c r="U137" s="68"/>
      <c r="V137" s="68"/>
      <c r="W137" s="69"/>
    </row>
    <row r="138" spans="1:24" ht="18.75" customHeight="1">
      <c r="A138" s="468" t="s">
        <v>78</v>
      </c>
      <c r="B138" s="469"/>
      <c r="C138" s="469"/>
      <c r="D138" s="469"/>
      <c r="E138" s="469"/>
      <c r="F138" s="469"/>
      <c r="G138" s="52"/>
      <c r="H138" s="52"/>
      <c r="I138" s="52"/>
      <c r="J138" s="52"/>
      <c r="K138" s="61"/>
      <c r="M138" s="468" t="s">
        <v>78</v>
      </c>
      <c r="N138" s="469"/>
      <c r="O138" s="469"/>
      <c r="P138" s="469"/>
      <c r="Q138" s="469"/>
      <c r="R138" s="469"/>
      <c r="S138" s="52"/>
      <c r="T138" s="52"/>
      <c r="U138" s="52"/>
      <c r="V138" s="52"/>
      <c r="W138" s="61"/>
    </row>
    <row r="139" spans="1:24" ht="18.75" customHeight="1">
      <c r="A139" s="462" t="s">
        <v>79</v>
      </c>
      <c r="B139" s="463"/>
      <c r="C139" s="463"/>
      <c r="D139" s="463"/>
      <c r="E139" s="463"/>
      <c r="F139" s="463"/>
      <c r="G139" s="52" t="s">
        <v>41</v>
      </c>
      <c r="H139" s="470">
        <f>IF(($L$1-C123)&gt;12,0,F120*8%)</f>
        <v>0</v>
      </c>
      <c r="I139" s="470"/>
      <c r="J139" s="470"/>
      <c r="K139" s="61" t="s">
        <v>46</v>
      </c>
      <c r="M139" s="462" t="s">
        <v>79</v>
      </c>
      <c r="N139" s="463"/>
      <c r="O139" s="463"/>
      <c r="P139" s="463"/>
      <c r="Q139" s="463"/>
      <c r="R139" s="463"/>
      <c r="S139" s="52" t="s">
        <v>41</v>
      </c>
      <c r="T139" s="470">
        <f>IF(($L$1-O123)&gt;12,0,R120*8%)</f>
        <v>0</v>
      </c>
      <c r="U139" s="470"/>
      <c r="V139" s="470"/>
      <c r="W139" s="61" t="s">
        <v>46</v>
      </c>
    </row>
    <row r="140" spans="1:24" ht="18.75" customHeight="1">
      <c r="A140" s="462" t="s">
        <v>80</v>
      </c>
      <c r="B140" s="463"/>
      <c r="C140" s="463"/>
      <c r="D140" s="463"/>
      <c r="E140" s="463"/>
      <c r="F140" s="463"/>
      <c r="G140" s="52" t="s">
        <v>41</v>
      </c>
      <c r="H140" s="464">
        <f>IF(($L$1-C123)&gt;12,0,F120*1.5%)</f>
        <v>0</v>
      </c>
      <c r="I140" s="464"/>
      <c r="J140" s="464"/>
      <c r="K140" s="61" t="s">
        <v>46</v>
      </c>
      <c r="M140" s="462" t="s">
        <v>80</v>
      </c>
      <c r="N140" s="463"/>
      <c r="O140" s="463"/>
      <c r="P140" s="463"/>
      <c r="Q140" s="463"/>
      <c r="R140" s="463"/>
      <c r="S140" s="52" t="s">
        <v>41</v>
      </c>
      <c r="T140" s="464">
        <f>IF(($L$1-O123)&gt;12,0,R120*1.5%)</f>
        <v>0</v>
      </c>
      <c r="U140" s="464"/>
      <c r="V140" s="464"/>
      <c r="W140" s="61" t="s">
        <v>46</v>
      </c>
    </row>
    <row r="141" spans="1:24" ht="18.75" customHeight="1">
      <c r="A141" s="462" t="s">
        <v>81</v>
      </c>
      <c r="B141" s="463"/>
      <c r="C141" s="463"/>
      <c r="D141" s="463"/>
      <c r="E141" s="463"/>
      <c r="F141" s="463"/>
      <c r="G141" s="52" t="s">
        <v>41</v>
      </c>
      <c r="H141" s="464">
        <f>IF(($L$1-C123)&gt;12,0,F120*1%)</f>
        <v>0</v>
      </c>
      <c r="I141" s="464"/>
      <c r="J141" s="464"/>
      <c r="K141" s="61" t="s">
        <v>46</v>
      </c>
      <c r="M141" s="462" t="s">
        <v>81</v>
      </c>
      <c r="N141" s="463"/>
      <c r="O141" s="463"/>
      <c r="P141" s="463"/>
      <c r="Q141" s="463"/>
      <c r="R141" s="463"/>
      <c r="S141" s="52" t="s">
        <v>41</v>
      </c>
      <c r="T141" s="464">
        <f>IF(($L$1-O123)&gt;12,0,R120*1%)</f>
        <v>0</v>
      </c>
      <c r="U141" s="464"/>
      <c r="V141" s="464"/>
      <c r="W141" s="61" t="s">
        <v>46</v>
      </c>
    </row>
    <row r="142" spans="1:24" ht="18.75" customHeight="1">
      <c r="A142" s="462" t="s">
        <v>82</v>
      </c>
      <c r="B142" s="463"/>
      <c r="C142" s="463"/>
      <c r="D142" s="463"/>
      <c r="E142" s="463"/>
      <c r="F142" s="463"/>
      <c r="G142" s="52" t="s">
        <v>41</v>
      </c>
      <c r="H142" s="464">
        <v>0</v>
      </c>
      <c r="I142" s="464"/>
      <c r="J142" s="464"/>
      <c r="K142" s="61" t="s">
        <v>46</v>
      </c>
      <c r="M142" s="462" t="s">
        <v>82</v>
      </c>
      <c r="N142" s="463"/>
      <c r="O142" s="463"/>
      <c r="P142" s="463"/>
      <c r="Q142" s="463"/>
      <c r="R142" s="463"/>
      <c r="S142" s="52" t="s">
        <v>41</v>
      </c>
      <c r="T142" s="464">
        <v>0</v>
      </c>
      <c r="U142" s="464"/>
      <c r="V142" s="464"/>
      <c r="W142" s="61" t="s">
        <v>46</v>
      </c>
    </row>
    <row r="143" spans="1:24" ht="18.75" customHeight="1">
      <c r="A143" s="465" t="s">
        <v>83</v>
      </c>
      <c r="B143" s="466"/>
      <c r="C143" s="466"/>
      <c r="D143" s="466"/>
      <c r="E143" s="466"/>
      <c r="F143" s="466"/>
      <c r="G143" s="52" t="s">
        <v>41</v>
      </c>
      <c r="H143" s="467">
        <f>SUM(H139:J142)</f>
        <v>0</v>
      </c>
      <c r="I143" s="467"/>
      <c r="J143" s="467"/>
      <c r="K143" s="61" t="s">
        <v>46</v>
      </c>
      <c r="M143" s="465" t="s">
        <v>83</v>
      </c>
      <c r="N143" s="466"/>
      <c r="O143" s="466"/>
      <c r="P143" s="466"/>
      <c r="Q143" s="466"/>
      <c r="R143" s="466"/>
      <c r="S143" s="52" t="s">
        <v>41</v>
      </c>
      <c r="T143" s="467">
        <f>SUM(T139:V142)</f>
        <v>0</v>
      </c>
      <c r="U143" s="467"/>
      <c r="V143" s="467"/>
      <c r="W143" s="61" t="s">
        <v>46</v>
      </c>
    </row>
    <row r="144" spans="1:24" ht="18.75" customHeight="1">
      <c r="A144" s="462" t="s">
        <v>84</v>
      </c>
      <c r="B144" s="463"/>
      <c r="C144" s="463"/>
      <c r="D144" s="463"/>
      <c r="E144" s="463"/>
      <c r="F144" s="463"/>
      <c r="G144" s="52" t="s">
        <v>41</v>
      </c>
      <c r="H144" s="475">
        <f>ROUND(H136-H143,-2)</f>
        <v>0</v>
      </c>
      <c r="I144" s="475"/>
      <c r="J144" s="475"/>
      <c r="K144" s="61" t="s">
        <v>46</v>
      </c>
      <c r="M144" s="462" t="s">
        <v>84</v>
      </c>
      <c r="N144" s="463"/>
      <c r="O144" s="463"/>
      <c r="P144" s="463"/>
      <c r="Q144" s="463"/>
      <c r="R144" s="463"/>
      <c r="S144" s="52" t="s">
        <v>41</v>
      </c>
      <c r="T144" s="475">
        <f>ROUND(T136-T143,-2)</f>
        <v>0</v>
      </c>
      <c r="U144" s="475"/>
      <c r="V144" s="475"/>
      <c r="W144" s="61" t="s">
        <v>46</v>
      </c>
    </row>
    <row r="145" spans="1:24" ht="18.75" customHeight="1">
      <c r="A145" s="70"/>
      <c r="B145" s="71"/>
      <c r="C145" s="71"/>
      <c r="D145" s="71"/>
      <c r="E145" s="71"/>
      <c r="F145" s="71"/>
      <c r="G145" s="71"/>
      <c r="H145" s="71"/>
      <c r="I145" s="71"/>
      <c r="J145" s="71"/>
      <c r="K145" s="72"/>
      <c r="M145" s="70"/>
      <c r="N145" s="71"/>
      <c r="O145" s="71"/>
      <c r="P145" s="71"/>
      <c r="Q145" s="71"/>
      <c r="R145" s="71"/>
      <c r="S145" s="71"/>
      <c r="T145" s="71"/>
      <c r="U145" s="71"/>
      <c r="V145" s="71"/>
      <c r="W145" s="72"/>
    </row>
    <row r="146" spans="1:24" ht="18.75" customHeight="1">
      <c r="A146" s="73"/>
      <c r="B146" s="52"/>
      <c r="C146" s="52"/>
      <c r="D146" s="52"/>
      <c r="E146" s="52"/>
      <c r="F146" s="52"/>
      <c r="G146" s="52"/>
      <c r="H146" s="52"/>
      <c r="I146" s="472" t="s">
        <v>85</v>
      </c>
      <c r="J146" s="472"/>
      <c r="K146" s="476"/>
      <c r="M146" s="73"/>
      <c r="N146" s="52"/>
      <c r="O146" s="52"/>
      <c r="P146" s="52"/>
      <c r="Q146" s="52"/>
      <c r="R146" s="52"/>
      <c r="S146" s="52"/>
      <c r="T146" s="52"/>
      <c r="U146" s="472" t="s">
        <v>85</v>
      </c>
      <c r="V146" s="472"/>
      <c r="W146" s="476"/>
    </row>
    <row r="147" spans="1:24" ht="18.75" customHeight="1">
      <c r="A147" s="73"/>
      <c r="B147" s="471"/>
      <c r="C147" s="472"/>
      <c r="D147" s="472"/>
      <c r="E147" s="472"/>
      <c r="F147" s="52"/>
      <c r="G147" s="52"/>
      <c r="H147" s="52"/>
      <c r="I147" s="52"/>
      <c r="J147" s="52"/>
      <c r="K147" s="54"/>
      <c r="M147" s="73"/>
      <c r="N147" s="471"/>
      <c r="O147" s="472"/>
      <c r="P147" s="472"/>
      <c r="Q147" s="472"/>
      <c r="R147" s="52"/>
      <c r="S147" s="52"/>
      <c r="T147" s="52"/>
      <c r="U147" s="52"/>
      <c r="V147" s="52"/>
      <c r="W147" s="54"/>
    </row>
    <row r="148" spans="1:24" ht="18.75" customHeight="1" thickBot="1">
      <c r="A148" s="75"/>
      <c r="B148" s="76"/>
      <c r="C148" s="76"/>
      <c r="D148" s="76"/>
      <c r="E148" s="76"/>
      <c r="F148" s="76"/>
      <c r="G148" s="76"/>
      <c r="H148" s="76"/>
      <c r="I148" s="473" t="s">
        <v>86</v>
      </c>
      <c r="J148" s="473"/>
      <c r="K148" s="474"/>
      <c r="M148" s="75"/>
      <c r="N148" s="76"/>
      <c r="O148" s="76"/>
      <c r="P148" s="76"/>
      <c r="Q148" s="76"/>
      <c r="R148" s="76"/>
      <c r="S148" s="76"/>
      <c r="T148" s="76"/>
      <c r="U148" s="473" t="s">
        <v>86</v>
      </c>
      <c r="V148" s="473"/>
      <c r="W148" s="474"/>
    </row>
    <row r="149" spans="1:24" ht="18.75" customHeight="1" thickTop="1" thickBot="1"/>
    <row r="150" spans="1:24" ht="18.75" customHeight="1" thickTop="1">
      <c r="A150" s="445" t="s">
        <v>172</v>
      </c>
      <c r="B150" s="446"/>
      <c r="C150" s="446"/>
      <c r="D150" s="446"/>
      <c r="E150" s="446"/>
      <c r="F150" s="446"/>
      <c r="G150" s="446"/>
      <c r="H150" s="446"/>
      <c r="I150" s="446"/>
      <c r="J150" s="446"/>
      <c r="K150" s="447"/>
      <c r="L150" s="48">
        <v>26</v>
      </c>
      <c r="M150" s="445" t="s">
        <v>172</v>
      </c>
      <c r="N150" s="446"/>
      <c r="O150" s="446"/>
      <c r="P150" s="446"/>
      <c r="Q150" s="446"/>
      <c r="R150" s="446"/>
      <c r="S150" s="446"/>
      <c r="T150" s="446"/>
      <c r="U150" s="446"/>
      <c r="V150" s="446"/>
      <c r="W150" s="447"/>
      <c r="X150" s="48">
        <v>26</v>
      </c>
    </row>
    <row r="151" spans="1:24" ht="18.75" customHeight="1">
      <c r="A151" s="49" t="s">
        <v>95</v>
      </c>
      <c r="B151" s="50"/>
      <c r="C151" s="50"/>
      <c r="D151" s="50"/>
      <c r="E151" s="50"/>
      <c r="F151" s="50"/>
      <c r="G151" s="50"/>
      <c r="H151" s="50"/>
      <c r="I151" s="50"/>
      <c r="J151" s="50"/>
      <c r="K151" s="51"/>
      <c r="M151" s="49" t="s">
        <v>96</v>
      </c>
      <c r="N151" s="50"/>
      <c r="O151" s="50"/>
      <c r="P151" s="50"/>
      <c r="Q151" s="50"/>
      <c r="R151" s="50"/>
      <c r="S151" s="50"/>
      <c r="T151" s="50"/>
      <c r="U151" s="50"/>
      <c r="V151" s="50"/>
      <c r="W151" s="51"/>
    </row>
    <row r="152" spans="1:24" ht="18.75" customHeight="1">
      <c r="A152" s="448" t="s">
        <v>39</v>
      </c>
      <c r="B152" s="449"/>
      <c r="C152" s="449"/>
      <c r="D152" s="449"/>
      <c r="E152" s="449"/>
      <c r="F152" s="449"/>
      <c r="G152" s="449"/>
      <c r="H152" s="449"/>
      <c r="I152" s="449"/>
      <c r="J152" s="449"/>
      <c r="K152" s="450"/>
      <c r="M152" s="448" t="s">
        <v>39</v>
      </c>
      <c r="N152" s="449"/>
      <c r="O152" s="449"/>
      <c r="P152" s="449"/>
      <c r="Q152" s="449"/>
      <c r="R152" s="449"/>
      <c r="S152" s="449"/>
      <c r="T152" s="449"/>
      <c r="U152" s="449"/>
      <c r="V152" s="449"/>
      <c r="W152" s="450"/>
    </row>
    <row r="153" spans="1:24" ht="18.75" customHeight="1">
      <c r="A153" s="440" t="s">
        <v>40</v>
      </c>
      <c r="B153" s="441"/>
      <c r="C153" s="441"/>
      <c r="D153" s="441"/>
      <c r="E153" s="52" t="s">
        <v>41</v>
      </c>
      <c r="F153" s="442">
        <f>'Bang TH nop'!B25</f>
        <v>0</v>
      </c>
      <c r="G153" s="441"/>
      <c r="H153" s="441"/>
      <c r="I153" s="441"/>
      <c r="J153" s="441"/>
      <c r="K153" s="444"/>
      <c r="M153" s="440" t="s">
        <v>40</v>
      </c>
      <c r="N153" s="441"/>
      <c r="O153" s="441"/>
      <c r="P153" s="441"/>
      <c r="Q153" s="52" t="s">
        <v>41</v>
      </c>
      <c r="R153" s="442">
        <f>'Bang TH nop'!B27</f>
        <v>0</v>
      </c>
      <c r="S153" s="441"/>
      <c r="T153" s="441"/>
      <c r="U153" s="441"/>
      <c r="V153" s="441"/>
      <c r="W153" s="444"/>
    </row>
    <row r="154" spans="1:24" ht="18.75" customHeight="1">
      <c r="A154" s="440" t="s">
        <v>42</v>
      </c>
      <c r="B154" s="441"/>
      <c r="C154" s="441"/>
      <c r="D154" s="441"/>
      <c r="E154" s="52" t="s">
        <v>41</v>
      </c>
      <c r="F154" s="442">
        <f>'Bang TH nop'!C25</f>
        <v>0</v>
      </c>
      <c r="G154" s="442"/>
      <c r="H154" s="442"/>
      <c r="I154" s="442"/>
      <c r="J154" s="442"/>
      <c r="K154" s="443"/>
      <c r="M154" s="440" t="s">
        <v>42</v>
      </c>
      <c r="N154" s="441"/>
      <c r="O154" s="441"/>
      <c r="P154" s="441"/>
      <c r="Q154" s="52" t="s">
        <v>41</v>
      </c>
      <c r="R154" s="442">
        <f>'Bang TH nop'!C27</f>
        <v>0</v>
      </c>
      <c r="S154" s="442"/>
      <c r="T154" s="442"/>
      <c r="U154" s="442"/>
      <c r="V154" s="442"/>
      <c r="W154" s="443"/>
    </row>
    <row r="155" spans="1:24" ht="18.75" customHeight="1">
      <c r="A155" s="440" t="s">
        <v>43</v>
      </c>
      <c r="B155" s="441"/>
      <c r="C155" s="441"/>
      <c r="D155" s="441"/>
      <c r="E155" s="52" t="s">
        <v>41</v>
      </c>
      <c r="F155" s="441" t="str">
        <f>+$L$2</f>
        <v xml:space="preserve">Tổ  </v>
      </c>
      <c r="G155" s="441"/>
      <c r="H155" s="441"/>
      <c r="I155" s="441"/>
      <c r="J155" s="441"/>
      <c r="K155" s="444"/>
      <c r="M155" s="440" t="s">
        <v>43</v>
      </c>
      <c r="N155" s="441"/>
      <c r="O155" s="441"/>
      <c r="P155" s="441"/>
      <c r="Q155" s="52" t="s">
        <v>41</v>
      </c>
      <c r="R155" s="441" t="str">
        <f>+$L$2</f>
        <v xml:space="preserve">Tổ  </v>
      </c>
      <c r="S155" s="441"/>
      <c r="T155" s="441"/>
      <c r="U155" s="441"/>
      <c r="V155" s="441"/>
      <c r="W155" s="444"/>
    </row>
    <row r="156" spans="1:24" ht="18.75" customHeight="1">
      <c r="A156" s="448" t="s">
        <v>44</v>
      </c>
      <c r="B156" s="449"/>
      <c r="C156" s="449"/>
      <c r="D156" s="449"/>
      <c r="E156" s="449"/>
      <c r="F156" s="449"/>
      <c r="G156" s="449"/>
      <c r="H156" s="449"/>
      <c r="I156" s="449"/>
      <c r="J156" s="449"/>
      <c r="K156" s="450"/>
      <c r="M156" s="448" t="s">
        <v>44</v>
      </c>
      <c r="N156" s="449"/>
      <c r="O156" s="449"/>
      <c r="P156" s="449"/>
      <c r="Q156" s="449"/>
      <c r="R156" s="449"/>
      <c r="S156" s="449"/>
      <c r="T156" s="449"/>
      <c r="U156" s="449"/>
      <c r="V156" s="449"/>
      <c r="W156" s="450"/>
    </row>
    <row r="157" spans="1:24" ht="18.75" customHeight="1">
      <c r="A157" s="440" t="s">
        <v>45</v>
      </c>
      <c r="B157" s="441"/>
      <c r="C157" s="441"/>
      <c r="D157" s="441"/>
      <c r="E157" s="52" t="s">
        <v>41</v>
      </c>
      <c r="F157" s="455">
        <f>VLOOKUP(F154,'Bang TH nop'!$C$9:$AP$266,29,0)</f>
        <v>0</v>
      </c>
      <c r="G157" s="455"/>
      <c r="H157" s="455"/>
      <c r="I157" s="455"/>
      <c r="J157" s="52" t="s">
        <v>46</v>
      </c>
      <c r="K157" s="54"/>
      <c r="M157" s="440" t="s">
        <v>45</v>
      </c>
      <c r="N157" s="441"/>
      <c r="O157" s="441"/>
      <c r="P157" s="441"/>
      <c r="Q157" s="52" t="s">
        <v>41</v>
      </c>
      <c r="R157" s="455">
        <f>VLOOKUP(R154,'Bang TH nop'!$C$9:$AP$266,29,0)</f>
        <v>0</v>
      </c>
      <c r="S157" s="455"/>
      <c r="T157" s="455"/>
      <c r="U157" s="455"/>
      <c r="V157" s="52" t="s">
        <v>46</v>
      </c>
      <c r="W157" s="54"/>
    </row>
    <row r="158" spans="1:24" ht="18.75" customHeight="1">
      <c r="A158" s="55" t="s">
        <v>47</v>
      </c>
      <c r="B158" s="52"/>
      <c r="C158" s="56"/>
      <c r="D158" s="57"/>
      <c r="E158" s="58"/>
      <c r="F158" s="58"/>
      <c r="G158" s="58"/>
      <c r="H158" s="52"/>
      <c r="I158" s="59">
        <f>'LƯƠNG Tx'!F25</f>
        <v>0</v>
      </c>
      <c r="J158" s="60"/>
      <c r="K158" s="61"/>
      <c r="M158" s="55" t="s">
        <v>47</v>
      </c>
      <c r="N158" s="52"/>
      <c r="O158" s="56"/>
      <c r="P158" s="57"/>
      <c r="Q158" s="58"/>
      <c r="R158" s="58"/>
      <c r="S158" s="58"/>
      <c r="T158" s="52"/>
      <c r="U158" s="59">
        <f>'LƯƠNG Tx'!F27</f>
        <v>0</v>
      </c>
      <c r="V158" s="60"/>
      <c r="W158" s="61"/>
    </row>
    <row r="159" spans="1:24" ht="18.75" customHeight="1">
      <c r="A159" s="55" t="s">
        <v>48</v>
      </c>
      <c r="B159" s="52"/>
      <c r="C159" s="56"/>
      <c r="D159" s="57"/>
      <c r="E159" s="58"/>
      <c r="F159" s="58"/>
      <c r="G159" s="58"/>
      <c r="H159" s="52"/>
      <c r="I159" s="59" t="e">
        <f>I160/C160/8</f>
        <v>#DIV/0!</v>
      </c>
      <c r="J159" s="60"/>
      <c r="K159" s="61"/>
      <c r="M159" s="55" t="s">
        <v>48</v>
      </c>
      <c r="N159" s="52"/>
      <c r="O159" s="56"/>
      <c r="P159" s="57"/>
      <c r="Q159" s="58"/>
      <c r="R159" s="58"/>
      <c r="S159" s="58"/>
      <c r="T159" s="52"/>
      <c r="U159" s="59" t="e">
        <f>U160/O160/8</f>
        <v>#DIV/0!</v>
      </c>
      <c r="V159" s="60"/>
      <c r="W159" s="61"/>
    </row>
    <row r="160" spans="1:24" ht="18.75" customHeight="1">
      <c r="A160" s="55" t="s">
        <v>49</v>
      </c>
      <c r="B160" s="52" t="s">
        <v>41</v>
      </c>
      <c r="C160" s="56">
        <f>'LƯƠNG Tx'!I24</f>
        <v>0</v>
      </c>
      <c r="D160" s="57" t="s">
        <v>50</v>
      </c>
      <c r="E160" s="453" t="s">
        <v>51</v>
      </c>
      <c r="F160" s="453"/>
      <c r="G160" s="453"/>
      <c r="H160" s="52" t="s">
        <v>41</v>
      </c>
      <c r="I160" s="454">
        <f>'LƯƠNG Tx'!I25</f>
        <v>0</v>
      </c>
      <c r="J160" s="454"/>
      <c r="K160" s="61" t="s">
        <v>46</v>
      </c>
      <c r="L160" s="62">
        <f>F157/L150*C160</f>
        <v>0</v>
      </c>
      <c r="M160" s="55" t="s">
        <v>49</v>
      </c>
      <c r="N160" s="52" t="s">
        <v>41</v>
      </c>
      <c r="O160" s="56">
        <f>'LƯƠNG Tx'!I26</f>
        <v>0</v>
      </c>
      <c r="P160" s="57" t="s">
        <v>50</v>
      </c>
      <c r="Q160" s="453" t="s">
        <v>51</v>
      </c>
      <c r="R160" s="453"/>
      <c r="S160" s="453"/>
      <c r="T160" s="52" t="s">
        <v>41</v>
      </c>
      <c r="U160" s="454">
        <f>'LƯƠNG Tx'!I27</f>
        <v>0</v>
      </c>
      <c r="V160" s="454"/>
      <c r="W160" s="61" t="s">
        <v>46</v>
      </c>
      <c r="X160" s="62">
        <f>R157/X150*O160</f>
        <v>0</v>
      </c>
    </row>
    <row r="161" spans="1:24" ht="18.75" customHeight="1">
      <c r="A161" s="55" t="s">
        <v>52</v>
      </c>
      <c r="B161" s="52" t="s">
        <v>41</v>
      </c>
      <c r="C161" s="56">
        <f>'LƯƠNG Tx'!J24</f>
        <v>0</v>
      </c>
      <c r="D161" s="57" t="s">
        <v>50</v>
      </c>
      <c r="E161" s="441" t="s">
        <v>53</v>
      </c>
      <c r="F161" s="441"/>
      <c r="G161" s="441"/>
      <c r="H161" s="52" t="s">
        <v>41</v>
      </c>
      <c r="I161" s="452">
        <f>$F$8/$L$1*C161</f>
        <v>0</v>
      </c>
      <c r="J161" s="452"/>
      <c r="K161" s="61" t="s">
        <v>46</v>
      </c>
      <c r="L161" s="62"/>
      <c r="M161" s="55" t="s">
        <v>52</v>
      </c>
      <c r="N161" s="52" t="s">
        <v>41</v>
      </c>
      <c r="O161" s="56">
        <f>'LƯƠNG Tx'!J26</f>
        <v>0</v>
      </c>
      <c r="P161" s="57" t="s">
        <v>50</v>
      </c>
      <c r="Q161" s="441" t="s">
        <v>53</v>
      </c>
      <c r="R161" s="441"/>
      <c r="S161" s="441"/>
      <c r="T161" s="52" t="s">
        <v>41</v>
      </c>
      <c r="U161" s="452">
        <f>$F$8/$L$1*O161</f>
        <v>0</v>
      </c>
      <c r="V161" s="452"/>
      <c r="W161" s="61" t="s">
        <v>46</v>
      </c>
      <c r="X161" s="62"/>
    </row>
    <row r="162" spans="1:24" ht="18.75" customHeight="1">
      <c r="A162" s="55" t="s">
        <v>54</v>
      </c>
      <c r="B162" s="52" t="s">
        <v>41</v>
      </c>
      <c r="C162" s="56">
        <f>'LƯƠNG Tx'!K24</f>
        <v>0</v>
      </c>
      <c r="D162" s="57" t="s">
        <v>50</v>
      </c>
      <c r="E162" s="451" t="s">
        <v>55</v>
      </c>
      <c r="F162" s="451"/>
      <c r="G162" s="451"/>
      <c r="H162" s="52" t="s">
        <v>41</v>
      </c>
      <c r="I162" s="452">
        <f>$F$8/$L$1*C162</f>
        <v>0</v>
      </c>
      <c r="J162" s="452"/>
      <c r="K162" s="61" t="s">
        <v>46</v>
      </c>
      <c r="L162" s="62"/>
      <c r="M162" s="55" t="s">
        <v>54</v>
      </c>
      <c r="N162" s="52" t="s">
        <v>41</v>
      </c>
      <c r="O162" s="56">
        <f>'LƯƠNG Tx'!K26</f>
        <v>0</v>
      </c>
      <c r="P162" s="57" t="s">
        <v>50</v>
      </c>
      <c r="Q162" s="451" t="s">
        <v>55</v>
      </c>
      <c r="R162" s="451"/>
      <c r="S162" s="451"/>
      <c r="T162" s="52" t="s">
        <v>41</v>
      </c>
      <c r="U162" s="452">
        <f>$F$8/$L$1*O162</f>
        <v>0</v>
      </c>
      <c r="V162" s="452"/>
      <c r="W162" s="61" t="s">
        <v>46</v>
      </c>
      <c r="X162" s="62"/>
    </row>
    <row r="163" spans="1:24" ht="18.75" customHeight="1">
      <c r="A163" s="55" t="s">
        <v>56</v>
      </c>
      <c r="B163" s="52" t="s">
        <v>41</v>
      </c>
      <c r="C163" s="56">
        <f>'LƯƠNG Tx'!L24</f>
        <v>0</v>
      </c>
      <c r="D163" s="57" t="s">
        <v>50</v>
      </c>
      <c r="E163" s="451" t="s">
        <v>57</v>
      </c>
      <c r="F163" s="451"/>
      <c r="G163" s="451"/>
      <c r="H163" s="52" t="s">
        <v>41</v>
      </c>
      <c r="I163" s="452">
        <f>$F$8/$L$1*C163</f>
        <v>0</v>
      </c>
      <c r="J163" s="452"/>
      <c r="K163" s="61" t="s">
        <v>46</v>
      </c>
      <c r="L163" s="62"/>
      <c r="M163" s="55" t="s">
        <v>56</v>
      </c>
      <c r="N163" s="52" t="s">
        <v>41</v>
      </c>
      <c r="O163" s="56">
        <f>'LƯƠNG Tx'!L26</f>
        <v>0</v>
      </c>
      <c r="P163" s="57" t="s">
        <v>50</v>
      </c>
      <c r="Q163" s="451" t="s">
        <v>57</v>
      </c>
      <c r="R163" s="451"/>
      <c r="S163" s="451"/>
      <c r="T163" s="52" t="s">
        <v>41</v>
      </c>
      <c r="U163" s="452">
        <f>$F$8/$L$1*O163</f>
        <v>0</v>
      </c>
      <c r="V163" s="452"/>
      <c r="W163" s="61" t="s">
        <v>46</v>
      </c>
      <c r="X163" s="62"/>
    </row>
    <row r="164" spans="1:24" ht="18.75" customHeight="1">
      <c r="A164" s="55" t="s">
        <v>58</v>
      </c>
      <c r="B164" s="52" t="s">
        <v>41</v>
      </c>
      <c r="C164" s="56">
        <f>'LƯƠNG Tx'!Q24</f>
        <v>0</v>
      </c>
      <c r="D164" s="57" t="s">
        <v>59</v>
      </c>
      <c r="E164" s="441" t="s">
        <v>60</v>
      </c>
      <c r="F164" s="441"/>
      <c r="G164" s="441"/>
      <c r="H164" s="52" t="s">
        <v>41</v>
      </c>
      <c r="I164" s="452">
        <f>'LƯƠNG Tx'!Q25</f>
        <v>0</v>
      </c>
      <c r="J164" s="452"/>
      <c r="K164" s="61" t="s">
        <v>46</v>
      </c>
      <c r="L164" s="62">
        <f>F157*C164/L150/8*1.5</f>
        <v>0</v>
      </c>
      <c r="M164" s="55" t="s">
        <v>58</v>
      </c>
      <c r="N164" s="52" t="s">
        <v>41</v>
      </c>
      <c r="O164" s="56">
        <f>'LƯƠNG Tx'!Q26</f>
        <v>0</v>
      </c>
      <c r="P164" s="57" t="s">
        <v>59</v>
      </c>
      <c r="Q164" s="441" t="s">
        <v>60</v>
      </c>
      <c r="R164" s="441"/>
      <c r="S164" s="441"/>
      <c r="T164" s="52" t="s">
        <v>41</v>
      </c>
      <c r="U164" s="452">
        <f>'LƯƠNG Tx'!Q27</f>
        <v>0</v>
      </c>
      <c r="V164" s="452"/>
      <c r="W164" s="61" t="s">
        <v>46</v>
      </c>
      <c r="X164" s="62">
        <f>R157*O164/X150/8*1.5</f>
        <v>0</v>
      </c>
    </row>
    <row r="165" spans="1:24" ht="18.75" customHeight="1">
      <c r="A165" s="440" t="s">
        <v>61</v>
      </c>
      <c r="B165" s="441"/>
      <c r="C165" s="56"/>
      <c r="D165" s="57" t="s">
        <v>50</v>
      </c>
      <c r="E165" s="441" t="s">
        <v>62</v>
      </c>
      <c r="F165" s="441"/>
      <c r="G165" s="441"/>
      <c r="H165" s="63" t="s">
        <v>41</v>
      </c>
      <c r="I165" s="452"/>
      <c r="J165" s="452"/>
      <c r="K165" s="61" t="s">
        <v>46</v>
      </c>
      <c r="L165" s="62"/>
      <c r="M165" s="440" t="s">
        <v>61</v>
      </c>
      <c r="N165" s="441"/>
      <c r="O165" s="56"/>
      <c r="P165" s="57" t="s">
        <v>50</v>
      </c>
      <c r="Q165" s="441" t="s">
        <v>62</v>
      </c>
      <c r="R165" s="441"/>
      <c r="S165" s="441"/>
      <c r="T165" s="63" t="s">
        <v>41</v>
      </c>
      <c r="U165" s="452"/>
      <c r="V165" s="452"/>
      <c r="W165" s="61" t="s">
        <v>46</v>
      </c>
      <c r="X165" s="62"/>
    </row>
    <row r="166" spans="1:24" ht="18.75" customHeight="1">
      <c r="A166" s="55" t="s">
        <v>63</v>
      </c>
      <c r="B166" s="52" t="s">
        <v>41</v>
      </c>
      <c r="C166" s="56"/>
      <c r="D166" s="57" t="s">
        <v>50</v>
      </c>
      <c r="E166" s="441" t="s">
        <v>64</v>
      </c>
      <c r="F166" s="441"/>
      <c r="G166" s="441"/>
      <c r="H166" s="52" t="s">
        <v>41</v>
      </c>
      <c r="I166" s="452"/>
      <c r="J166" s="452"/>
      <c r="K166" s="61" t="s">
        <v>46</v>
      </c>
      <c r="L166" s="62"/>
      <c r="M166" s="55" t="s">
        <v>63</v>
      </c>
      <c r="N166" s="52" t="s">
        <v>41</v>
      </c>
      <c r="O166" s="56"/>
      <c r="P166" s="57" t="s">
        <v>50</v>
      </c>
      <c r="Q166" s="441" t="s">
        <v>64</v>
      </c>
      <c r="R166" s="441"/>
      <c r="S166" s="441"/>
      <c r="T166" s="52" t="s">
        <v>41</v>
      </c>
      <c r="U166" s="452"/>
      <c r="V166" s="452"/>
      <c r="W166" s="61" t="s">
        <v>46</v>
      </c>
      <c r="X166" s="62"/>
    </row>
    <row r="167" spans="1:24" ht="18.75" customHeight="1">
      <c r="A167" s="64" t="s">
        <v>65</v>
      </c>
      <c r="B167" s="52"/>
      <c r="C167" s="56">
        <f>'LƯƠNG Tx'!M24</f>
        <v>0</v>
      </c>
      <c r="D167" s="57" t="s">
        <v>59</v>
      </c>
      <c r="E167" s="441" t="s">
        <v>66</v>
      </c>
      <c r="F167" s="441"/>
      <c r="G167" s="441"/>
      <c r="H167" s="52" t="s">
        <v>41</v>
      </c>
      <c r="I167" s="452">
        <f>$F$8*C167/8/$L$1</f>
        <v>0</v>
      </c>
      <c r="J167" s="452"/>
      <c r="K167" s="61" t="s">
        <v>46</v>
      </c>
      <c r="L167" s="62"/>
      <c r="M167" s="64" t="s">
        <v>65</v>
      </c>
      <c r="N167" s="52"/>
      <c r="O167" s="56">
        <f>'LƯƠNG Tx'!M26</f>
        <v>0</v>
      </c>
      <c r="P167" s="57" t="s">
        <v>59</v>
      </c>
      <c r="Q167" s="441" t="s">
        <v>66</v>
      </c>
      <c r="R167" s="441"/>
      <c r="S167" s="441"/>
      <c r="T167" s="52" t="s">
        <v>41</v>
      </c>
      <c r="U167" s="452">
        <f>$F$8*O167/8/$L$1</f>
        <v>0</v>
      </c>
      <c r="V167" s="452"/>
      <c r="W167" s="61" t="s">
        <v>46</v>
      </c>
      <c r="X167" s="62"/>
    </row>
    <row r="168" spans="1:24" ht="18.75" customHeight="1">
      <c r="A168" s="55" t="s">
        <v>167</v>
      </c>
      <c r="B168" s="52" t="s">
        <v>41</v>
      </c>
      <c r="C168" s="56"/>
      <c r="D168" s="57" t="s">
        <v>59</v>
      </c>
      <c r="E168" s="441" t="s">
        <v>73</v>
      </c>
      <c r="F168" s="441"/>
      <c r="G168" s="441"/>
      <c r="H168" s="52" t="s">
        <v>41</v>
      </c>
      <c r="I168" s="454"/>
      <c r="J168" s="454"/>
      <c r="K168" s="61" t="s">
        <v>46</v>
      </c>
      <c r="L168" s="62"/>
      <c r="M168" s="55" t="s">
        <v>167</v>
      </c>
      <c r="N168" s="52" t="s">
        <v>41</v>
      </c>
      <c r="O168" s="56"/>
      <c r="P168" s="57" t="s">
        <v>59</v>
      </c>
      <c r="Q168" s="441" t="s">
        <v>73</v>
      </c>
      <c r="R168" s="441"/>
      <c r="S168" s="441"/>
      <c r="T168" s="52" t="s">
        <v>41</v>
      </c>
      <c r="U168" s="454"/>
      <c r="V168" s="454"/>
      <c r="W168" s="61" t="s">
        <v>46</v>
      </c>
      <c r="X168" s="62"/>
    </row>
    <row r="169" spans="1:24" ht="18.75" customHeight="1">
      <c r="A169" s="55" t="s">
        <v>69</v>
      </c>
      <c r="B169" s="52" t="s">
        <v>41</v>
      </c>
      <c r="C169" s="56"/>
      <c r="D169" s="57" t="s">
        <v>70</v>
      </c>
      <c r="E169" s="53" t="s">
        <v>71</v>
      </c>
      <c r="F169" s="53"/>
      <c r="G169" s="53"/>
      <c r="H169" s="52" t="s">
        <v>41</v>
      </c>
      <c r="I169" s="452"/>
      <c r="J169" s="452"/>
      <c r="K169" s="61" t="s">
        <v>46</v>
      </c>
      <c r="L169" s="62">
        <f>+IF(L160-I160&lt;0,0,L160-I160)+IF(L164-I164&lt;0,0,L164-I164)</f>
        <v>0</v>
      </c>
      <c r="M169" s="55" t="s">
        <v>69</v>
      </c>
      <c r="N169" s="52" t="s">
        <v>41</v>
      </c>
      <c r="O169" s="56"/>
      <c r="P169" s="57" t="s">
        <v>70</v>
      </c>
      <c r="Q169" s="53" t="s">
        <v>71</v>
      </c>
      <c r="R169" s="53"/>
      <c r="S169" s="53"/>
      <c r="T169" s="52" t="s">
        <v>41</v>
      </c>
      <c r="U169" s="452"/>
      <c r="V169" s="452"/>
      <c r="W169" s="61" t="s">
        <v>46</v>
      </c>
      <c r="X169" s="62">
        <f>+IF(X160-U160&lt;0,0,X160-U160)+IF(X164-U164&lt;0,0,X164-U164)</f>
        <v>0</v>
      </c>
    </row>
    <row r="170" spans="1:24" ht="18.75" customHeight="1">
      <c r="A170" s="65" t="s">
        <v>164</v>
      </c>
      <c r="B170" s="66"/>
      <c r="C170" s="56"/>
      <c r="D170" s="57" t="s">
        <v>50</v>
      </c>
      <c r="E170" s="441" t="s">
        <v>165</v>
      </c>
      <c r="F170" s="441"/>
      <c r="G170" s="441"/>
      <c r="H170" s="52" t="s">
        <v>41</v>
      </c>
      <c r="I170" s="452"/>
      <c r="J170" s="452"/>
      <c r="K170" s="61" t="s">
        <v>46</v>
      </c>
      <c r="L170" s="62"/>
      <c r="M170" s="65" t="s">
        <v>164</v>
      </c>
      <c r="N170" s="66"/>
      <c r="O170" s="56"/>
      <c r="P170" s="57" t="s">
        <v>50</v>
      </c>
      <c r="Q170" s="441" t="s">
        <v>165</v>
      </c>
      <c r="R170" s="441"/>
      <c r="S170" s="441"/>
      <c r="T170" s="52" t="s">
        <v>41</v>
      </c>
      <c r="U170" s="452"/>
      <c r="V170" s="452"/>
      <c r="W170" s="61" t="s">
        <v>46</v>
      </c>
      <c r="X170" s="62"/>
    </row>
    <row r="171" spans="1:24" ht="18.75" customHeight="1">
      <c r="A171" s="460" t="s">
        <v>166</v>
      </c>
      <c r="B171" s="461"/>
      <c r="C171" s="56"/>
      <c r="D171" s="57"/>
      <c r="E171" s="58"/>
      <c r="F171" s="58"/>
      <c r="G171" s="58"/>
      <c r="H171" s="52" t="s">
        <v>41</v>
      </c>
      <c r="I171" s="452">
        <f>'LƯƠNG Tx'!P25</f>
        <v>0</v>
      </c>
      <c r="J171" s="452"/>
      <c r="K171" s="61" t="s">
        <v>46</v>
      </c>
      <c r="L171" s="62"/>
      <c r="M171" s="460" t="s">
        <v>166</v>
      </c>
      <c r="N171" s="461"/>
      <c r="O171" s="56"/>
      <c r="P171" s="57"/>
      <c r="Q171" s="58"/>
      <c r="R171" s="58"/>
      <c r="S171" s="58"/>
      <c r="T171" s="52" t="s">
        <v>41</v>
      </c>
      <c r="U171" s="452">
        <f>'LƯƠNG Tx'!P27</f>
        <v>0</v>
      </c>
      <c r="V171" s="452"/>
      <c r="W171" s="61" t="s">
        <v>46</v>
      </c>
      <c r="X171" s="62"/>
    </row>
    <row r="172" spans="1:24" ht="18.75" customHeight="1">
      <c r="A172" s="55" t="s">
        <v>75</v>
      </c>
      <c r="B172" s="52" t="s">
        <v>41</v>
      </c>
      <c r="C172" s="56"/>
      <c r="D172" s="57"/>
      <c r="E172" s="58" t="s">
        <v>76</v>
      </c>
      <c r="F172" s="58"/>
      <c r="G172" s="58"/>
      <c r="H172" s="52" t="s">
        <v>41</v>
      </c>
      <c r="I172" s="452">
        <f>L169</f>
        <v>0</v>
      </c>
      <c r="J172" s="452"/>
      <c r="K172" s="61" t="s">
        <v>46</v>
      </c>
      <c r="L172" s="62"/>
      <c r="M172" s="55" t="s">
        <v>75</v>
      </c>
      <c r="N172" s="52" t="s">
        <v>41</v>
      </c>
      <c r="O172" s="56"/>
      <c r="P172" s="57"/>
      <c r="Q172" s="58" t="s">
        <v>76</v>
      </c>
      <c r="R172" s="58"/>
      <c r="S172" s="58"/>
      <c r="T172" s="52" t="s">
        <v>41</v>
      </c>
      <c r="U172" s="452">
        <f>X169</f>
        <v>0</v>
      </c>
      <c r="V172" s="452"/>
      <c r="W172" s="61" t="s">
        <v>46</v>
      </c>
      <c r="X172" s="62"/>
    </row>
    <row r="173" spans="1:24" ht="18.75" customHeight="1">
      <c r="A173" s="456" t="s">
        <v>77</v>
      </c>
      <c r="B173" s="457"/>
      <c r="C173" s="457"/>
      <c r="D173" s="457"/>
      <c r="E173" s="457"/>
      <c r="F173" s="457"/>
      <c r="G173" s="52" t="s">
        <v>41</v>
      </c>
      <c r="H173" s="458">
        <f>I160+I161+I162+I163+I164+I167+I171+I172+I165+I166+I168+I169+I170+C171</f>
        <v>0</v>
      </c>
      <c r="I173" s="459"/>
      <c r="J173" s="459"/>
      <c r="K173" s="61" t="s">
        <v>46</v>
      </c>
      <c r="M173" s="456" t="s">
        <v>77</v>
      </c>
      <c r="N173" s="457"/>
      <c r="O173" s="457"/>
      <c r="P173" s="457"/>
      <c r="Q173" s="457"/>
      <c r="R173" s="457"/>
      <c r="S173" s="52" t="s">
        <v>41</v>
      </c>
      <c r="T173" s="458">
        <f>U160+U161+U162+U163+U164+U167+U171+U172+U165+U166+U168+U169+U170+O171</f>
        <v>0</v>
      </c>
      <c r="U173" s="459"/>
      <c r="V173" s="459"/>
      <c r="W173" s="61" t="s">
        <v>46</v>
      </c>
    </row>
    <row r="174" spans="1:24" ht="18.75" customHeight="1">
      <c r="A174" s="67"/>
      <c r="B174" s="68"/>
      <c r="C174" s="68"/>
      <c r="D174" s="68"/>
      <c r="E174" s="68"/>
      <c r="F174" s="68"/>
      <c r="G174" s="68"/>
      <c r="H174" s="68"/>
      <c r="I174" s="68"/>
      <c r="J174" s="68"/>
      <c r="K174" s="69"/>
      <c r="M174" s="67"/>
      <c r="N174" s="68"/>
      <c r="O174" s="68"/>
      <c r="P174" s="68"/>
      <c r="Q174" s="68"/>
      <c r="R174" s="68"/>
      <c r="S174" s="68"/>
      <c r="T174" s="68"/>
      <c r="U174" s="68"/>
      <c r="V174" s="68"/>
      <c r="W174" s="69"/>
    </row>
    <row r="175" spans="1:24" ht="18.75" customHeight="1">
      <c r="A175" s="468" t="s">
        <v>78</v>
      </c>
      <c r="B175" s="469"/>
      <c r="C175" s="469"/>
      <c r="D175" s="469"/>
      <c r="E175" s="469"/>
      <c r="F175" s="469"/>
      <c r="G175" s="52"/>
      <c r="H175" s="52"/>
      <c r="I175" s="52"/>
      <c r="J175" s="52"/>
      <c r="K175" s="61"/>
      <c r="M175" s="468" t="s">
        <v>78</v>
      </c>
      <c r="N175" s="469"/>
      <c r="O175" s="469"/>
      <c r="P175" s="469"/>
      <c r="Q175" s="469"/>
      <c r="R175" s="469"/>
      <c r="S175" s="52"/>
      <c r="T175" s="52"/>
      <c r="U175" s="52"/>
      <c r="V175" s="52"/>
      <c r="W175" s="61"/>
    </row>
    <row r="176" spans="1:24" ht="18.75" customHeight="1">
      <c r="A176" s="462" t="s">
        <v>79</v>
      </c>
      <c r="B176" s="463"/>
      <c r="C176" s="463"/>
      <c r="D176" s="463"/>
      <c r="E176" s="463"/>
      <c r="F176" s="463"/>
      <c r="G176" s="52" t="s">
        <v>41</v>
      </c>
      <c r="H176" s="470">
        <f>IF(($L$1-(C160+C161+C162+C163))&gt;12,0,F157*8%)</f>
        <v>0</v>
      </c>
      <c r="I176" s="470"/>
      <c r="J176" s="470"/>
      <c r="K176" s="61" t="s">
        <v>46</v>
      </c>
      <c r="M176" s="462" t="s">
        <v>79</v>
      </c>
      <c r="N176" s="463"/>
      <c r="O176" s="463"/>
      <c r="P176" s="463"/>
      <c r="Q176" s="463"/>
      <c r="R176" s="463"/>
      <c r="S176" s="52" t="s">
        <v>41</v>
      </c>
      <c r="T176" s="470">
        <f>IF(($L$1-(O160+O161+O162+O163))&gt;12,0,R157*8%)</f>
        <v>0</v>
      </c>
      <c r="U176" s="470"/>
      <c r="V176" s="470"/>
      <c r="W176" s="61" t="s">
        <v>46</v>
      </c>
    </row>
    <row r="177" spans="1:24" ht="18.75" customHeight="1">
      <c r="A177" s="462" t="s">
        <v>80</v>
      </c>
      <c r="B177" s="463"/>
      <c r="C177" s="463"/>
      <c r="D177" s="463"/>
      <c r="E177" s="463"/>
      <c r="F177" s="463"/>
      <c r="G177" s="52" t="s">
        <v>41</v>
      </c>
      <c r="H177" s="464">
        <f>IF(($L$1-(C160+C161+C162+C163))&gt;12,0,F157*1.5%)</f>
        <v>0</v>
      </c>
      <c r="I177" s="464"/>
      <c r="J177" s="464"/>
      <c r="K177" s="61" t="s">
        <v>46</v>
      </c>
      <c r="M177" s="462" t="s">
        <v>80</v>
      </c>
      <c r="N177" s="463"/>
      <c r="O177" s="463"/>
      <c r="P177" s="463"/>
      <c r="Q177" s="463"/>
      <c r="R177" s="463"/>
      <c r="S177" s="52" t="s">
        <v>41</v>
      </c>
      <c r="T177" s="464">
        <f>IF(($L$1-(O160+O161+O162+O163))&gt;12,0,R157*1.5%)</f>
        <v>0</v>
      </c>
      <c r="U177" s="464"/>
      <c r="V177" s="464"/>
      <c r="W177" s="61" t="s">
        <v>46</v>
      </c>
    </row>
    <row r="178" spans="1:24" ht="18.75" customHeight="1">
      <c r="A178" s="462" t="s">
        <v>81</v>
      </c>
      <c r="B178" s="463"/>
      <c r="C178" s="463"/>
      <c r="D178" s="463"/>
      <c r="E178" s="463"/>
      <c r="F178" s="463"/>
      <c r="G178" s="52" t="s">
        <v>41</v>
      </c>
      <c r="H178" s="464">
        <f>IF(($L$1-(C160+C161+C162+C163))&gt;12,0,F157*1%)</f>
        <v>0</v>
      </c>
      <c r="I178" s="464"/>
      <c r="J178" s="464"/>
      <c r="K178" s="61" t="s">
        <v>46</v>
      </c>
      <c r="M178" s="462" t="s">
        <v>81</v>
      </c>
      <c r="N178" s="463"/>
      <c r="O178" s="463"/>
      <c r="P178" s="463"/>
      <c r="Q178" s="463"/>
      <c r="R178" s="463"/>
      <c r="S178" s="52" t="s">
        <v>41</v>
      </c>
      <c r="T178" s="464">
        <f>IF(($L$1-(O160+O161+O162+O163))&gt;12,0,R157*1%)</f>
        <v>0</v>
      </c>
      <c r="U178" s="464"/>
      <c r="V178" s="464"/>
      <c r="W178" s="61" t="s">
        <v>46</v>
      </c>
    </row>
    <row r="179" spans="1:24" ht="18.75" customHeight="1">
      <c r="A179" s="462" t="s">
        <v>82</v>
      </c>
      <c r="B179" s="463"/>
      <c r="C179" s="463"/>
      <c r="D179" s="463"/>
      <c r="E179" s="463"/>
      <c r="F179" s="463"/>
      <c r="G179" s="52" t="s">
        <v>41</v>
      </c>
      <c r="H179" s="464">
        <v>0</v>
      </c>
      <c r="I179" s="464"/>
      <c r="J179" s="464"/>
      <c r="K179" s="61" t="s">
        <v>46</v>
      </c>
      <c r="M179" s="462" t="s">
        <v>82</v>
      </c>
      <c r="N179" s="463"/>
      <c r="O179" s="463"/>
      <c r="P179" s="463"/>
      <c r="Q179" s="463"/>
      <c r="R179" s="463"/>
      <c r="S179" s="52" t="s">
        <v>41</v>
      </c>
      <c r="T179" s="464">
        <v>0</v>
      </c>
      <c r="U179" s="464"/>
      <c r="V179" s="464"/>
      <c r="W179" s="61" t="s">
        <v>46</v>
      </c>
    </row>
    <row r="180" spans="1:24" ht="18.75" customHeight="1">
      <c r="A180" s="465" t="s">
        <v>83</v>
      </c>
      <c r="B180" s="466"/>
      <c r="C180" s="466"/>
      <c r="D180" s="466"/>
      <c r="E180" s="466"/>
      <c r="F180" s="466"/>
      <c r="G180" s="52" t="s">
        <v>41</v>
      </c>
      <c r="H180" s="467">
        <f>SUM(H176:J179)</f>
        <v>0</v>
      </c>
      <c r="I180" s="467"/>
      <c r="J180" s="467"/>
      <c r="K180" s="61" t="s">
        <v>46</v>
      </c>
      <c r="M180" s="465" t="s">
        <v>83</v>
      </c>
      <c r="N180" s="466"/>
      <c r="O180" s="466"/>
      <c r="P180" s="466"/>
      <c r="Q180" s="466"/>
      <c r="R180" s="466"/>
      <c r="S180" s="52" t="s">
        <v>41</v>
      </c>
      <c r="T180" s="467">
        <f>SUM(T176:V179)</f>
        <v>0</v>
      </c>
      <c r="U180" s="467"/>
      <c r="V180" s="467"/>
      <c r="W180" s="61" t="s">
        <v>46</v>
      </c>
    </row>
    <row r="181" spans="1:24" ht="18.75" customHeight="1">
      <c r="A181" s="462" t="s">
        <v>84</v>
      </c>
      <c r="B181" s="463"/>
      <c r="C181" s="463"/>
      <c r="D181" s="463"/>
      <c r="E181" s="463"/>
      <c r="F181" s="463"/>
      <c r="G181" s="52" t="s">
        <v>41</v>
      </c>
      <c r="H181" s="475">
        <f>ROUND(H173-H180,-2)</f>
        <v>0</v>
      </c>
      <c r="I181" s="475"/>
      <c r="J181" s="475"/>
      <c r="K181" s="61" t="s">
        <v>46</v>
      </c>
      <c r="M181" s="462" t="s">
        <v>84</v>
      </c>
      <c r="N181" s="463"/>
      <c r="O181" s="463"/>
      <c r="P181" s="463"/>
      <c r="Q181" s="463"/>
      <c r="R181" s="463"/>
      <c r="S181" s="52" t="s">
        <v>41</v>
      </c>
      <c r="T181" s="475">
        <f>ROUND(T173-T180,-2)</f>
        <v>0</v>
      </c>
      <c r="U181" s="475"/>
      <c r="V181" s="475"/>
      <c r="W181" s="61" t="s">
        <v>46</v>
      </c>
    </row>
    <row r="182" spans="1:24" ht="18.75" customHeight="1">
      <c r="A182" s="70"/>
      <c r="B182" s="71"/>
      <c r="C182" s="71"/>
      <c r="D182" s="71"/>
      <c r="E182" s="71"/>
      <c r="F182" s="71"/>
      <c r="G182" s="71"/>
      <c r="H182" s="71"/>
      <c r="I182" s="71"/>
      <c r="J182" s="71"/>
      <c r="K182" s="72"/>
      <c r="M182" s="70"/>
      <c r="N182" s="71"/>
      <c r="O182" s="71"/>
      <c r="P182" s="71"/>
      <c r="Q182" s="71"/>
      <c r="R182" s="71"/>
      <c r="S182" s="71"/>
      <c r="T182" s="71"/>
      <c r="U182" s="71"/>
      <c r="V182" s="71"/>
      <c r="W182" s="72"/>
    </row>
    <row r="183" spans="1:24" ht="18.75" customHeight="1">
      <c r="A183" s="73"/>
      <c r="B183" s="52"/>
      <c r="C183" s="52"/>
      <c r="D183" s="52"/>
      <c r="E183" s="52"/>
      <c r="F183" s="52"/>
      <c r="G183" s="52"/>
      <c r="H183" s="52"/>
      <c r="I183" s="472" t="s">
        <v>85</v>
      </c>
      <c r="J183" s="472"/>
      <c r="K183" s="476"/>
      <c r="M183" s="73"/>
      <c r="N183" s="52"/>
      <c r="O183" s="52"/>
      <c r="P183" s="52"/>
      <c r="Q183" s="52"/>
      <c r="R183" s="52"/>
      <c r="S183" s="52"/>
      <c r="T183" s="52"/>
      <c r="U183" s="472" t="s">
        <v>85</v>
      </c>
      <c r="V183" s="472"/>
      <c r="W183" s="476"/>
    </row>
    <row r="184" spans="1:24" ht="18.75" customHeight="1">
      <c r="A184" s="73"/>
      <c r="B184" s="471"/>
      <c r="C184" s="472"/>
      <c r="D184" s="472"/>
      <c r="E184" s="472"/>
      <c r="F184" s="52"/>
      <c r="G184" s="52"/>
      <c r="H184" s="52"/>
      <c r="I184" s="52"/>
      <c r="J184" s="52"/>
      <c r="K184" s="54"/>
      <c r="M184" s="73"/>
      <c r="N184" s="471"/>
      <c r="O184" s="472"/>
      <c r="P184" s="472"/>
      <c r="Q184" s="472"/>
      <c r="R184" s="52"/>
      <c r="S184" s="52"/>
      <c r="T184" s="52"/>
      <c r="U184" s="52"/>
      <c r="V184" s="52"/>
      <c r="W184" s="54"/>
    </row>
    <row r="185" spans="1:24" ht="18.75" customHeight="1" thickBot="1">
      <c r="A185" s="75"/>
      <c r="B185" s="76"/>
      <c r="C185" s="76"/>
      <c r="D185" s="76"/>
      <c r="E185" s="76"/>
      <c r="F185" s="76"/>
      <c r="G185" s="76"/>
      <c r="H185" s="76"/>
      <c r="I185" s="473" t="s">
        <v>86</v>
      </c>
      <c r="J185" s="473"/>
      <c r="K185" s="474"/>
      <c r="M185" s="75"/>
      <c r="N185" s="76"/>
      <c r="O185" s="76"/>
      <c r="P185" s="76"/>
      <c r="Q185" s="76"/>
      <c r="R185" s="76"/>
      <c r="S185" s="76"/>
      <c r="T185" s="76"/>
      <c r="U185" s="473" t="s">
        <v>86</v>
      </c>
      <c r="V185" s="473"/>
      <c r="W185" s="474"/>
    </row>
    <row r="186" spans="1:24" ht="18.75" customHeight="1" thickTop="1" thickBot="1"/>
    <row r="187" spans="1:24" ht="18.75" customHeight="1" thickTop="1">
      <c r="A187" s="445" t="s">
        <v>172</v>
      </c>
      <c r="B187" s="446"/>
      <c r="C187" s="446"/>
      <c r="D187" s="446"/>
      <c r="E187" s="446"/>
      <c r="F187" s="446"/>
      <c r="G187" s="446"/>
      <c r="H187" s="446"/>
      <c r="I187" s="446"/>
      <c r="J187" s="446"/>
      <c r="K187" s="447"/>
      <c r="L187" s="48">
        <v>26</v>
      </c>
      <c r="M187" s="445" t="s">
        <v>172</v>
      </c>
      <c r="N187" s="446"/>
      <c r="O187" s="446"/>
      <c r="P187" s="446"/>
      <c r="Q187" s="446"/>
      <c r="R187" s="446"/>
      <c r="S187" s="446"/>
      <c r="T187" s="446"/>
      <c r="U187" s="446"/>
      <c r="V187" s="446"/>
      <c r="W187" s="447"/>
      <c r="X187" s="48">
        <v>26</v>
      </c>
    </row>
    <row r="188" spans="1:24" ht="18.75" customHeight="1">
      <c r="A188" s="49" t="s">
        <v>97</v>
      </c>
      <c r="B188" s="50"/>
      <c r="C188" s="50"/>
      <c r="D188" s="50"/>
      <c r="E188" s="50"/>
      <c r="F188" s="50"/>
      <c r="G188" s="50"/>
      <c r="H188" s="50"/>
      <c r="I188" s="50"/>
      <c r="J188" s="50"/>
      <c r="K188" s="51"/>
      <c r="M188" s="49" t="s">
        <v>98</v>
      </c>
      <c r="N188" s="50"/>
      <c r="O188" s="50"/>
      <c r="P188" s="50"/>
      <c r="Q188" s="50"/>
      <c r="R188" s="50"/>
      <c r="S188" s="50"/>
      <c r="T188" s="50"/>
      <c r="U188" s="50"/>
      <c r="V188" s="50"/>
      <c r="W188" s="51"/>
    </row>
    <row r="189" spans="1:24" ht="18.75" customHeight="1">
      <c r="A189" s="448" t="s">
        <v>39</v>
      </c>
      <c r="B189" s="449"/>
      <c r="C189" s="449"/>
      <c r="D189" s="449"/>
      <c r="E189" s="449"/>
      <c r="F189" s="449"/>
      <c r="G189" s="449"/>
      <c r="H189" s="449"/>
      <c r="I189" s="449"/>
      <c r="J189" s="449"/>
      <c r="K189" s="450"/>
      <c r="M189" s="448" t="s">
        <v>39</v>
      </c>
      <c r="N189" s="449"/>
      <c r="O189" s="449"/>
      <c r="P189" s="449"/>
      <c r="Q189" s="449"/>
      <c r="R189" s="449"/>
      <c r="S189" s="449"/>
      <c r="T189" s="449"/>
      <c r="U189" s="449"/>
      <c r="V189" s="449"/>
      <c r="W189" s="450"/>
    </row>
    <row r="190" spans="1:24" ht="18.75" customHeight="1">
      <c r="A190" s="440" t="s">
        <v>40</v>
      </c>
      <c r="B190" s="441"/>
      <c r="C190" s="441"/>
      <c r="D190" s="441"/>
      <c r="E190" s="52" t="s">
        <v>41</v>
      </c>
      <c r="F190" s="442">
        <f>'Bang TH nop'!B29</f>
        <v>0</v>
      </c>
      <c r="G190" s="441"/>
      <c r="H190" s="441"/>
      <c r="I190" s="441"/>
      <c r="J190" s="441"/>
      <c r="K190" s="444"/>
      <c r="M190" s="440" t="s">
        <v>40</v>
      </c>
      <c r="N190" s="441"/>
      <c r="O190" s="441"/>
      <c r="P190" s="441"/>
      <c r="Q190" s="52" t="s">
        <v>41</v>
      </c>
      <c r="R190" s="442">
        <f>'Bang TH nop'!B31</f>
        <v>0</v>
      </c>
      <c r="S190" s="441"/>
      <c r="T190" s="441"/>
      <c r="U190" s="441"/>
      <c r="V190" s="441"/>
      <c r="W190" s="444"/>
    </row>
    <row r="191" spans="1:24" ht="18.75" customHeight="1">
      <c r="A191" s="440" t="s">
        <v>42</v>
      </c>
      <c r="B191" s="441"/>
      <c r="C191" s="441"/>
      <c r="D191" s="441"/>
      <c r="E191" s="52" t="s">
        <v>41</v>
      </c>
      <c r="F191" s="442">
        <f>'Bang TH nop'!C29</f>
        <v>0</v>
      </c>
      <c r="G191" s="442"/>
      <c r="H191" s="442"/>
      <c r="I191" s="442"/>
      <c r="J191" s="442"/>
      <c r="K191" s="443"/>
      <c r="M191" s="440" t="s">
        <v>42</v>
      </c>
      <c r="N191" s="441"/>
      <c r="O191" s="441"/>
      <c r="P191" s="441"/>
      <c r="Q191" s="52" t="s">
        <v>41</v>
      </c>
      <c r="R191" s="442">
        <f>'Bang TH nop'!C31</f>
        <v>0</v>
      </c>
      <c r="S191" s="442"/>
      <c r="T191" s="442"/>
      <c r="U191" s="442"/>
      <c r="V191" s="442"/>
      <c r="W191" s="443"/>
    </row>
    <row r="192" spans="1:24" ht="18.75" customHeight="1">
      <c r="A192" s="440" t="s">
        <v>43</v>
      </c>
      <c r="B192" s="441"/>
      <c r="C192" s="441"/>
      <c r="D192" s="441"/>
      <c r="E192" s="52" t="s">
        <v>41</v>
      </c>
      <c r="F192" s="441" t="str">
        <f>+$L$2</f>
        <v xml:space="preserve">Tổ  </v>
      </c>
      <c r="G192" s="441"/>
      <c r="H192" s="441"/>
      <c r="I192" s="441"/>
      <c r="J192" s="441"/>
      <c r="K192" s="444"/>
      <c r="M192" s="440" t="s">
        <v>43</v>
      </c>
      <c r="N192" s="441"/>
      <c r="O192" s="441"/>
      <c r="P192" s="441"/>
      <c r="Q192" s="52" t="s">
        <v>41</v>
      </c>
      <c r="R192" s="441" t="str">
        <f>+$L$2</f>
        <v xml:space="preserve">Tổ  </v>
      </c>
      <c r="S192" s="441"/>
      <c r="T192" s="441"/>
      <c r="U192" s="441"/>
      <c r="V192" s="441"/>
      <c r="W192" s="444"/>
    </row>
    <row r="193" spans="1:24" ht="18.75" customHeight="1">
      <c r="A193" s="448" t="s">
        <v>44</v>
      </c>
      <c r="B193" s="449"/>
      <c r="C193" s="449"/>
      <c r="D193" s="449"/>
      <c r="E193" s="449"/>
      <c r="F193" s="449"/>
      <c r="G193" s="449"/>
      <c r="H193" s="449"/>
      <c r="I193" s="449"/>
      <c r="J193" s="449"/>
      <c r="K193" s="450"/>
      <c r="M193" s="448" t="s">
        <v>44</v>
      </c>
      <c r="N193" s="449"/>
      <c r="O193" s="449"/>
      <c r="P193" s="449"/>
      <c r="Q193" s="449"/>
      <c r="R193" s="449"/>
      <c r="S193" s="449"/>
      <c r="T193" s="449"/>
      <c r="U193" s="449"/>
      <c r="V193" s="449"/>
      <c r="W193" s="450"/>
    </row>
    <row r="194" spans="1:24" ht="18.75" customHeight="1">
      <c r="A194" s="440" t="s">
        <v>45</v>
      </c>
      <c r="B194" s="441"/>
      <c r="C194" s="441"/>
      <c r="D194" s="441"/>
      <c r="E194" s="52" t="s">
        <v>41</v>
      </c>
      <c r="F194" s="455">
        <f>VLOOKUP(F191,'Bang TH nop'!$C$9:$AP$266,29,0)</f>
        <v>0</v>
      </c>
      <c r="G194" s="455"/>
      <c r="H194" s="455"/>
      <c r="I194" s="455"/>
      <c r="J194" s="52" t="s">
        <v>46</v>
      </c>
      <c r="K194" s="54"/>
      <c r="M194" s="440" t="s">
        <v>45</v>
      </c>
      <c r="N194" s="441"/>
      <c r="O194" s="441"/>
      <c r="P194" s="441"/>
      <c r="Q194" s="52" t="s">
        <v>41</v>
      </c>
      <c r="R194" s="455">
        <f>VLOOKUP(R191,'Bang TH nop'!$C$9:$AP$266,29,0)</f>
        <v>0</v>
      </c>
      <c r="S194" s="455"/>
      <c r="T194" s="455"/>
      <c r="U194" s="455"/>
      <c r="V194" s="52" t="s">
        <v>46</v>
      </c>
      <c r="W194" s="54"/>
    </row>
    <row r="195" spans="1:24" ht="18.75" customHeight="1">
      <c r="A195" s="55" t="s">
        <v>47</v>
      </c>
      <c r="B195" s="52"/>
      <c r="C195" s="56"/>
      <c r="D195" s="57"/>
      <c r="E195" s="58"/>
      <c r="F195" s="58"/>
      <c r="G195" s="58"/>
      <c r="H195" s="52"/>
      <c r="I195" s="59">
        <f>'LƯƠNG Tx'!F29</f>
        <v>0</v>
      </c>
      <c r="J195" s="60"/>
      <c r="K195" s="61"/>
      <c r="M195" s="55" t="s">
        <v>47</v>
      </c>
      <c r="N195" s="52"/>
      <c r="O195" s="56"/>
      <c r="P195" s="57"/>
      <c r="Q195" s="58"/>
      <c r="R195" s="58"/>
      <c r="S195" s="58"/>
      <c r="T195" s="52"/>
      <c r="U195" s="59">
        <f>'LƯƠNG Tx'!F31</f>
        <v>0</v>
      </c>
      <c r="V195" s="60"/>
      <c r="W195" s="61"/>
    </row>
    <row r="196" spans="1:24" ht="18.75" customHeight="1">
      <c r="A196" s="55" t="s">
        <v>48</v>
      </c>
      <c r="B196" s="52"/>
      <c r="C196" s="56"/>
      <c r="D196" s="57"/>
      <c r="E196" s="58"/>
      <c r="F196" s="58"/>
      <c r="G196" s="58"/>
      <c r="H196" s="52"/>
      <c r="I196" s="59" t="e">
        <f>I197/C197/8</f>
        <v>#DIV/0!</v>
      </c>
      <c r="J196" s="60"/>
      <c r="K196" s="61"/>
      <c r="M196" s="55" t="s">
        <v>48</v>
      </c>
      <c r="N196" s="52"/>
      <c r="O196" s="56"/>
      <c r="P196" s="57"/>
      <c r="Q196" s="58"/>
      <c r="R196" s="58"/>
      <c r="S196" s="58"/>
      <c r="T196" s="52"/>
      <c r="U196" s="59" t="e">
        <f>U197/O197/8</f>
        <v>#DIV/0!</v>
      </c>
      <c r="V196" s="60"/>
      <c r="W196" s="61"/>
    </row>
    <row r="197" spans="1:24" ht="18.75" customHeight="1">
      <c r="A197" s="55" t="s">
        <v>49</v>
      </c>
      <c r="B197" s="52" t="s">
        <v>41</v>
      </c>
      <c r="C197" s="56">
        <f>'LƯƠNG Tx'!I28</f>
        <v>0</v>
      </c>
      <c r="D197" s="57" t="s">
        <v>50</v>
      </c>
      <c r="E197" s="453" t="s">
        <v>51</v>
      </c>
      <c r="F197" s="453"/>
      <c r="G197" s="453"/>
      <c r="H197" s="52" t="s">
        <v>41</v>
      </c>
      <c r="I197" s="454">
        <f>'LƯƠNG Tx'!I29</f>
        <v>0</v>
      </c>
      <c r="J197" s="454"/>
      <c r="K197" s="61" t="s">
        <v>46</v>
      </c>
      <c r="L197" s="62">
        <f>F194/L187*C197</f>
        <v>0</v>
      </c>
      <c r="M197" s="55" t="s">
        <v>49</v>
      </c>
      <c r="N197" s="52" t="s">
        <v>41</v>
      </c>
      <c r="O197" s="56">
        <f>'LƯƠNG Tx'!I30</f>
        <v>0</v>
      </c>
      <c r="P197" s="57" t="s">
        <v>50</v>
      </c>
      <c r="Q197" s="453" t="s">
        <v>51</v>
      </c>
      <c r="R197" s="453"/>
      <c r="S197" s="453"/>
      <c r="T197" s="52" t="s">
        <v>41</v>
      </c>
      <c r="U197" s="454">
        <f>'LƯƠNG Tx'!I31</f>
        <v>0</v>
      </c>
      <c r="V197" s="454"/>
      <c r="W197" s="61" t="s">
        <v>46</v>
      </c>
      <c r="X197" s="62">
        <f>R194/X187*O197</f>
        <v>0</v>
      </c>
    </row>
    <row r="198" spans="1:24" ht="18.75" customHeight="1">
      <c r="A198" s="55" t="s">
        <v>52</v>
      </c>
      <c r="B198" s="52" t="s">
        <v>41</v>
      </c>
      <c r="C198" s="56">
        <f>'LƯƠNG Tx'!J28</f>
        <v>0</v>
      </c>
      <c r="D198" s="57" t="s">
        <v>50</v>
      </c>
      <c r="E198" s="441" t="s">
        <v>53</v>
      </c>
      <c r="F198" s="441"/>
      <c r="G198" s="441"/>
      <c r="H198" s="52" t="s">
        <v>41</v>
      </c>
      <c r="I198" s="452">
        <f>$F$8/$L$1*C198</f>
        <v>0</v>
      </c>
      <c r="J198" s="452"/>
      <c r="K198" s="61" t="s">
        <v>46</v>
      </c>
      <c r="L198" s="62"/>
      <c r="M198" s="55" t="s">
        <v>52</v>
      </c>
      <c r="N198" s="52" t="s">
        <v>41</v>
      </c>
      <c r="O198" s="56">
        <f>'LƯƠNG Tx'!J30</f>
        <v>0</v>
      </c>
      <c r="P198" s="57" t="s">
        <v>50</v>
      </c>
      <c r="Q198" s="441" t="s">
        <v>53</v>
      </c>
      <c r="R198" s="441"/>
      <c r="S198" s="441"/>
      <c r="T198" s="52" t="s">
        <v>41</v>
      </c>
      <c r="U198" s="452">
        <f>$F$8/$L$1*O198</f>
        <v>0</v>
      </c>
      <c r="V198" s="452"/>
      <c r="W198" s="61" t="s">
        <v>46</v>
      </c>
      <c r="X198" s="62"/>
    </row>
    <row r="199" spans="1:24" ht="18.75" customHeight="1">
      <c r="A199" s="55" t="s">
        <v>54</v>
      </c>
      <c r="B199" s="52" t="s">
        <v>41</v>
      </c>
      <c r="C199" s="56">
        <f>'LƯƠNG Tx'!K28</f>
        <v>0</v>
      </c>
      <c r="D199" s="57" t="s">
        <v>50</v>
      </c>
      <c r="E199" s="451" t="s">
        <v>55</v>
      </c>
      <c r="F199" s="451"/>
      <c r="G199" s="451"/>
      <c r="H199" s="52" t="s">
        <v>41</v>
      </c>
      <c r="I199" s="452">
        <f>$F$8/$L$1*C199</f>
        <v>0</v>
      </c>
      <c r="J199" s="452"/>
      <c r="K199" s="61" t="s">
        <v>46</v>
      </c>
      <c r="L199" s="62"/>
      <c r="M199" s="55" t="s">
        <v>54</v>
      </c>
      <c r="N199" s="52" t="s">
        <v>41</v>
      </c>
      <c r="O199" s="56">
        <f>'LƯƠNG Tx'!K30</f>
        <v>0</v>
      </c>
      <c r="P199" s="57" t="s">
        <v>50</v>
      </c>
      <c r="Q199" s="451" t="s">
        <v>55</v>
      </c>
      <c r="R199" s="451"/>
      <c r="S199" s="451"/>
      <c r="T199" s="52" t="s">
        <v>41</v>
      </c>
      <c r="U199" s="452">
        <f>$F$8/$L$1*O199</f>
        <v>0</v>
      </c>
      <c r="V199" s="452"/>
      <c r="W199" s="61" t="s">
        <v>46</v>
      </c>
      <c r="X199" s="62"/>
    </row>
    <row r="200" spans="1:24" ht="18.75" customHeight="1">
      <c r="A200" s="55" t="s">
        <v>56</v>
      </c>
      <c r="B200" s="52" t="s">
        <v>41</v>
      </c>
      <c r="C200" s="56">
        <f>'LƯƠNG Tx'!L28</f>
        <v>0</v>
      </c>
      <c r="D200" s="57" t="s">
        <v>50</v>
      </c>
      <c r="E200" s="451" t="s">
        <v>57</v>
      </c>
      <c r="F200" s="451"/>
      <c r="G200" s="451"/>
      <c r="H200" s="52" t="s">
        <v>41</v>
      </c>
      <c r="I200" s="452">
        <f>$F$8/$L$1*C200</f>
        <v>0</v>
      </c>
      <c r="J200" s="452"/>
      <c r="K200" s="61" t="s">
        <v>46</v>
      </c>
      <c r="L200" s="62"/>
      <c r="M200" s="55" t="s">
        <v>56</v>
      </c>
      <c r="N200" s="52" t="s">
        <v>41</v>
      </c>
      <c r="O200" s="56">
        <f>'LƯƠNG Tx'!L30</f>
        <v>0</v>
      </c>
      <c r="P200" s="57" t="s">
        <v>50</v>
      </c>
      <c r="Q200" s="451" t="s">
        <v>57</v>
      </c>
      <c r="R200" s="451"/>
      <c r="S200" s="451"/>
      <c r="T200" s="52" t="s">
        <v>41</v>
      </c>
      <c r="U200" s="452">
        <f>$F$8/$L$1*O200</f>
        <v>0</v>
      </c>
      <c r="V200" s="452"/>
      <c r="W200" s="61" t="s">
        <v>46</v>
      </c>
      <c r="X200" s="62"/>
    </row>
    <row r="201" spans="1:24" ht="18.75" customHeight="1">
      <c r="A201" s="55" t="s">
        <v>58</v>
      </c>
      <c r="B201" s="52" t="s">
        <v>41</v>
      </c>
      <c r="C201" s="56">
        <f>'LƯƠNG Tx'!Q28</f>
        <v>0</v>
      </c>
      <c r="D201" s="57" t="s">
        <v>59</v>
      </c>
      <c r="E201" s="441" t="s">
        <v>60</v>
      </c>
      <c r="F201" s="441"/>
      <c r="G201" s="441"/>
      <c r="H201" s="52" t="s">
        <v>41</v>
      </c>
      <c r="I201" s="452">
        <f>'LƯƠNG Tx'!Q29</f>
        <v>0</v>
      </c>
      <c r="J201" s="452"/>
      <c r="K201" s="61" t="s">
        <v>46</v>
      </c>
      <c r="L201" s="62">
        <f>F194*C201/L187/8*1.5</f>
        <v>0</v>
      </c>
      <c r="M201" s="55" t="s">
        <v>58</v>
      </c>
      <c r="N201" s="52" t="s">
        <v>41</v>
      </c>
      <c r="O201" s="56">
        <f>'LƯƠNG Tx'!Q30</f>
        <v>0</v>
      </c>
      <c r="P201" s="57" t="s">
        <v>59</v>
      </c>
      <c r="Q201" s="441" t="s">
        <v>60</v>
      </c>
      <c r="R201" s="441"/>
      <c r="S201" s="441"/>
      <c r="T201" s="52" t="s">
        <v>41</v>
      </c>
      <c r="U201" s="452">
        <f>'LƯƠNG Tx'!Q31</f>
        <v>0</v>
      </c>
      <c r="V201" s="452"/>
      <c r="W201" s="61" t="s">
        <v>46</v>
      </c>
      <c r="X201" s="62">
        <f>R194*O201/X187/8*1.5</f>
        <v>0</v>
      </c>
    </row>
    <row r="202" spans="1:24" ht="18.75" customHeight="1">
      <c r="A202" s="440" t="s">
        <v>61</v>
      </c>
      <c r="B202" s="441"/>
      <c r="C202" s="56"/>
      <c r="D202" s="57" t="s">
        <v>50</v>
      </c>
      <c r="E202" s="441" t="s">
        <v>62</v>
      </c>
      <c r="F202" s="441"/>
      <c r="G202" s="441"/>
      <c r="H202" s="63" t="s">
        <v>41</v>
      </c>
      <c r="I202" s="452"/>
      <c r="J202" s="452"/>
      <c r="K202" s="61" t="s">
        <v>46</v>
      </c>
      <c r="L202" s="62"/>
      <c r="M202" s="440" t="s">
        <v>61</v>
      </c>
      <c r="N202" s="441"/>
      <c r="O202" s="56"/>
      <c r="P202" s="57" t="s">
        <v>50</v>
      </c>
      <c r="Q202" s="441" t="s">
        <v>62</v>
      </c>
      <c r="R202" s="441"/>
      <c r="S202" s="441"/>
      <c r="T202" s="63" t="s">
        <v>41</v>
      </c>
      <c r="U202" s="452"/>
      <c r="V202" s="452"/>
      <c r="W202" s="61" t="s">
        <v>46</v>
      </c>
      <c r="X202" s="62"/>
    </row>
    <row r="203" spans="1:24" ht="18.75" customHeight="1">
      <c r="A203" s="55" t="s">
        <v>63</v>
      </c>
      <c r="B203" s="52" t="s">
        <v>41</v>
      </c>
      <c r="C203" s="56"/>
      <c r="D203" s="57" t="s">
        <v>50</v>
      </c>
      <c r="E203" s="441" t="s">
        <v>64</v>
      </c>
      <c r="F203" s="441"/>
      <c r="G203" s="441"/>
      <c r="H203" s="52" t="s">
        <v>41</v>
      </c>
      <c r="I203" s="452"/>
      <c r="J203" s="452"/>
      <c r="K203" s="61" t="s">
        <v>46</v>
      </c>
      <c r="L203" s="62"/>
      <c r="M203" s="55" t="s">
        <v>63</v>
      </c>
      <c r="N203" s="52" t="s">
        <v>41</v>
      </c>
      <c r="O203" s="56"/>
      <c r="P203" s="57" t="s">
        <v>50</v>
      </c>
      <c r="Q203" s="441" t="s">
        <v>64</v>
      </c>
      <c r="R203" s="441"/>
      <c r="S203" s="441"/>
      <c r="T203" s="52" t="s">
        <v>41</v>
      </c>
      <c r="U203" s="452"/>
      <c r="V203" s="452"/>
      <c r="W203" s="61" t="s">
        <v>46</v>
      </c>
      <c r="X203" s="62"/>
    </row>
    <row r="204" spans="1:24" ht="18.75" customHeight="1">
      <c r="A204" s="64" t="s">
        <v>65</v>
      </c>
      <c r="B204" s="52"/>
      <c r="C204" s="56">
        <f>'LƯƠNG Tx'!M28</f>
        <v>0</v>
      </c>
      <c r="D204" s="57" t="s">
        <v>59</v>
      </c>
      <c r="E204" s="441" t="s">
        <v>66</v>
      </c>
      <c r="F204" s="441"/>
      <c r="G204" s="441"/>
      <c r="H204" s="52" t="s">
        <v>41</v>
      </c>
      <c r="I204" s="452">
        <f>$F$8*C204/8/$L$1</f>
        <v>0</v>
      </c>
      <c r="J204" s="452"/>
      <c r="K204" s="61" t="s">
        <v>46</v>
      </c>
      <c r="L204" s="62"/>
      <c r="M204" s="64" t="s">
        <v>65</v>
      </c>
      <c r="N204" s="52"/>
      <c r="O204" s="56">
        <f>'LƯƠNG Tx'!M30</f>
        <v>0</v>
      </c>
      <c r="P204" s="57" t="s">
        <v>59</v>
      </c>
      <c r="Q204" s="441" t="s">
        <v>66</v>
      </c>
      <c r="R204" s="441"/>
      <c r="S204" s="441"/>
      <c r="T204" s="52" t="s">
        <v>41</v>
      </c>
      <c r="U204" s="452">
        <f>$F$8*O204/8/$L$1</f>
        <v>0</v>
      </c>
      <c r="V204" s="452"/>
      <c r="W204" s="61" t="s">
        <v>46</v>
      </c>
      <c r="X204" s="62"/>
    </row>
    <row r="205" spans="1:24" ht="18.75" customHeight="1">
      <c r="A205" s="55" t="s">
        <v>167</v>
      </c>
      <c r="B205" s="52" t="s">
        <v>41</v>
      </c>
      <c r="C205" s="56"/>
      <c r="D205" s="57" t="s">
        <v>59</v>
      </c>
      <c r="E205" s="441" t="s">
        <v>73</v>
      </c>
      <c r="F205" s="441"/>
      <c r="G205" s="441"/>
      <c r="H205" s="52" t="s">
        <v>41</v>
      </c>
      <c r="I205" s="454"/>
      <c r="J205" s="454"/>
      <c r="K205" s="61" t="s">
        <v>46</v>
      </c>
      <c r="L205" s="62"/>
      <c r="M205" s="55" t="s">
        <v>167</v>
      </c>
      <c r="N205" s="52" t="s">
        <v>41</v>
      </c>
      <c r="O205" s="56"/>
      <c r="P205" s="57" t="s">
        <v>59</v>
      </c>
      <c r="Q205" s="441" t="s">
        <v>73</v>
      </c>
      <c r="R205" s="441"/>
      <c r="S205" s="441"/>
      <c r="T205" s="52" t="s">
        <v>41</v>
      </c>
      <c r="U205" s="454"/>
      <c r="V205" s="454"/>
      <c r="W205" s="61" t="s">
        <v>46</v>
      </c>
      <c r="X205" s="62"/>
    </row>
    <row r="206" spans="1:24" ht="18.75" customHeight="1">
      <c r="A206" s="55" t="s">
        <v>69</v>
      </c>
      <c r="B206" s="52" t="s">
        <v>41</v>
      </c>
      <c r="C206" s="56"/>
      <c r="D206" s="57" t="s">
        <v>70</v>
      </c>
      <c r="E206" s="53" t="s">
        <v>71</v>
      </c>
      <c r="F206" s="53"/>
      <c r="G206" s="53"/>
      <c r="H206" s="52" t="s">
        <v>41</v>
      </c>
      <c r="I206" s="452"/>
      <c r="J206" s="452"/>
      <c r="K206" s="61" t="s">
        <v>46</v>
      </c>
      <c r="L206" s="62">
        <f>+IF(L197-I197&lt;0,0,L197-I197)+IF(L201-I201&lt;0,0,L201-I201)</f>
        <v>0</v>
      </c>
      <c r="M206" s="55" t="s">
        <v>69</v>
      </c>
      <c r="N206" s="52" t="s">
        <v>41</v>
      </c>
      <c r="O206" s="56"/>
      <c r="P206" s="57" t="s">
        <v>70</v>
      </c>
      <c r="Q206" s="53" t="s">
        <v>71</v>
      </c>
      <c r="R206" s="53"/>
      <c r="S206" s="53"/>
      <c r="T206" s="52" t="s">
        <v>41</v>
      </c>
      <c r="U206" s="452"/>
      <c r="V206" s="452"/>
      <c r="W206" s="61" t="s">
        <v>46</v>
      </c>
      <c r="X206" s="62">
        <f>+IF(X197-U197&lt;0,0,X197-U197)+IF(X201-U201&lt;0,0,X201-U201)</f>
        <v>0</v>
      </c>
    </row>
    <row r="207" spans="1:24" ht="18.75" customHeight="1">
      <c r="A207" s="65" t="s">
        <v>164</v>
      </c>
      <c r="B207" s="66"/>
      <c r="C207" s="56"/>
      <c r="D207" s="57" t="s">
        <v>50</v>
      </c>
      <c r="E207" s="441" t="s">
        <v>165</v>
      </c>
      <c r="F207" s="441"/>
      <c r="G207" s="441"/>
      <c r="H207" s="52" t="s">
        <v>41</v>
      </c>
      <c r="I207" s="452"/>
      <c r="J207" s="452"/>
      <c r="K207" s="61" t="s">
        <v>46</v>
      </c>
      <c r="L207" s="62"/>
      <c r="M207" s="65" t="s">
        <v>164</v>
      </c>
      <c r="N207" s="66"/>
      <c r="O207" s="56"/>
      <c r="P207" s="57" t="s">
        <v>50</v>
      </c>
      <c r="Q207" s="441" t="s">
        <v>165</v>
      </c>
      <c r="R207" s="441"/>
      <c r="S207" s="441"/>
      <c r="T207" s="52" t="s">
        <v>41</v>
      </c>
      <c r="U207" s="452"/>
      <c r="V207" s="452"/>
      <c r="W207" s="61" t="s">
        <v>46</v>
      </c>
      <c r="X207" s="62"/>
    </row>
    <row r="208" spans="1:24" ht="18.75" customHeight="1">
      <c r="A208" s="460" t="s">
        <v>166</v>
      </c>
      <c r="B208" s="461"/>
      <c r="C208" s="56"/>
      <c r="D208" s="57"/>
      <c r="E208" s="58"/>
      <c r="F208" s="58"/>
      <c r="G208" s="58"/>
      <c r="H208" s="52" t="s">
        <v>41</v>
      </c>
      <c r="I208" s="452">
        <f>'LƯƠNG Tx'!P29</f>
        <v>0</v>
      </c>
      <c r="J208" s="452"/>
      <c r="K208" s="61" t="s">
        <v>46</v>
      </c>
      <c r="L208" s="62"/>
      <c r="M208" s="460" t="s">
        <v>166</v>
      </c>
      <c r="N208" s="461"/>
      <c r="O208" s="56"/>
      <c r="P208" s="57"/>
      <c r="Q208" s="58"/>
      <c r="R208" s="58"/>
      <c r="S208" s="58"/>
      <c r="T208" s="52" t="s">
        <v>41</v>
      </c>
      <c r="U208" s="452">
        <f>'LƯƠNG Tx'!P31</f>
        <v>0</v>
      </c>
      <c r="V208" s="452"/>
      <c r="W208" s="61" t="s">
        <v>46</v>
      </c>
      <c r="X208" s="62"/>
    </row>
    <row r="209" spans="1:24" ht="18.75" customHeight="1">
      <c r="A209" s="55" t="s">
        <v>75</v>
      </c>
      <c r="B209" s="52" t="s">
        <v>41</v>
      </c>
      <c r="C209" s="56"/>
      <c r="D209" s="57"/>
      <c r="E209" s="58" t="s">
        <v>76</v>
      </c>
      <c r="F209" s="58"/>
      <c r="G209" s="58"/>
      <c r="H209" s="52" t="s">
        <v>41</v>
      </c>
      <c r="I209" s="452">
        <f>L206</f>
        <v>0</v>
      </c>
      <c r="J209" s="452"/>
      <c r="K209" s="61" t="s">
        <v>46</v>
      </c>
      <c r="L209" s="62"/>
      <c r="M209" s="55" t="s">
        <v>75</v>
      </c>
      <c r="N209" s="52" t="s">
        <v>41</v>
      </c>
      <c r="O209" s="56"/>
      <c r="P209" s="57"/>
      <c r="Q209" s="58" t="s">
        <v>76</v>
      </c>
      <c r="R209" s="58"/>
      <c r="S209" s="58"/>
      <c r="T209" s="52" t="s">
        <v>41</v>
      </c>
      <c r="U209" s="452">
        <f>X206</f>
        <v>0</v>
      </c>
      <c r="V209" s="452"/>
      <c r="W209" s="61" t="s">
        <v>46</v>
      </c>
      <c r="X209" s="62"/>
    </row>
    <row r="210" spans="1:24" ht="18.75" customHeight="1">
      <c r="A210" s="456" t="s">
        <v>77</v>
      </c>
      <c r="B210" s="457"/>
      <c r="C210" s="457"/>
      <c r="D210" s="457"/>
      <c r="E210" s="457"/>
      <c r="F210" s="457"/>
      <c r="G210" s="52" t="s">
        <v>41</v>
      </c>
      <c r="H210" s="458">
        <f>I197+I198+I199+I200+I201+I204+I208+I209+I202+I203+I205+I206+I207+C208</f>
        <v>0</v>
      </c>
      <c r="I210" s="459"/>
      <c r="J210" s="459"/>
      <c r="K210" s="61" t="s">
        <v>46</v>
      </c>
      <c r="M210" s="456" t="s">
        <v>77</v>
      </c>
      <c r="N210" s="457"/>
      <c r="O210" s="457"/>
      <c r="P210" s="457"/>
      <c r="Q210" s="457"/>
      <c r="R210" s="457"/>
      <c r="S210" s="52" t="s">
        <v>41</v>
      </c>
      <c r="T210" s="458">
        <f>U197+U198+U199+U200+U201+U204+U208+U209+U202+U203+U205+U206+U207+O208</f>
        <v>0</v>
      </c>
      <c r="U210" s="459"/>
      <c r="V210" s="459"/>
      <c r="W210" s="61" t="s">
        <v>46</v>
      </c>
    </row>
    <row r="211" spans="1:24" ht="18.75" customHeight="1">
      <c r="A211" s="67"/>
      <c r="B211" s="68"/>
      <c r="C211" s="68"/>
      <c r="D211" s="68"/>
      <c r="E211" s="68"/>
      <c r="F211" s="68"/>
      <c r="G211" s="68"/>
      <c r="H211" s="68"/>
      <c r="I211" s="68"/>
      <c r="J211" s="68"/>
      <c r="K211" s="69"/>
      <c r="M211" s="67"/>
      <c r="N211" s="68"/>
      <c r="O211" s="68"/>
      <c r="P211" s="68"/>
      <c r="Q211" s="68"/>
      <c r="R211" s="68"/>
      <c r="S211" s="68"/>
      <c r="T211" s="68"/>
      <c r="U211" s="68"/>
      <c r="V211" s="68"/>
      <c r="W211" s="69"/>
    </row>
    <row r="212" spans="1:24" ht="18.75" customHeight="1">
      <c r="A212" s="468" t="s">
        <v>78</v>
      </c>
      <c r="B212" s="469"/>
      <c r="C212" s="469"/>
      <c r="D212" s="469"/>
      <c r="E212" s="469"/>
      <c r="F212" s="469"/>
      <c r="G212" s="52"/>
      <c r="H212" s="52"/>
      <c r="I212" s="52"/>
      <c r="J212" s="52"/>
      <c r="K212" s="61"/>
      <c r="M212" s="468" t="s">
        <v>78</v>
      </c>
      <c r="N212" s="469"/>
      <c r="O212" s="469"/>
      <c r="P212" s="469"/>
      <c r="Q212" s="469"/>
      <c r="R212" s="469"/>
      <c r="S212" s="52"/>
      <c r="T212" s="52"/>
      <c r="U212" s="52"/>
      <c r="V212" s="52"/>
      <c r="W212" s="61"/>
    </row>
    <row r="213" spans="1:24" ht="18.75" customHeight="1">
      <c r="A213" s="462" t="s">
        <v>79</v>
      </c>
      <c r="B213" s="463"/>
      <c r="C213" s="463"/>
      <c r="D213" s="463"/>
      <c r="E213" s="463"/>
      <c r="F213" s="463"/>
      <c r="G213" s="52" t="s">
        <v>41</v>
      </c>
      <c r="H213" s="470">
        <f>IF(($L$1-(C197+C198+C199+C200))&gt;12,0,F194*8%)</f>
        <v>0</v>
      </c>
      <c r="I213" s="470"/>
      <c r="J213" s="470"/>
      <c r="K213" s="61" t="s">
        <v>46</v>
      </c>
      <c r="M213" s="462" t="s">
        <v>79</v>
      </c>
      <c r="N213" s="463"/>
      <c r="O213" s="463"/>
      <c r="P213" s="463"/>
      <c r="Q213" s="463"/>
      <c r="R213" s="463"/>
      <c r="S213" s="52" t="s">
        <v>41</v>
      </c>
      <c r="T213" s="470">
        <f>IF(($L$1-(O197+O198+O199+O200))&gt;12,0,R194*8%)</f>
        <v>0</v>
      </c>
      <c r="U213" s="470"/>
      <c r="V213" s="470"/>
      <c r="W213" s="61" t="s">
        <v>46</v>
      </c>
    </row>
    <row r="214" spans="1:24" ht="18.75" customHeight="1">
      <c r="A214" s="462" t="s">
        <v>80</v>
      </c>
      <c r="B214" s="463"/>
      <c r="C214" s="463"/>
      <c r="D214" s="463"/>
      <c r="E214" s="463"/>
      <c r="F214" s="463"/>
      <c r="G214" s="52" t="s">
        <v>41</v>
      </c>
      <c r="H214" s="464">
        <f>IF(($L$1-(C197+C198+C199+C200))&gt;12,0,F194*1.5%)</f>
        <v>0</v>
      </c>
      <c r="I214" s="464"/>
      <c r="J214" s="464"/>
      <c r="K214" s="61" t="s">
        <v>46</v>
      </c>
      <c r="M214" s="462" t="s">
        <v>80</v>
      </c>
      <c r="N214" s="463"/>
      <c r="O214" s="463"/>
      <c r="P214" s="463"/>
      <c r="Q214" s="463"/>
      <c r="R214" s="463"/>
      <c r="S214" s="52" t="s">
        <v>41</v>
      </c>
      <c r="T214" s="464">
        <f>IF(($L$1-(O197+O198+O199+O200))&gt;12,0,R194*1.5%)</f>
        <v>0</v>
      </c>
      <c r="U214" s="464"/>
      <c r="V214" s="464"/>
      <c r="W214" s="61" t="s">
        <v>46</v>
      </c>
    </row>
    <row r="215" spans="1:24" ht="18.75" customHeight="1">
      <c r="A215" s="462" t="s">
        <v>81</v>
      </c>
      <c r="B215" s="463"/>
      <c r="C215" s="463"/>
      <c r="D215" s="463"/>
      <c r="E215" s="463"/>
      <c r="F215" s="463"/>
      <c r="G215" s="52" t="s">
        <v>41</v>
      </c>
      <c r="H215" s="464">
        <f>IF(($L$1-(C197+C198+C199+C200))&gt;12,0,F194*1%)</f>
        <v>0</v>
      </c>
      <c r="I215" s="464"/>
      <c r="J215" s="464"/>
      <c r="K215" s="61" t="s">
        <v>46</v>
      </c>
      <c r="M215" s="462" t="s">
        <v>81</v>
      </c>
      <c r="N215" s="463"/>
      <c r="O215" s="463"/>
      <c r="P215" s="463"/>
      <c r="Q215" s="463"/>
      <c r="R215" s="463"/>
      <c r="S215" s="52" t="s">
        <v>41</v>
      </c>
      <c r="T215" s="464">
        <f>IF(($L$1-(O197+O198+O199+O200))&gt;12,0,R194*1%)</f>
        <v>0</v>
      </c>
      <c r="U215" s="464"/>
      <c r="V215" s="464"/>
      <c r="W215" s="61" t="s">
        <v>46</v>
      </c>
    </row>
    <row r="216" spans="1:24" ht="18.75" customHeight="1">
      <c r="A216" s="462" t="s">
        <v>82</v>
      </c>
      <c r="B216" s="463"/>
      <c r="C216" s="463"/>
      <c r="D216" s="463"/>
      <c r="E216" s="463"/>
      <c r="F216" s="463"/>
      <c r="G216" s="52" t="s">
        <v>41</v>
      </c>
      <c r="H216" s="464">
        <v>0</v>
      </c>
      <c r="I216" s="464"/>
      <c r="J216" s="464"/>
      <c r="K216" s="61" t="s">
        <v>46</v>
      </c>
      <c r="M216" s="462" t="s">
        <v>82</v>
      </c>
      <c r="N216" s="463"/>
      <c r="O216" s="463"/>
      <c r="P216" s="463"/>
      <c r="Q216" s="463"/>
      <c r="R216" s="463"/>
      <c r="S216" s="52" t="s">
        <v>41</v>
      </c>
      <c r="T216" s="464">
        <v>0</v>
      </c>
      <c r="U216" s="464"/>
      <c r="V216" s="464"/>
      <c r="W216" s="61" t="s">
        <v>46</v>
      </c>
    </row>
    <row r="217" spans="1:24" ht="18.75" customHeight="1">
      <c r="A217" s="465" t="s">
        <v>83</v>
      </c>
      <c r="B217" s="466"/>
      <c r="C217" s="466"/>
      <c r="D217" s="466"/>
      <c r="E217" s="466"/>
      <c r="F217" s="466"/>
      <c r="G217" s="52" t="s">
        <v>41</v>
      </c>
      <c r="H217" s="467">
        <f>SUM(H213:J216)</f>
        <v>0</v>
      </c>
      <c r="I217" s="467"/>
      <c r="J217" s="467"/>
      <c r="K217" s="61" t="s">
        <v>46</v>
      </c>
      <c r="M217" s="465" t="s">
        <v>83</v>
      </c>
      <c r="N217" s="466"/>
      <c r="O217" s="466"/>
      <c r="P217" s="466"/>
      <c r="Q217" s="466"/>
      <c r="R217" s="466"/>
      <c r="S217" s="52" t="s">
        <v>41</v>
      </c>
      <c r="T217" s="467">
        <f>SUM(T213:V216)</f>
        <v>0</v>
      </c>
      <c r="U217" s="467"/>
      <c r="V217" s="467"/>
      <c r="W217" s="61" t="s">
        <v>46</v>
      </c>
    </row>
    <row r="218" spans="1:24" ht="18.75" customHeight="1">
      <c r="A218" s="462" t="s">
        <v>84</v>
      </c>
      <c r="B218" s="463"/>
      <c r="C218" s="463"/>
      <c r="D218" s="463"/>
      <c r="E218" s="463"/>
      <c r="F218" s="463"/>
      <c r="G218" s="52" t="s">
        <v>41</v>
      </c>
      <c r="H218" s="475">
        <f>ROUND(H210-H217,-2)</f>
        <v>0</v>
      </c>
      <c r="I218" s="475"/>
      <c r="J218" s="475"/>
      <c r="K218" s="61" t="s">
        <v>46</v>
      </c>
      <c r="M218" s="462" t="s">
        <v>84</v>
      </c>
      <c r="N218" s="463"/>
      <c r="O218" s="463"/>
      <c r="P218" s="463"/>
      <c r="Q218" s="463"/>
      <c r="R218" s="463"/>
      <c r="S218" s="52" t="s">
        <v>41</v>
      </c>
      <c r="T218" s="475">
        <f>ROUND(T210-T217,-2)</f>
        <v>0</v>
      </c>
      <c r="U218" s="475"/>
      <c r="V218" s="475"/>
      <c r="W218" s="61" t="s">
        <v>46</v>
      </c>
    </row>
    <row r="219" spans="1:24" ht="18.75" customHeight="1">
      <c r="A219" s="70"/>
      <c r="B219" s="71"/>
      <c r="C219" s="71"/>
      <c r="D219" s="71"/>
      <c r="E219" s="71"/>
      <c r="F219" s="71"/>
      <c r="G219" s="71"/>
      <c r="H219" s="71"/>
      <c r="I219" s="71"/>
      <c r="J219" s="71"/>
      <c r="K219" s="72"/>
      <c r="M219" s="70"/>
      <c r="N219" s="71"/>
      <c r="O219" s="71"/>
      <c r="P219" s="71"/>
      <c r="Q219" s="71"/>
      <c r="R219" s="71"/>
      <c r="S219" s="71"/>
      <c r="T219" s="71"/>
      <c r="U219" s="71"/>
      <c r="V219" s="71"/>
      <c r="W219" s="72"/>
    </row>
    <row r="220" spans="1:24" ht="18.75" customHeight="1">
      <c r="A220" s="73"/>
      <c r="B220" s="52"/>
      <c r="C220" s="52"/>
      <c r="D220" s="52"/>
      <c r="E220" s="52"/>
      <c r="F220" s="52"/>
      <c r="G220" s="52"/>
      <c r="H220" s="52"/>
      <c r="I220" s="472" t="s">
        <v>85</v>
      </c>
      <c r="J220" s="472"/>
      <c r="K220" s="476"/>
      <c r="M220" s="73"/>
      <c r="N220" s="52"/>
      <c r="O220" s="52"/>
      <c r="P220" s="52"/>
      <c r="Q220" s="52"/>
      <c r="R220" s="52"/>
      <c r="S220" s="52"/>
      <c r="T220" s="52"/>
      <c r="U220" s="472" t="s">
        <v>85</v>
      </c>
      <c r="V220" s="472"/>
      <c r="W220" s="476"/>
    </row>
    <row r="221" spans="1:24" ht="18.75" customHeight="1">
      <c r="A221" s="73"/>
      <c r="B221" s="471"/>
      <c r="C221" s="472"/>
      <c r="D221" s="472"/>
      <c r="E221" s="472"/>
      <c r="F221" s="52"/>
      <c r="G221" s="52"/>
      <c r="H221" s="52"/>
      <c r="I221" s="52"/>
      <c r="J221" s="52"/>
      <c r="K221" s="54"/>
      <c r="M221" s="73"/>
      <c r="N221" s="471"/>
      <c r="O221" s="472"/>
      <c r="P221" s="472"/>
      <c r="Q221" s="472"/>
      <c r="R221" s="52"/>
      <c r="S221" s="52"/>
      <c r="T221" s="52"/>
      <c r="U221" s="52"/>
      <c r="V221" s="52"/>
      <c r="W221" s="54"/>
    </row>
    <row r="222" spans="1:24" ht="18.75" customHeight="1" thickBot="1">
      <c r="A222" s="75"/>
      <c r="B222" s="76"/>
      <c r="C222" s="76"/>
      <c r="D222" s="76"/>
      <c r="E222" s="76"/>
      <c r="F222" s="76"/>
      <c r="G222" s="76"/>
      <c r="H222" s="76"/>
      <c r="I222" s="473" t="s">
        <v>86</v>
      </c>
      <c r="J222" s="473"/>
      <c r="K222" s="474"/>
      <c r="M222" s="75"/>
      <c r="N222" s="76"/>
      <c r="O222" s="76"/>
      <c r="P222" s="76"/>
      <c r="Q222" s="76"/>
      <c r="R222" s="76"/>
      <c r="S222" s="76"/>
      <c r="T222" s="76"/>
      <c r="U222" s="473" t="s">
        <v>86</v>
      </c>
      <c r="V222" s="473"/>
      <c r="W222" s="474"/>
    </row>
    <row r="223" spans="1:24" ht="18.75" customHeight="1" thickTop="1" thickBot="1"/>
    <row r="224" spans="1:24" ht="18.75" customHeight="1" thickTop="1">
      <c r="A224" s="445" t="s">
        <v>172</v>
      </c>
      <c r="B224" s="446"/>
      <c r="C224" s="446"/>
      <c r="D224" s="446"/>
      <c r="E224" s="446"/>
      <c r="F224" s="446"/>
      <c r="G224" s="446"/>
      <c r="H224" s="446"/>
      <c r="I224" s="446"/>
      <c r="J224" s="446"/>
      <c r="K224" s="447"/>
      <c r="L224" s="48">
        <v>26</v>
      </c>
      <c r="M224" s="445" t="s">
        <v>172</v>
      </c>
      <c r="N224" s="446"/>
      <c r="O224" s="446"/>
      <c r="P224" s="446"/>
      <c r="Q224" s="446"/>
      <c r="R224" s="446"/>
      <c r="S224" s="446"/>
      <c r="T224" s="446"/>
      <c r="U224" s="446"/>
      <c r="V224" s="446"/>
      <c r="W224" s="447"/>
      <c r="X224" s="48">
        <v>26</v>
      </c>
    </row>
    <row r="225" spans="1:24" ht="18.75" customHeight="1">
      <c r="A225" s="49" t="s">
        <v>99</v>
      </c>
      <c r="B225" s="50"/>
      <c r="C225" s="50"/>
      <c r="D225" s="50"/>
      <c r="E225" s="50"/>
      <c r="F225" s="50"/>
      <c r="G225" s="50"/>
      <c r="H225" s="50"/>
      <c r="I225" s="50"/>
      <c r="J225" s="50"/>
      <c r="K225" s="51"/>
      <c r="M225" s="49" t="s">
        <v>100</v>
      </c>
      <c r="N225" s="50"/>
      <c r="O225" s="50"/>
      <c r="P225" s="50"/>
      <c r="Q225" s="50"/>
      <c r="R225" s="50"/>
      <c r="S225" s="50"/>
      <c r="T225" s="50"/>
      <c r="U225" s="50"/>
      <c r="V225" s="50"/>
      <c r="W225" s="51"/>
    </row>
    <row r="226" spans="1:24" ht="18.75" customHeight="1">
      <c r="A226" s="448" t="s">
        <v>39</v>
      </c>
      <c r="B226" s="449"/>
      <c r="C226" s="449"/>
      <c r="D226" s="449"/>
      <c r="E226" s="449"/>
      <c r="F226" s="449"/>
      <c r="G226" s="449"/>
      <c r="H226" s="449"/>
      <c r="I226" s="449"/>
      <c r="J226" s="449"/>
      <c r="K226" s="450"/>
      <c r="M226" s="448" t="s">
        <v>39</v>
      </c>
      <c r="N226" s="449"/>
      <c r="O226" s="449"/>
      <c r="P226" s="449"/>
      <c r="Q226" s="449"/>
      <c r="R226" s="449"/>
      <c r="S226" s="449"/>
      <c r="T226" s="449"/>
      <c r="U226" s="449"/>
      <c r="V226" s="449"/>
      <c r="W226" s="450"/>
    </row>
    <row r="227" spans="1:24" ht="18.75" customHeight="1">
      <c r="A227" s="440" t="s">
        <v>40</v>
      </c>
      <c r="B227" s="441"/>
      <c r="C227" s="441"/>
      <c r="D227" s="441"/>
      <c r="E227" s="52" t="s">
        <v>41</v>
      </c>
      <c r="F227" s="442">
        <f>'Bang TH nop'!B33</f>
        <v>0</v>
      </c>
      <c r="G227" s="441"/>
      <c r="H227" s="441"/>
      <c r="I227" s="441"/>
      <c r="J227" s="441"/>
      <c r="K227" s="444"/>
      <c r="M227" s="440" t="s">
        <v>40</v>
      </c>
      <c r="N227" s="441"/>
      <c r="O227" s="441"/>
      <c r="P227" s="441"/>
      <c r="Q227" s="52" t="s">
        <v>41</v>
      </c>
      <c r="R227" s="442">
        <f>'Bang TH nop'!B35</f>
        <v>0</v>
      </c>
      <c r="S227" s="441"/>
      <c r="T227" s="441"/>
      <c r="U227" s="441"/>
      <c r="V227" s="441"/>
      <c r="W227" s="444"/>
    </row>
    <row r="228" spans="1:24" ht="18.75" customHeight="1">
      <c r="A228" s="440" t="s">
        <v>42</v>
      </c>
      <c r="B228" s="441"/>
      <c r="C228" s="441"/>
      <c r="D228" s="441"/>
      <c r="E228" s="52" t="s">
        <v>41</v>
      </c>
      <c r="F228" s="442">
        <f>'Bang TH nop'!C33</f>
        <v>0</v>
      </c>
      <c r="G228" s="442"/>
      <c r="H228" s="442"/>
      <c r="I228" s="442"/>
      <c r="J228" s="442"/>
      <c r="K228" s="443"/>
      <c r="M228" s="440" t="s">
        <v>42</v>
      </c>
      <c r="N228" s="441"/>
      <c r="O228" s="441"/>
      <c r="P228" s="441"/>
      <c r="Q228" s="52" t="s">
        <v>41</v>
      </c>
      <c r="R228" s="442">
        <f>'Bang TH nop'!C35</f>
        <v>0</v>
      </c>
      <c r="S228" s="442"/>
      <c r="T228" s="442"/>
      <c r="U228" s="442"/>
      <c r="V228" s="442"/>
      <c r="W228" s="443"/>
    </row>
    <row r="229" spans="1:24" ht="18.75" customHeight="1">
      <c r="A229" s="440" t="s">
        <v>43</v>
      </c>
      <c r="B229" s="441"/>
      <c r="C229" s="441"/>
      <c r="D229" s="441"/>
      <c r="E229" s="52" t="s">
        <v>41</v>
      </c>
      <c r="F229" s="441" t="str">
        <f>+$L$2</f>
        <v xml:space="preserve">Tổ  </v>
      </c>
      <c r="G229" s="441"/>
      <c r="H229" s="441"/>
      <c r="I229" s="441"/>
      <c r="J229" s="441"/>
      <c r="K229" s="444"/>
      <c r="M229" s="440" t="s">
        <v>43</v>
      </c>
      <c r="N229" s="441"/>
      <c r="O229" s="441"/>
      <c r="P229" s="441"/>
      <c r="Q229" s="52" t="s">
        <v>41</v>
      </c>
      <c r="R229" s="441" t="str">
        <f>+$L$2</f>
        <v xml:space="preserve">Tổ  </v>
      </c>
      <c r="S229" s="441"/>
      <c r="T229" s="441"/>
      <c r="U229" s="441"/>
      <c r="V229" s="441"/>
      <c r="W229" s="444"/>
    </row>
    <row r="230" spans="1:24" ht="18.75" customHeight="1">
      <c r="A230" s="448" t="s">
        <v>44</v>
      </c>
      <c r="B230" s="449"/>
      <c r="C230" s="449"/>
      <c r="D230" s="449"/>
      <c r="E230" s="449"/>
      <c r="F230" s="449"/>
      <c r="G230" s="449"/>
      <c r="H230" s="449"/>
      <c r="I230" s="449"/>
      <c r="J230" s="449"/>
      <c r="K230" s="450"/>
      <c r="M230" s="448" t="s">
        <v>44</v>
      </c>
      <c r="N230" s="449"/>
      <c r="O230" s="449"/>
      <c r="P230" s="449"/>
      <c r="Q230" s="449"/>
      <c r="R230" s="449"/>
      <c r="S230" s="449"/>
      <c r="T230" s="449"/>
      <c r="U230" s="449"/>
      <c r="V230" s="449"/>
      <c r="W230" s="450"/>
    </row>
    <row r="231" spans="1:24" ht="18.75" customHeight="1">
      <c r="A231" s="440" t="s">
        <v>45</v>
      </c>
      <c r="B231" s="441"/>
      <c r="C231" s="441"/>
      <c r="D231" s="441"/>
      <c r="E231" s="52" t="s">
        <v>41</v>
      </c>
      <c r="F231" s="455">
        <f>VLOOKUP(F228,'Bang TH nop'!$C$9:$AP$266,29,0)</f>
        <v>0</v>
      </c>
      <c r="G231" s="455"/>
      <c r="H231" s="455"/>
      <c r="I231" s="455"/>
      <c r="J231" s="52" t="s">
        <v>46</v>
      </c>
      <c r="K231" s="54"/>
      <c r="M231" s="440" t="s">
        <v>45</v>
      </c>
      <c r="N231" s="441"/>
      <c r="O231" s="441"/>
      <c r="P231" s="441"/>
      <c r="Q231" s="52" t="s">
        <v>41</v>
      </c>
      <c r="R231" s="455">
        <f>VLOOKUP(R228,'Bang TH nop'!$C$9:$AP$266,29,0)</f>
        <v>0</v>
      </c>
      <c r="S231" s="455"/>
      <c r="T231" s="455"/>
      <c r="U231" s="455"/>
      <c r="V231" s="52" t="s">
        <v>46</v>
      </c>
      <c r="W231" s="54"/>
    </row>
    <row r="232" spans="1:24" ht="18.75" customHeight="1">
      <c r="A232" s="55" t="s">
        <v>47</v>
      </c>
      <c r="B232" s="52"/>
      <c r="C232" s="56"/>
      <c r="D232" s="57"/>
      <c r="E232" s="58"/>
      <c r="F232" s="58"/>
      <c r="G232" s="58"/>
      <c r="H232" s="52"/>
      <c r="I232" s="59">
        <f>'LƯƠNG Tx'!F33</f>
        <v>0</v>
      </c>
      <c r="J232" s="60"/>
      <c r="K232" s="61"/>
      <c r="M232" s="55" t="s">
        <v>47</v>
      </c>
      <c r="N232" s="52"/>
      <c r="O232" s="56"/>
      <c r="P232" s="57"/>
      <c r="Q232" s="58"/>
      <c r="R232" s="58"/>
      <c r="S232" s="58"/>
      <c r="T232" s="52"/>
      <c r="U232" s="59">
        <f>'LƯƠNG Tx'!F35</f>
        <v>0</v>
      </c>
      <c r="V232" s="60"/>
      <c r="W232" s="61"/>
    </row>
    <row r="233" spans="1:24" ht="18.75" customHeight="1">
      <c r="A233" s="55" t="s">
        <v>48</v>
      </c>
      <c r="B233" s="52"/>
      <c r="C233" s="56"/>
      <c r="D233" s="57"/>
      <c r="E233" s="58"/>
      <c r="F233" s="58"/>
      <c r="G233" s="58"/>
      <c r="H233" s="52"/>
      <c r="I233" s="59" t="e">
        <f>I234/C234/8</f>
        <v>#DIV/0!</v>
      </c>
      <c r="J233" s="60"/>
      <c r="K233" s="61"/>
      <c r="M233" s="55" t="s">
        <v>48</v>
      </c>
      <c r="N233" s="52"/>
      <c r="O233" s="56"/>
      <c r="P233" s="57"/>
      <c r="Q233" s="58"/>
      <c r="R233" s="58"/>
      <c r="S233" s="58"/>
      <c r="T233" s="52"/>
      <c r="U233" s="59" t="e">
        <f>U234/O234/8</f>
        <v>#DIV/0!</v>
      </c>
      <c r="V233" s="60"/>
      <c r="W233" s="61"/>
    </row>
    <row r="234" spans="1:24" ht="18.75" customHeight="1">
      <c r="A234" s="55" t="s">
        <v>49</v>
      </c>
      <c r="B234" s="52" t="s">
        <v>41</v>
      </c>
      <c r="C234" s="56">
        <f>'LƯƠNG Tx'!I32</f>
        <v>0</v>
      </c>
      <c r="D234" s="57" t="s">
        <v>50</v>
      </c>
      <c r="E234" s="453" t="s">
        <v>51</v>
      </c>
      <c r="F234" s="453"/>
      <c r="G234" s="453"/>
      <c r="H234" s="52" t="s">
        <v>41</v>
      </c>
      <c r="I234" s="454">
        <f>'LƯƠNG Tx'!I33</f>
        <v>0</v>
      </c>
      <c r="J234" s="454"/>
      <c r="K234" s="61" t="s">
        <v>46</v>
      </c>
      <c r="L234" s="62">
        <f>F231/L224*C234</f>
        <v>0</v>
      </c>
      <c r="M234" s="55" t="s">
        <v>49</v>
      </c>
      <c r="N234" s="52" t="s">
        <v>41</v>
      </c>
      <c r="O234" s="56">
        <f>'LƯƠNG Tx'!I34</f>
        <v>0</v>
      </c>
      <c r="P234" s="57" t="s">
        <v>50</v>
      </c>
      <c r="Q234" s="453" t="s">
        <v>51</v>
      </c>
      <c r="R234" s="453"/>
      <c r="S234" s="453"/>
      <c r="T234" s="52" t="s">
        <v>41</v>
      </c>
      <c r="U234" s="454">
        <f>'LƯƠNG Tx'!I35</f>
        <v>0</v>
      </c>
      <c r="V234" s="454"/>
      <c r="W234" s="61" t="s">
        <v>46</v>
      </c>
      <c r="X234" s="62">
        <f>R231/X224*O234</f>
        <v>0</v>
      </c>
    </row>
    <row r="235" spans="1:24" ht="18.75" customHeight="1">
      <c r="A235" s="55" t="s">
        <v>52</v>
      </c>
      <c r="B235" s="52" t="s">
        <v>41</v>
      </c>
      <c r="C235" s="56">
        <f>'LƯƠNG Tx'!J32</f>
        <v>0</v>
      </c>
      <c r="D235" s="57" t="s">
        <v>50</v>
      </c>
      <c r="E235" s="441" t="s">
        <v>53</v>
      </c>
      <c r="F235" s="441"/>
      <c r="G235" s="441"/>
      <c r="H235" s="52" t="s">
        <v>41</v>
      </c>
      <c r="I235" s="452">
        <f>$F$8/$L$1*C235</f>
        <v>0</v>
      </c>
      <c r="J235" s="452"/>
      <c r="K235" s="61" t="s">
        <v>46</v>
      </c>
      <c r="L235" s="62"/>
      <c r="M235" s="55" t="s">
        <v>52</v>
      </c>
      <c r="N235" s="52" t="s">
        <v>41</v>
      </c>
      <c r="O235" s="56">
        <f>'LƯƠNG Tx'!J34</f>
        <v>0</v>
      </c>
      <c r="P235" s="57" t="s">
        <v>50</v>
      </c>
      <c r="Q235" s="441" t="s">
        <v>53</v>
      </c>
      <c r="R235" s="441"/>
      <c r="S235" s="441"/>
      <c r="T235" s="52" t="s">
        <v>41</v>
      </c>
      <c r="U235" s="452">
        <f>$F$8/$L$1*O235</f>
        <v>0</v>
      </c>
      <c r="V235" s="452"/>
      <c r="W235" s="61" t="s">
        <v>46</v>
      </c>
      <c r="X235" s="62"/>
    </row>
    <row r="236" spans="1:24" ht="18.75" customHeight="1">
      <c r="A236" s="55" t="s">
        <v>54</v>
      </c>
      <c r="B236" s="52" t="s">
        <v>41</v>
      </c>
      <c r="C236" s="56">
        <f>'LƯƠNG Tx'!K32</f>
        <v>0</v>
      </c>
      <c r="D236" s="57" t="s">
        <v>50</v>
      </c>
      <c r="E236" s="451" t="s">
        <v>55</v>
      </c>
      <c r="F236" s="451"/>
      <c r="G236" s="451"/>
      <c r="H236" s="52" t="s">
        <v>41</v>
      </c>
      <c r="I236" s="452">
        <f>$F$8/$L$1*C236</f>
        <v>0</v>
      </c>
      <c r="J236" s="452"/>
      <c r="K236" s="61" t="s">
        <v>46</v>
      </c>
      <c r="L236" s="62"/>
      <c r="M236" s="55" t="s">
        <v>54</v>
      </c>
      <c r="N236" s="52" t="s">
        <v>41</v>
      </c>
      <c r="O236" s="56">
        <f>'LƯƠNG Tx'!K34</f>
        <v>0</v>
      </c>
      <c r="P236" s="57" t="s">
        <v>50</v>
      </c>
      <c r="Q236" s="451" t="s">
        <v>55</v>
      </c>
      <c r="R236" s="451"/>
      <c r="S236" s="451"/>
      <c r="T236" s="52" t="s">
        <v>41</v>
      </c>
      <c r="U236" s="452">
        <f>$F$8/$L$1*O236</f>
        <v>0</v>
      </c>
      <c r="V236" s="452"/>
      <c r="W236" s="61" t="s">
        <v>46</v>
      </c>
      <c r="X236" s="62"/>
    </row>
    <row r="237" spans="1:24" ht="18.75" customHeight="1">
      <c r="A237" s="55" t="s">
        <v>56</v>
      </c>
      <c r="B237" s="52" t="s">
        <v>41</v>
      </c>
      <c r="C237" s="56">
        <f>'LƯƠNG Tx'!L32</f>
        <v>0</v>
      </c>
      <c r="D237" s="57" t="s">
        <v>50</v>
      </c>
      <c r="E237" s="451" t="s">
        <v>57</v>
      </c>
      <c r="F237" s="451"/>
      <c r="G237" s="451"/>
      <c r="H237" s="52" t="s">
        <v>41</v>
      </c>
      <c r="I237" s="452">
        <f>$F$8/$L$1*C237</f>
        <v>0</v>
      </c>
      <c r="J237" s="452"/>
      <c r="K237" s="61" t="s">
        <v>46</v>
      </c>
      <c r="L237" s="62"/>
      <c r="M237" s="55" t="s">
        <v>56</v>
      </c>
      <c r="N237" s="52" t="s">
        <v>41</v>
      </c>
      <c r="O237" s="56">
        <f>'LƯƠNG Tx'!L34</f>
        <v>0</v>
      </c>
      <c r="P237" s="57" t="s">
        <v>50</v>
      </c>
      <c r="Q237" s="451" t="s">
        <v>57</v>
      </c>
      <c r="R237" s="451"/>
      <c r="S237" s="451"/>
      <c r="T237" s="52" t="s">
        <v>41</v>
      </c>
      <c r="U237" s="452">
        <f>$F$8/$L$1*O237</f>
        <v>0</v>
      </c>
      <c r="V237" s="452"/>
      <c r="W237" s="61" t="s">
        <v>46</v>
      </c>
      <c r="X237" s="62"/>
    </row>
    <row r="238" spans="1:24" ht="18.75" customHeight="1">
      <c r="A238" s="55" t="s">
        <v>58</v>
      </c>
      <c r="B238" s="52" t="s">
        <v>41</v>
      </c>
      <c r="C238" s="56">
        <f>'LƯƠNG Tx'!Q32</f>
        <v>0</v>
      </c>
      <c r="D238" s="57" t="s">
        <v>59</v>
      </c>
      <c r="E238" s="441" t="s">
        <v>60</v>
      </c>
      <c r="F238" s="441"/>
      <c r="G238" s="441"/>
      <c r="H238" s="52" t="s">
        <v>41</v>
      </c>
      <c r="I238" s="452">
        <f>'LƯƠNG Tx'!Q33</f>
        <v>0</v>
      </c>
      <c r="J238" s="452"/>
      <c r="K238" s="61" t="s">
        <v>46</v>
      </c>
      <c r="L238" s="62">
        <f>F231*C238/L224/8*1.5</f>
        <v>0</v>
      </c>
      <c r="M238" s="55" t="s">
        <v>58</v>
      </c>
      <c r="N238" s="52" t="s">
        <v>41</v>
      </c>
      <c r="O238" s="56">
        <f>'LƯƠNG Tx'!Q34</f>
        <v>0</v>
      </c>
      <c r="P238" s="57" t="s">
        <v>59</v>
      </c>
      <c r="Q238" s="441" t="s">
        <v>60</v>
      </c>
      <c r="R238" s="441"/>
      <c r="S238" s="441"/>
      <c r="T238" s="52" t="s">
        <v>41</v>
      </c>
      <c r="U238" s="452">
        <f>'LƯƠNG Tx'!Q35</f>
        <v>0</v>
      </c>
      <c r="V238" s="452"/>
      <c r="W238" s="61" t="s">
        <v>46</v>
      </c>
      <c r="X238" s="62">
        <f>R231*O238/X224/8*1.5</f>
        <v>0</v>
      </c>
    </row>
    <row r="239" spans="1:24" ht="18.75" customHeight="1">
      <c r="A239" s="440" t="s">
        <v>61</v>
      </c>
      <c r="B239" s="441"/>
      <c r="C239" s="56"/>
      <c r="D239" s="57" t="s">
        <v>50</v>
      </c>
      <c r="E239" s="441" t="s">
        <v>62</v>
      </c>
      <c r="F239" s="441"/>
      <c r="G239" s="441"/>
      <c r="H239" s="63" t="s">
        <v>41</v>
      </c>
      <c r="I239" s="452"/>
      <c r="J239" s="452"/>
      <c r="K239" s="61" t="s">
        <v>46</v>
      </c>
      <c r="L239" s="62"/>
      <c r="M239" s="440" t="s">
        <v>61</v>
      </c>
      <c r="N239" s="441"/>
      <c r="O239" s="56"/>
      <c r="P239" s="57" t="s">
        <v>50</v>
      </c>
      <c r="Q239" s="441" t="s">
        <v>62</v>
      </c>
      <c r="R239" s="441"/>
      <c r="S239" s="441"/>
      <c r="T239" s="63" t="s">
        <v>41</v>
      </c>
      <c r="U239" s="452"/>
      <c r="V239" s="452"/>
      <c r="W239" s="61" t="s">
        <v>46</v>
      </c>
      <c r="X239" s="62"/>
    </row>
    <row r="240" spans="1:24" ht="18.75" customHeight="1">
      <c r="A240" s="55" t="s">
        <v>63</v>
      </c>
      <c r="B240" s="52" t="s">
        <v>41</v>
      </c>
      <c r="C240" s="56"/>
      <c r="D240" s="57" t="s">
        <v>50</v>
      </c>
      <c r="E240" s="441" t="s">
        <v>64</v>
      </c>
      <c r="F240" s="441"/>
      <c r="G240" s="441"/>
      <c r="H240" s="52" t="s">
        <v>41</v>
      </c>
      <c r="I240" s="452"/>
      <c r="J240" s="452"/>
      <c r="K240" s="61" t="s">
        <v>46</v>
      </c>
      <c r="L240" s="62"/>
      <c r="M240" s="55" t="s">
        <v>63</v>
      </c>
      <c r="N240" s="52" t="s">
        <v>41</v>
      </c>
      <c r="O240" s="56"/>
      <c r="P240" s="57" t="s">
        <v>50</v>
      </c>
      <c r="Q240" s="441" t="s">
        <v>64</v>
      </c>
      <c r="R240" s="441"/>
      <c r="S240" s="441"/>
      <c r="T240" s="52" t="s">
        <v>41</v>
      </c>
      <c r="U240" s="452"/>
      <c r="V240" s="452"/>
      <c r="W240" s="61" t="s">
        <v>46</v>
      </c>
      <c r="X240" s="62"/>
    </row>
    <row r="241" spans="1:24" ht="18.75" customHeight="1">
      <c r="A241" s="64" t="s">
        <v>65</v>
      </c>
      <c r="B241" s="52"/>
      <c r="C241" s="56">
        <f>'LƯƠNG Tx'!M32</f>
        <v>0</v>
      </c>
      <c r="D241" s="57" t="s">
        <v>59</v>
      </c>
      <c r="E241" s="441" t="s">
        <v>66</v>
      </c>
      <c r="F241" s="441"/>
      <c r="G241" s="441"/>
      <c r="H241" s="52" t="s">
        <v>41</v>
      </c>
      <c r="I241" s="452">
        <f>$F$8*C241/8/$L$1</f>
        <v>0</v>
      </c>
      <c r="J241" s="452"/>
      <c r="K241" s="61" t="s">
        <v>46</v>
      </c>
      <c r="L241" s="62"/>
      <c r="M241" s="64" t="s">
        <v>65</v>
      </c>
      <c r="N241" s="52"/>
      <c r="O241" s="56">
        <f>'LƯƠNG Tx'!M34</f>
        <v>0</v>
      </c>
      <c r="P241" s="57" t="s">
        <v>59</v>
      </c>
      <c r="Q241" s="441" t="s">
        <v>66</v>
      </c>
      <c r="R241" s="441"/>
      <c r="S241" s="441"/>
      <c r="T241" s="52" t="s">
        <v>41</v>
      </c>
      <c r="U241" s="452">
        <f>$F$8*O241/8/$L$1</f>
        <v>0</v>
      </c>
      <c r="V241" s="452"/>
      <c r="W241" s="61" t="s">
        <v>46</v>
      </c>
      <c r="X241" s="62"/>
    </row>
    <row r="242" spans="1:24" ht="18.75" customHeight="1">
      <c r="A242" s="55" t="s">
        <v>167</v>
      </c>
      <c r="B242" s="52" t="s">
        <v>41</v>
      </c>
      <c r="C242" s="56"/>
      <c r="D242" s="57" t="s">
        <v>59</v>
      </c>
      <c r="E242" s="441" t="s">
        <v>73</v>
      </c>
      <c r="F242" s="441"/>
      <c r="G242" s="441"/>
      <c r="H242" s="52" t="s">
        <v>41</v>
      </c>
      <c r="I242" s="454"/>
      <c r="J242" s="454"/>
      <c r="K242" s="61" t="s">
        <v>46</v>
      </c>
      <c r="L242" s="62"/>
      <c r="M242" s="55" t="s">
        <v>167</v>
      </c>
      <c r="N242" s="52" t="s">
        <v>41</v>
      </c>
      <c r="O242" s="56"/>
      <c r="P242" s="57" t="s">
        <v>59</v>
      </c>
      <c r="Q242" s="441" t="s">
        <v>73</v>
      </c>
      <c r="R242" s="441"/>
      <c r="S242" s="441"/>
      <c r="T242" s="52" t="s">
        <v>41</v>
      </c>
      <c r="U242" s="454"/>
      <c r="V242" s="454"/>
      <c r="W242" s="61" t="s">
        <v>46</v>
      </c>
      <c r="X242" s="62"/>
    </row>
    <row r="243" spans="1:24" ht="18.75" customHeight="1">
      <c r="A243" s="55" t="s">
        <v>69</v>
      </c>
      <c r="B243" s="52" t="s">
        <v>41</v>
      </c>
      <c r="C243" s="56"/>
      <c r="D243" s="57" t="s">
        <v>70</v>
      </c>
      <c r="E243" s="53" t="s">
        <v>71</v>
      </c>
      <c r="F243" s="53"/>
      <c r="G243" s="53"/>
      <c r="H243" s="52" t="s">
        <v>41</v>
      </c>
      <c r="I243" s="452"/>
      <c r="J243" s="452"/>
      <c r="K243" s="61" t="s">
        <v>46</v>
      </c>
      <c r="L243" s="62">
        <f>+IF(L234-I234&lt;0,0,L234-I234)+IF(L238-I238&lt;0,0,L238-I238)</f>
        <v>0</v>
      </c>
      <c r="M243" s="55" t="s">
        <v>69</v>
      </c>
      <c r="N243" s="52" t="s">
        <v>41</v>
      </c>
      <c r="O243" s="56"/>
      <c r="P243" s="57" t="s">
        <v>70</v>
      </c>
      <c r="Q243" s="53" t="s">
        <v>71</v>
      </c>
      <c r="R243" s="53"/>
      <c r="S243" s="53"/>
      <c r="T243" s="52" t="s">
        <v>41</v>
      </c>
      <c r="U243" s="452"/>
      <c r="V243" s="452"/>
      <c r="W243" s="61" t="s">
        <v>46</v>
      </c>
      <c r="X243" s="62">
        <f>+IF(X234-U234&lt;0,0,X234-U234)+IF(X238-U238&lt;0,0,X238-U238)</f>
        <v>0</v>
      </c>
    </row>
    <row r="244" spans="1:24" ht="18.75" customHeight="1">
      <c r="A244" s="65" t="s">
        <v>164</v>
      </c>
      <c r="B244" s="66"/>
      <c r="C244" s="56"/>
      <c r="D244" s="57" t="s">
        <v>50</v>
      </c>
      <c r="E244" s="441" t="s">
        <v>165</v>
      </c>
      <c r="F244" s="441"/>
      <c r="G244" s="441"/>
      <c r="H244" s="52" t="s">
        <v>41</v>
      </c>
      <c r="I244" s="452"/>
      <c r="J244" s="452"/>
      <c r="K244" s="61" t="s">
        <v>46</v>
      </c>
      <c r="L244" s="62"/>
      <c r="M244" s="65" t="s">
        <v>164</v>
      </c>
      <c r="N244" s="66"/>
      <c r="O244" s="56"/>
      <c r="P244" s="57" t="s">
        <v>50</v>
      </c>
      <c r="Q244" s="441" t="s">
        <v>165</v>
      </c>
      <c r="R244" s="441"/>
      <c r="S244" s="441"/>
      <c r="T244" s="52" t="s">
        <v>41</v>
      </c>
      <c r="U244" s="452"/>
      <c r="V244" s="452"/>
      <c r="W244" s="61" t="s">
        <v>46</v>
      </c>
      <c r="X244" s="62"/>
    </row>
    <row r="245" spans="1:24" ht="18.75" customHeight="1">
      <c r="A245" s="460" t="s">
        <v>166</v>
      </c>
      <c r="B245" s="461"/>
      <c r="C245" s="56"/>
      <c r="D245" s="57"/>
      <c r="E245" s="58"/>
      <c r="F245" s="58"/>
      <c r="G245" s="58"/>
      <c r="H245" s="52" t="s">
        <v>41</v>
      </c>
      <c r="I245" s="452">
        <f>'LƯƠNG Tx'!P33</f>
        <v>0</v>
      </c>
      <c r="J245" s="452"/>
      <c r="K245" s="61" t="s">
        <v>46</v>
      </c>
      <c r="L245" s="62"/>
      <c r="M245" s="460" t="s">
        <v>166</v>
      </c>
      <c r="N245" s="461"/>
      <c r="O245" s="56"/>
      <c r="P245" s="57"/>
      <c r="Q245" s="58"/>
      <c r="R245" s="58"/>
      <c r="S245" s="58"/>
      <c r="T245" s="52" t="s">
        <v>41</v>
      </c>
      <c r="U245" s="452">
        <f>'LƯƠNG Tx'!P35</f>
        <v>0</v>
      </c>
      <c r="V245" s="452"/>
      <c r="W245" s="61" t="s">
        <v>46</v>
      </c>
      <c r="X245" s="62"/>
    </row>
    <row r="246" spans="1:24" ht="18.75" customHeight="1">
      <c r="A246" s="55" t="s">
        <v>75</v>
      </c>
      <c r="B246" s="52" t="s">
        <v>41</v>
      </c>
      <c r="C246" s="56"/>
      <c r="D246" s="57"/>
      <c r="E246" s="58" t="s">
        <v>76</v>
      </c>
      <c r="F246" s="58"/>
      <c r="G246" s="58"/>
      <c r="H246" s="52" t="s">
        <v>41</v>
      </c>
      <c r="I246" s="452">
        <f>L243</f>
        <v>0</v>
      </c>
      <c r="J246" s="452"/>
      <c r="K246" s="61" t="s">
        <v>46</v>
      </c>
      <c r="L246" s="62"/>
      <c r="M246" s="55" t="s">
        <v>75</v>
      </c>
      <c r="N246" s="52" t="s">
        <v>41</v>
      </c>
      <c r="O246" s="56"/>
      <c r="P246" s="57"/>
      <c r="Q246" s="58" t="s">
        <v>76</v>
      </c>
      <c r="R246" s="58"/>
      <c r="S246" s="58"/>
      <c r="T246" s="52" t="s">
        <v>41</v>
      </c>
      <c r="U246" s="452">
        <f>X243</f>
        <v>0</v>
      </c>
      <c r="V246" s="452"/>
      <c r="W246" s="61" t="s">
        <v>46</v>
      </c>
      <c r="X246" s="62"/>
    </row>
    <row r="247" spans="1:24" ht="18.75" customHeight="1">
      <c r="A247" s="456" t="s">
        <v>77</v>
      </c>
      <c r="B247" s="457"/>
      <c r="C247" s="457"/>
      <c r="D247" s="457"/>
      <c r="E247" s="457"/>
      <c r="F247" s="457"/>
      <c r="G247" s="52" t="s">
        <v>41</v>
      </c>
      <c r="H247" s="458">
        <f>I234+I235+I236+I237+I238+I241+I245+I246+I239+I240+I242+I243+I244+C245</f>
        <v>0</v>
      </c>
      <c r="I247" s="459"/>
      <c r="J247" s="459"/>
      <c r="K247" s="61" t="s">
        <v>46</v>
      </c>
      <c r="M247" s="456" t="s">
        <v>77</v>
      </c>
      <c r="N247" s="457"/>
      <c r="O247" s="457"/>
      <c r="P247" s="457"/>
      <c r="Q247" s="457"/>
      <c r="R247" s="457"/>
      <c r="S247" s="52" t="s">
        <v>41</v>
      </c>
      <c r="T247" s="458">
        <f>U234+U235+U236+U237+U238+U241+U245+U246+U239+U240+U242+U243+U244+O245</f>
        <v>0</v>
      </c>
      <c r="U247" s="459"/>
      <c r="V247" s="459"/>
      <c r="W247" s="61" t="s">
        <v>46</v>
      </c>
    </row>
    <row r="248" spans="1:24" ht="18.75" customHeight="1">
      <c r="A248" s="67"/>
      <c r="B248" s="68"/>
      <c r="C248" s="68"/>
      <c r="D248" s="68"/>
      <c r="E248" s="68"/>
      <c r="F248" s="68"/>
      <c r="G248" s="68"/>
      <c r="H248" s="68"/>
      <c r="I248" s="68"/>
      <c r="J248" s="68"/>
      <c r="K248" s="69"/>
      <c r="M248" s="67"/>
      <c r="N248" s="68"/>
      <c r="O248" s="68"/>
      <c r="P248" s="68"/>
      <c r="Q248" s="68"/>
      <c r="R248" s="68"/>
      <c r="S248" s="68"/>
      <c r="T248" s="68"/>
      <c r="U248" s="68"/>
      <c r="V248" s="68"/>
      <c r="W248" s="69"/>
    </row>
    <row r="249" spans="1:24" ht="18.75" customHeight="1">
      <c r="A249" s="468" t="s">
        <v>78</v>
      </c>
      <c r="B249" s="469"/>
      <c r="C249" s="469"/>
      <c r="D249" s="469"/>
      <c r="E249" s="469"/>
      <c r="F249" s="469"/>
      <c r="G249" s="52"/>
      <c r="H249" s="52"/>
      <c r="I249" s="52"/>
      <c r="J249" s="52"/>
      <c r="K249" s="61"/>
      <c r="M249" s="468" t="s">
        <v>78</v>
      </c>
      <c r="N249" s="469"/>
      <c r="O249" s="469"/>
      <c r="P249" s="469"/>
      <c r="Q249" s="469"/>
      <c r="R249" s="469"/>
      <c r="S249" s="52"/>
      <c r="T249" s="52"/>
      <c r="U249" s="52"/>
      <c r="V249" s="52"/>
      <c r="W249" s="61"/>
    </row>
    <row r="250" spans="1:24" ht="18.75" customHeight="1">
      <c r="A250" s="462" t="s">
        <v>79</v>
      </c>
      <c r="B250" s="463"/>
      <c r="C250" s="463"/>
      <c r="D250" s="463"/>
      <c r="E250" s="463"/>
      <c r="F250" s="463"/>
      <c r="G250" s="52" t="s">
        <v>41</v>
      </c>
      <c r="H250" s="470">
        <f>IF(($L$1-(C234+C235+C236+C237))&gt;12,0,F231*8%)</f>
        <v>0</v>
      </c>
      <c r="I250" s="470"/>
      <c r="J250" s="470"/>
      <c r="K250" s="61" t="s">
        <v>46</v>
      </c>
      <c r="M250" s="462" t="s">
        <v>79</v>
      </c>
      <c r="N250" s="463"/>
      <c r="O250" s="463"/>
      <c r="P250" s="463"/>
      <c r="Q250" s="463"/>
      <c r="R250" s="463"/>
      <c r="S250" s="52" t="s">
        <v>41</v>
      </c>
      <c r="T250" s="470">
        <f>IF(($L$1-(O234+O235+O236+O237))&gt;12,0,R231*8%)</f>
        <v>0</v>
      </c>
      <c r="U250" s="470"/>
      <c r="V250" s="470"/>
      <c r="W250" s="61" t="s">
        <v>46</v>
      </c>
    </row>
    <row r="251" spans="1:24" ht="18.75" customHeight="1">
      <c r="A251" s="462" t="s">
        <v>80</v>
      </c>
      <c r="B251" s="463"/>
      <c r="C251" s="463"/>
      <c r="D251" s="463"/>
      <c r="E251" s="463"/>
      <c r="F251" s="463"/>
      <c r="G251" s="52" t="s">
        <v>41</v>
      </c>
      <c r="H251" s="464">
        <f>IF(($L$1-(C234+C235+C236+C237))&gt;12,0,F231*1.5%)</f>
        <v>0</v>
      </c>
      <c r="I251" s="464"/>
      <c r="J251" s="464"/>
      <c r="K251" s="61" t="s">
        <v>46</v>
      </c>
      <c r="M251" s="462" t="s">
        <v>80</v>
      </c>
      <c r="N251" s="463"/>
      <c r="O251" s="463"/>
      <c r="P251" s="463"/>
      <c r="Q251" s="463"/>
      <c r="R251" s="463"/>
      <c r="S251" s="52" t="s">
        <v>41</v>
      </c>
      <c r="T251" s="464">
        <f>IF(($L$1-(O234+O235+O236+O237))&gt;12,0,R231*1.5%)</f>
        <v>0</v>
      </c>
      <c r="U251" s="464"/>
      <c r="V251" s="464"/>
      <c r="W251" s="61" t="s">
        <v>46</v>
      </c>
    </row>
    <row r="252" spans="1:24" ht="18.75" customHeight="1">
      <c r="A252" s="462" t="s">
        <v>81</v>
      </c>
      <c r="B252" s="463"/>
      <c r="C252" s="463"/>
      <c r="D252" s="463"/>
      <c r="E252" s="463"/>
      <c r="F252" s="463"/>
      <c r="G252" s="52" t="s">
        <v>41</v>
      </c>
      <c r="H252" s="464">
        <f>IF(($L$1-(C234+C235+C236+C237))&gt;12,0,F231*1%)</f>
        <v>0</v>
      </c>
      <c r="I252" s="464"/>
      <c r="J252" s="464"/>
      <c r="K252" s="61" t="s">
        <v>46</v>
      </c>
      <c r="M252" s="462" t="s">
        <v>81</v>
      </c>
      <c r="N252" s="463"/>
      <c r="O252" s="463"/>
      <c r="P252" s="463"/>
      <c r="Q252" s="463"/>
      <c r="R252" s="463"/>
      <c r="S252" s="52" t="s">
        <v>41</v>
      </c>
      <c r="T252" s="464">
        <f>IF(($L$1-(O234+O235+O236+O237))&gt;12,0,R231*1%)</f>
        <v>0</v>
      </c>
      <c r="U252" s="464"/>
      <c r="V252" s="464"/>
      <c r="W252" s="61" t="s">
        <v>46</v>
      </c>
    </row>
    <row r="253" spans="1:24" ht="18.75" customHeight="1">
      <c r="A253" s="462" t="s">
        <v>82</v>
      </c>
      <c r="B253" s="463"/>
      <c r="C253" s="463"/>
      <c r="D253" s="463"/>
      <c r="E253" s="463"/>
      <c r="F253" s="463"/>
      <c r="G253" s="52" t="s">
        <v>41</v>
      </c>
      <c r="H253" s="464">
        <v>0</v>
      </c>
      <c r="I253" s="464"/>
      <c r="J253" s="464"/>
      <c r="K253" s="61" t="s">
        <v>46</v>
      </c>
      <c r="M253" s="462" t="s">
        <v>82</v>
      </c>
      <c r="N253" s="463"/>
      <c r="O253" s="463"/>
      <c r="P253" s="463"/>
      <c r="Q253" s="463"/>
      <c r="R253" s="463"/>
      <c r="S253" s="52" t="s">
        <v>41</v>
      </c>
      <c r="T253" s="464">
        <v>0</v>
      </c>
      <c r="U253" s="464"/>
      <c r="V253" s="464"/>
      <c r="W253" s="61" t="s">
        <v>46</v>
      </c>
    </row>
    <row r="254" spans="1:24" ht="18.75" customHeight="1">
      <c r="A254" s="465" t="s">
        <v>83</v>
      </c>
      <c r="B254" s="466"/>
      <c r="C254" s="466"/>
      <c r="D254" s="466"/>
      <c r="E254" s="466"/>
      <c r="F254" s="466"/>
      <c r="G254" s="52" t="s">
        <v>41</v>
      </c>
      <c r="H254" s="467">
        <f>SUM(H250:J253)</f>
        <v>0</v>
      </c>
      <c r="I254" s="467"/>
      <c r="J254" s="467"/>
      <c r="K254" s="61" t="s">
        <v>46</v>
      </c>
      <c r="M254" s="465" t="s">
        <v>83</v>
      </c>
      <c r="N254" s="466"/>
      <c r="O254" s="466"/>
      <c r="P254" s="466"/>
      <c r="Q254" s="466"/>
      <c r="R254" s="466"/>
      <c r="S254" s="52" t="s">
        <v>41</v>
      </c>
      <c r="T254" s="467">
        <f>SUM(T250:V253)</f>
        <v>0</v>
      </c>
      <c r="U254" s="467"/>
      <c r="V254" s="467"/>
      <c r="W254" s="61" t="s">
        <v>46</v>
      </c>
    </row>
    <row r="255" spans="1:24" ht="18.75" customHeight="1">
      <c r="A255" s="462" t="s">
        <v>84</v>
      </c>
      <c r="B255" s="463"/>
      <c r="C255" s="463"/>
      <c r="D255" s="463"/>
      <c r="E255" s="463"/>
      <c r="F255" s="463"/>
      <c r="G255" s="52" t="s">
        <v>41</v>
      </c>
      <c r="H255" s="475">
        <f>ROUND(H247-H254,-2)</f>
        <v>0</v>
      </c>
      <c r="I255" s="475"/>
      <c r="J255" s="475"/>
      <c r="K255" s="61" t="s">
        <v>46</v>
      </c>
      <c r="M255" s="462" t="s">
        <v>84</v>
      </c>
      <c r="N255" s="463"/>
      <c r="O255" s="463"/>
      <c r="P255" s="463"/>
      <c r="Q255" s="463"/>
      <c r="R255" s="463"/>
      <c r="S255" s="52" t="s">
        <v>41</v>
      </c>
      <c r="T255" s="475">
        <f>ROUND(T247-T254,-2)</f>
        <v>0</v>
      </c>
      <c r="U255" s="475"/>
      <c r="V255" s="475"/>
      <c r="W255" s="61" t="s">
        <v>46</v>
      </c>
    </row>
    <row r="256" spans="1:24" ht="18.75" customHeight="1">
      <c r="A256" s="70"/>
      <c r="B256" s="71"/>
      <c r="C256" s="71"/>
      <c r="D256" s="71"/>
      <c r="E256" s="71"/>
      <c r="F256" s="71"/>
      <c r="G256" s="71"/>
      <c r="H256" s="71"/>
      <c r="I256" s="71"/>
      <c r="J256" s="71"/>
      <c r="K256" s="72"/>
      <c r="M256" s="70"/>
      <c r="N256" s="71"/>
      <c r="O256" s="71"/>
      <c r="P256" s="71"/>
      <c r="Q256" s="71"/>
      <c r="R256" s="71"/>
      <c r="S256" s="71"/>
      <c r="T256" s="71"/>
      <c r="U256" s="71"/>
      <c r="V256" s="71"/>
      <c r="W256" s="72"/>
    </row>
    <row r="257" spans="1:24" ht="18.75" customHeight="1">
      <c r="A257" s="73"/>
      <c r="B257" s="52"/>
      <c r="C257" s="52"/>
      <c r="D257" s="52"/>
      <c r="E257" s="52"/>
      <c r="F257" s="52"/>
      <c r="G257" s="52"/>
      <c r="H257" s="52"/>
      <c r="I257" s="472" t="s">
        <v>85</v>
      </c>
      <c r="J257" s="472"/>
      <c r="K257" s="476"/>
      <c r="M257" s="73"/>
      <c r="N257" s="52"/>
      <c r="O257" s="52"/>
      <c r="P257" s="52"/>
      <c r="Q257" s="52"/>
      <c r="R257" s="52"/>
      <c r="S257" s="52"/>
      <c r="T257" s="52"/>
      <c r="U257" s="472" t="s">
        <v>85</v>
      </c>
      <c r="V257" s="472"/>
      <c r="W257" s="476"/>
    </row>
    <row r="258" spans="1:24" ht="18.75" customHeight="1">
      <c r="A258" s="73"/>
      <c r="B258" s="471"/>
      <c r="C258" s="472"/>
      <c r="D258" s="472"/>
      <c r="E258" s="472"/>
      <c r="F258" s="52"/>
      <c r="G258" s="52"/>
      <c r="H258" s="52"/>
      <c r="I258" s="52"/>
      <c r="J258" s="52"/>
      <c r="K258" s="54"/>
      <c r="M258" s="73"/>
      <c r="N258" s="471"/>
      <c r="O258" s="472"/>
      <c r="P258" s="472"/>
      <c r="Q258" s="472"/>
      <c r="R258" s="52"/>
      <c r="S258" s="52"/>
      <c r="T258" s="52"/>
      <c r="U258" s="52"/>
      <c r="V258" s="52"/>
      <c r="W258" s="54"/>
    </row>
    <row r="259" spans="1:24" ht="18.75" customHeight="1" thickBot="1">
      <c r="A259" s="75"/>
      <c r="B259" s="76"/>
      <c r="C259" s="76"/>
      <c r="D259" s="76"/>
      <c r="E259" s="76"/>
      <c r="F259" s="76"/>
      <c r="G259" s="76"/>
      <c r="H259" s="76"/>
      <c r="I259" s="473" t="s">
        <v>86</v>
      </c>
      <c r="J259" s="473"/>
      <c r="K259" s="474"/>
      <c r="M259" s="75"/>
      <c r="N259" s="76"/>
      <c r="O259" s="76"/>
      <c r="P259" s="76"/>
      <c r="Q259" s="76"/>
      <c r="R259" s="76"/>
      <c r="S259" s="76"/>
      <c r="T259" s="76"/>
      <c r="U259" s="473" t="s">
        <v>86</v>
      </c>
      <c r="V259" s="473"/>
      <c r="W259" s="474"/>
    </row>
    <row r="260" spans="1:24" ht="18.75" customHeight="1" thickTop="1" thickBot="1"/>
    <row r="261" spans="1:24" ht="18.75" customHeight="1" thickTop="1">
      <c r="A261" s="445" t="s">
        <v>172</v>
      </c>
      <c r="B261" s="446"/>
      <c r="C261" s="446"/>
      <c r="D261" s="446"/>
      <c r="E261" s="446"/>
      <c r="F261" s="446"/>
      <c r="G261" s="446"/>
      <c r="H261" s="446"/>
      <c r="I261" s="446"/>
      <c r="J261" s="446"/>
      <c r="K261" s="447"/>
      <c r="L261" s="48">
        <v>26</v>
      </c>
      <c r="M261" s="445" t="s">
        <v>172</v>
      </c>
      <c r="N261" s="446"/>
      <c r="O261" s="446"/>
      <c r="P261" s="446"/>
      <c r="Q261" s="446"/>
      <c r="R261" s="446"/>
      <c r="S261" s="446"/>
      <c r="T261" s="446"/>
      <c r="U261" s="446"/>
      <c r="V261" s="446"/>
      <c r="W261" s="447"/>
      <c r="X261" s="48">
        <v>26</v>
      </c>
    </row>
    <row r="262" spans="1:24" ht="18.75" customHeight="1">
      <c r="A262" s="49" t="s">
        <v>101</v>
      </c>
      <c r="B262" s="50"/>
      <c r="C262" s="50"/>
      <c r="D262" s="50"/>
      <c r="E262" s="50"/>
      <c r="F262" s="50"/>
      <c r="G262" s="50"/>
      <c r="H262" s="50"/>
      <c r="I262" s="50"/>
      <c r="J262" s="50"/>
      <c r="K262" s="51"/>
      <c r="M262" s="49" t="s">
        <v>102</v>
      </c>
      <c r="N262" s="50"/>
      <c r="O262" s="50"/>
      <c r="P262" s="50"/>
      <c r="Q262" s="50"/>
      <c r="R262" s="50"/>
      <c r="S262" s="50"/>
      <c r="T262" s="50"/>
      <c r="U262" s="50"/>
      <c r="V262" s="50"/>
      <c r="W262" s="51"/>
    </row>
    <row r="263" spans="1:24" ht="18.75" customHeight="1">
      <c r="A263" s="448" t="s">
        <v>39</v>
      </c>
      <c r="B263" s="449"/>
      <c r="C263" s="449"/>
      <c r="D263" s="449"/>
      <c r="E263" s="449"/>
      <c r="F263" s="449"/>
      <c r="G263" s="449"/>
      <c r="H263" s="449"/>
      <c r="I263" s="449"/>
      <c r="J263" s="449"/>
      <c r="K263" s="450"/>
      <c r="M263" s="448" t="s">
        <v>39</v>
      </c>
      <c r="N263" s="449"/>
      <c r="O263" s="449"/>
      <c r="P263" s="449"/>
      <c r="Q263" s="449"/>
      <c r="R263" s="449"/>
      <c r="S263" s="449"/>
      <c r="T263" s="449"/>
      <c r="U263" s="449"/>
      <c r="V263" s="449"/>
      <c r="W263" s="450"/>
    </row>
    <row r="264" spans="1:24" ht="18.75" customHeight="1">
      <c r="A264" s="440" t="s">
        <v>40</v>
      </c>
      <c r="B264" s="441"/>
      <c r="C264" s="441"/>
      <c r="D264" s="441"/>
      <c r="E264" s="52" t="s">
        <v>41</v>
      </c>
      <c r="F264" s="442">
        <f>'Bang TH nop'!B37</f>
        <v>0</v>
      </c>
      <c r="G264" s="441"/>
      <c r="H264" s="441"/>
      <c r="I264" s="441"/>
      <c r="J264" s="441"/>
      <c r="K264" s="444"/>
      <c r="M264" s="440" t="s">
        <v>40</v>
      </c>
      <c r="N264" s="441"/>
      <c r="O264" s="441"/>
      <c r="P264" s="441"/>
      <c r="Q264" s="52" t="s">
        <v>41</v>
      </c>
      <c r="R264" s="442">
        <f>'Bang TH nop'!B39</f>
        <v>0</v>
      </c>
      <c r="S264" s="441"/>
      <c r="T264" s="441"/>
      <c r="U264" s="441"/>
      <c r="V264" s="441"/>
      <c r="W264" s="444"/>
    </row>
    <row r="265" spans="1:24" ht="18.75" customHeight="1">
      <c r="A265" s="440" t="s">
        <v>42</v>
      </c>
      <c r="B265" s="441"/>
      <c r="C265" s="441"/>
      <c r="D265" s="441"/>
      <c r="E265" s="52" t="s">
        <v>41</v>
      </c>
      <c r="F265" s="442">
        <f>'Bang TH nop'!C37</f>
        <v>0</v>
      </c>
      <c r="G265" s="442"/>
      <c r="H265" s="442"/>
      <c r="I265" s="442"/>
      <c r="J265" s="442"/>
      <c r="K265" s="443"/>
      <c r="M265" s="440" t="s">
        <v>42</v>
      </c>
      <c r="N265" s="441"/>
      <c r="O265" s="441"/>
      <c r="P265" s="441"/>
      <c r="Q265" s="52" t="s">
        <v>41</v>
      </c>
      <c r="R265" s="442">
        <f>'Bang TH nop'!C39</f>
        <v>0</v>
      </c>
      <c r="S265" s="442"/>
      <c r="T265" s="442"/>
      <c r="U265" s="442"/>
      <c r="V265" s="442"/>
      <c r="W265" s="443"/>
    </row>
    <row r="266" spans="1:24" ht="18.75" customHeight="1">
      <c r="A266" s="440" t="s">
        <v>43</v>
      </c>
      <c r="B266" s="441"/>
      <c r="C266" s="441"/>
      <c r="D266" s="441"/>
      <c r="E266" s="52" t="s">
        <v>41</v>
      </c>
      <c r="F266" s="441" t="str">
        <f>+$L$2</f>
        <v xml:space="preserve">Tổ  </v>
      </c>
      <c r="G266" s="441"/>
      <c r="H266" s="441"/>
      <c r="I266" s="441"/>
      <c r="J266" s="441"/>
      <c r="K266" s="444"/>
      <c r="M266" s="440" t="s">
        <v>43</v>
      </c>
      <c r="N266" s="441"/>
      <c r="O266" s="441"/>
      <c r="P266" s="441"/>
      <c r="Q266" s="52" t="s">
        <v>41</v>
      </c>
      <c r="R266" s="441" t="str">
        <f>+$L$2</f>
        <v xml:space="preserve">Tổ  </v>
      </c>
      <c r="S266" s="441"/>
      <c r="T266" s="441"/>
      <c r="U266" s="441"/>
      <c r="V266" s="441"/>
      <c r="W266" s="444"/>
    </row>
    <row r="267" spans="1:24" ht="18.75" customHeight="1">
      <c r="A267" s="448" t="s">
        <v>44</v>
      </c>
      <c r="B267" s="449"/>
      <c r="C267" s="449"/>
      <c r="D267" s="449"/>
      <c r="E267" s="449"/>
      <c r="F267" s="449"/>
      <c r="G267" s="449"/>
      <c r="H267" s="449"/>
      <c r="I267" s="449"/>
      <c r="J267" s="449"/>
      <c r="K267" s="450"/>
      <c r="M267" s="448" t="s">
        <v>44</v>
      </c>
      <c r="N267" s="449"/>
      <c r="O267" s="449"/>
      <c r="P267" s="449"/>
      <c r="Q267" s="449"/>
      <c r="R267" s="449"/>
      <c r="S267" s="449"/>
      <c r="T267" s="449"/>
      <c r="U267" s="449"/>
      <c r="V267" s="449"/>
      <c r="W267" s="450"/>
    </row>
    <row r="268" spans="1:24" ht="18.75" customHeight="1">
      <c r="A268" s="440" t="s">
        <v>45</v>
      </c>
      <c r="B268" s="441"/>
      <c r="C268" s="441"/>
      <c r="D268" s="441"/>
      <c r="E268" s="52" t="s">
        <v>41</v>
      </c>
      <c r="F268" s="455">
        <f>VLOOKUP(F265,'Bang TH nop'!$C$9:$AP$266,29,0)</f>
        <v>0</v>
      </c>
      <c r="G268" s="455"/>
      <c r="H268" s="455"/>
      <c r="I268" s="455"/>
      <c r="J268" s="52" t="s">
        <v>46</v>
      </c>
      <c r="K268" s="54"/>
      <c r="M268" s="440" t="s">
        <v>45</v>
      </c>
      <c r="N268" s="441"/>
      <c r="O268" s="441"/>
      <c r="P268" s="441"/>
      <c r="Q268" s="52" t="s">
        <v>41</v>
      </c>
      <c r="R268" s="455">
        <f>VLOOKUP(R265,'Bang TH nop'!$C$9:$AP$266,29,0)</f>
        <v>0</v>
      </c>
      <c r="S268" s="455"/>
      <c r="T268" s="455"/>
      <c r="U268" s="455"/>
      <c r="V268" s="52" t="s">
        <v>46</v>
      </c>
      <c r="W268" s="54"/>
    </row>
    <row r="269" spans="1:24" ht="18.75" customHeight="1">
      <c r="A269" s="55" t="s">
        <v>47</v>
      </c>
      <c r="B269" s="52"/>
      <c r="C269" s="56"/>
      <c r="D269" s="57"/>
      <c r="E269" s="58"/>
      <c r="F269" s="58"/>
      <c r="G269" s="58"/>
      <c r="H269" s="52"/>
      <c r="I269" s="59">
        <f>'LƯƠNG Tx'!F37</f>
        <v>0</v>
      </c>
      <c r="J269" s="60"/>
      <c r="K269" s="61"/>
      <c r="M269" s="55" t="s">
        <v>47</v>
      </c>
      <c r="N269" s="52"/>
      <c r="O269" s="56"/>
      <c r="P269" s="57"/>
      <c r="Q269" s="58"/>
      <c r="R269" s="58"/>
      <c r="S269" s="58"/>
      <c r="T269" s="52"/>
      <c r="U269" s="59">
        <f>'LƯƠNG Tx'!F39</f>
        <v>0</v>
      </c>
      <c r="V269" s="60"/>
      <c r="W269" s="61"/>
    </row>
    <row r="270" spans="1:24" ht="18.75" customHeight="1">
      <c r="A270" s="55" t="s">
        <v>48</v>
      </c>
      <c r="B270" s="52"/>
      <c r="C270" s="56"/>
      <c r="D270" s="57"/>
      <c r="E270" s="58"/>
      <c r="F270" s="58"/>
      <c r="G270" s="58"/>
      <c r="H270" s="52"/>
      <c r="I270" s="59" t="e">
        <f>I271/C271/8</f>
        <v>#DIV/0!</v>
      </c>
      <c r="J270" s="60"/>
      <c r="K270" s="61"/>
      <c r="M270" s="55" t="s">
        <v>48</v>
      </c>
      <c r="N270" s="52"/>
      <c r="O270" s="56"/>
      <c r="P270" s="57"/>
      <c r="Q270" s="58"/>
      <c r="R270" s="58"/>
      <c r="S270" s="58"/>
      <c r="T270" s="52"/>
      <c r="U270" s="59" t="e">
        <f>U271/O271/8</f>
        <v>#DIV/0!</v>
      </c>
      <c r="V270" s="60"/>
      <c r="W270" s="61"/>
    </row>
    <row r="271" spans="1:24" ht="18.75" customHeight="1">
      <c r="A271" s="55" t="s">
        <v>49</v>
      </c>
      <c r="B271" s="52" t="s">
        <v>41</v>
      </c>
      <c r="C271" s="56">
        <f>'LƯƠNG Tx'!I36</f>
        <v>0</v>
      </c>
      <c r="D271" s="57" t="s">
        <v>50</v>
      </c>
      <c r="E271" s="453" t="s">
        <v>51</v>
      </c>
      <c r="F271" s="453"/>
      <c r="G271" s="453"/>
      <c r="H271" s="52" t="s">
        <v>41</v>
      </c>
      <c r="I271" s="454">
        <f>'LƯƠNG Tx'!I37</f>
        <v>0</v>
      </c>
      <c r="J271" s="454"/>
      <c r="K271" s="61" t="s">
        <v>46</v>
      </c>
      <c r="L271" s="62">
        <f>F268/L261*C271</f>
        <v>0</v>
      </c>
      <c r="M271" s="55" t="s">
        <v>49</v>
      </c>
      <c r="N271" s="52" t="s">
        <v>41</v>
      </c>
      <c r="O271" s="56">
        <f>'LƯƠNG Tx'!I38</f>
        <v>0</v>
      </c>
      <c r="P271" s="57" t="s">
        <v>50</v>
      </c>
      <c r="Q271" s="453" t="s">
        <v>51</v>
      </c>
      <c r="R271" s="453"/>
      <c r="S271" s="453"/>
      <c r="T271" s="52" t="s">
        <v>41</v>
      </c>
      <c r="U271" s="454">
        <f>'LƯƠNG Tx'!I39</f>
        <v>0</v>
      </c>
      <c r="V271" s="454"/>
      <c r="W271" s="61" t="s">
        <v>46</v>
      </c>
      <c r="X271" s="62">
        <f>R268/X261*O271</f>
        <v>0</v>
      </c>
    </row>
    <row r="272" spans="1:24" ht="18.75" customHeight="1">
      <c r="A272" s="55" t="s">
        <v>52</v>
      </c>
      <c r="B272" s="52" t="s">
        <v>41</v>
      </c>
      <c r="C272" s="56">
        <f>'LƯƠNG Tx'!J36</f>
        <v>0</v>
      </c>
      <c r="D272" s="57" t="s">
        <v>50</v>
      </c>
      <c r="E272" s="441" t="s">
        <v>53</v>
      </c>
      <c r="F272" s="441"/>
      <c r="G272" s="441"/>
      <c r="H272" s="52" t="s">
        <v>41</v>
      </c>
      <c r="I272" s="452">
        <f>$F$8/$L$1*C272</f>
        <v>0</v>
      </c>
      <c r="J272" s="452"/>
      <c r="K272" s="61" t="s">
        <v>46</v>
      </c>
      <c r="L272" s="62"/>
      <c r="M272" s="55" t="s">
        <v>52</v>
      </c>
      <c r="N272" s="52" t="s">
        <v>41</v>
      </c>
      <c r="O272" s="56">
        <f>'LƯƠNG Tx'!J38</f>
        <v>0</v>
      </c>
      <c r="P272" s="57" t="s">
        <v>50</v>
      </c>
      <c r="Q272" s="441" t="s">
        <v>53</v>
      </c>
      <c r="R272" s="441"/>
      <c r="S272" s="441"/>
      <c r="T272" s="52" t="s">
        <v>41</v>
      </c>
      <c r="U272" s="452">
        <f>$F$8/$L$1*O272</f>
        <v>0</v>
      </c>
      <c r="V272" s="452"/>
      <c r="W272" s="61" t="s">
        <v>46</v>
      </c>
      <c r="X272" s="62"/>
    </row>
    <row r="273" spans="1:24" ht="18.75" customHeight="1">
      <c r="A273" s="55" t="s">
        <v>54</v>
      </c>
      <c r="B273" s="52" t="s">
        <v>41</v>
      </c>
      <c r="C273" s="56">
        <f>'LƯƠNG Tx'!K36</f>
        <v>0</v>
      </c>
      <c r="D273" s="57" t="s">
        <v>50</v>
      </c>
      <c r="E273" s="451" t="s">
        <v>55</v>
      </c>
      <c r="F273" s="451"/>
      <c r="G273" s="451"/>
      <c r="H273" s="52" t="s">
        <v>41</v>
      </c>
      <c r="I273" s="452">
        <f>$F$8/$L$1*C273</f>
        <v>0</v>
      </c>
      <c r="J273" s="452"/>
      <c r="K273" s="61" t="s">
        <v>46</v>
      </c>
      <c r="L273" s="62"/>
      <c r="M273" s="55" t="s">
        <v>54</v>
      </c>
      <c r="N273" s="52" t="s">
        <v>41</v>
      </c>
      <c r="O273" s="56">
        <f>'LƯƠNG Tx'!K38</f>
        <v>0</v>
      </c>
      <c r="P273" s="57" t="s">
        <v>50</v>
      </c>
      <c r="Q273" s="451" t="s">
        <v>55</v>
      </c>
      <c r="R273" s="451"/>
      <c r="S273" s="451"/>
      <c r="T273" s="52" t="s">
        <v>41</v>
      </c>
      <c r="U273" s="452">
        <f>$F$8/$L$1*O273</f>
        <v>0</v>
      </c>
      <c r="V273" s="452"/>
      <c r="W273" s="61" t="s">
        <v>46</v>
      </c>
      <c r="X273" s="62"/>
    </row>
    <row r="274" spans="1:24" ht="18.75" customHeight="1">
      <c r="A274" s="55" t="s">
        <v>56</v>
      </c>
      <c r="B274" s="52" t="s">
        <v>41</v>
      </c>
      <c r="C274" s="56">
        <f>'LƯƠNG Tx'!L36</f>
        <v>0</v>
      </c>
      <c r="D274" s="57" t="s">
        <v>50</v>
      </c>
      <c r="E274" s="451" t="s">
        <v>57</v>
      </c>
      <c r="F274" s="451"/>
      <c r="G274" s="451"/>
      <c r="H274" s="52" t="s">
        <v>41</v>
      </c>
      <c r="I274" s="452">
        <f>$F$8/$L$1*C274</f>
        <v>0</v>
      </c>
      <c r="J274" s="452"/>
      <c r="K274" s="61" t="s">
        <v>46</v>
      </c>
      <c r="L274" s="62"/>
      <c r="M274" s="55" t="s">
        <v>56</v>
      </c>
      <c r="N274" s="52" t="s">
        <v>41</v>
      </c>
      <c r="O274" s="56">
        <f>'LƯƠNG Tx'!L38</f>
        <v>0</v>
      </c>
      <c r="P274" s="57" t="s">
        <v>50</v>
      </c>
      <c r="Q274" s="451" t="s">
        <v>57</v>
      </c>
      <c r="R274" s="451"/>
      <c r="S274" s="451"/>
      <c r="T274" s="52" t="s">
        <v>41</v>
      </c>
      <c r="U274" s="452">
        <f>$F$8/$L$1*O274</f>
        <v>0</v>
      </c>
      <c r="V274" s="452"/>
      <c r="W274" s="61" t="s">
        <v>46</v>
      </c>
      <c r="X274" s="62"/>
    </row>
    <row r="275" spans="1:24" ht="18.75" customHeight="1">
      <c r="A275" s="55" t="s">
        <v>58</v>
      </c>
      <c r="B275" s="52" t="s">
        <v>41</v>
      </c>
      <c r="C275" s="56">
        <f>'LƯƠNG Tx'!Q36</f>
        <v>0</v>
      </c>
      <c r="D275" s="57" t="s">
        <v>59</v>
      </c>
      <c r="E275" s="441" t="s">
        <v>60</v>
      </c>
      <c r="F275" s="441"/>
      <c r="G275" s="441"/>
      <c r="H275" s="52" t="s">
        <v>41</v>
      </c>
      <c r="I275" s="452">
        <f>'LƯƠNG Tx'!Q37</f>
        <v>0</v>
      </c>
      <c r="J275" s="452"/>
      <c r="K275" s="61" t="s">
        <v>46</v>
      </c>
      <c r="L275" s="62">
        <f>F268*C275/L261/8*1.5</f>
        <v>0</v>
      </c>
      <c r="M275" s="55" t="s">
        <v>58</v>
      </c>
      <c r="N275" s="52" t="s">
        <v>41</v>
      </c>
      <c r="O275" s="56">
        <f>'LƯƠNG Tx'!Q38</f>
        <v>0</v>
      </c>
      <c r="P275" s="57" t="s">
        <v>59</v>
      </c>
      <c r="Q275" s="441" t="s">
        <v>60</v>
      </c>
      <c r="R275" s="441"/>
      <c r="S275" s="441"/>
      <c r="T275" s="52" t="s">
        <v>41</v>
      </c>
      <c r="U275" s="452">
        <f>'LƯƠNG Tx'!Q39</f>
        <v>0</v>
      </c>
      <c r="V275" s="452"/>
      <c r="W275" s="61" t="s">
        <v>46</v>
      </c>
      <c r="X275" s="62">
        <f>R268*O275/X261/8*1.5</f>
        <v>0</v>
      </c>
    </row>
    <row r="276" spans="1:24" ht="18.75" customHeight="1">
      <c r="A276" s="440" t="s">
        <v>61</v>
      </c>
      <c r="B276" s="441"/>
      <c r="C276" s="56"/>
      <c r="D276" s="57" t="s">
        <v>50</v>
      </c>
      <c r="E276" s="441" t="s">
        <v>62</v>
      </c>
      <c r="F276" s="441"/>
      <c r="G276" s="441"/>
      <c r="H276" s="63" t="s">
        <v>41</v>
      </c>
      <c r="I276" s="452"/>
      <c r="J276" s="452"/>
      <c r="K276" s="61" t="s">
        <v>46</v>
      </c>
      <c r="L276" s="62"/>
      <c r="M276" s="440" t="s">
        <v>61</v>
      </c>
      <c r="N276" s="441"/>
      <c r="O276" s="56"/>
      <c r="P276" s="57" t="s">
        <v>50</v>
      </c>
      <c r="Q276" s="441" t="s">
        <v>62</v>
      </c>
      <c r="R276" s="441"/>
      <c r="S276" s="441"/>
      <c r="T276" s="63" t="s">
        <v>41</v>
      </c>
      <c r="U276" s="452"/>
      <c r="V276" s="452"/>
      <c r="W276" s="61" t="s">
        <v>46</v>
      </c>
      <c r="X276" s="62"/>
    </row>
    <row r="277" spans="1:24" ht="18.75" customHeight="1">
      <c r="A277" s="55" t="s">
        <v>63</v>
      </c>
      <c r="B277" s="52" t="s">
        <v>41</v>
      </c>
      <c r="C277" s="56"/>
      <c r="D277" s="57" t="s">
        <v>50</v>
      </c>
      <c r="E277" s="441" t="s">
        <v>64</v>
      </c>
      <c r="F277" s="441"/>
      <c r="G277" s="441"/>
      <c r="H277" s="52" t="s">
        <v>41</v>
      </c>
      <c r="I277" s="452"/>
      <c r="J277" s="452"/>
      <c r="K277" s="61" t="s">
        <v>46</v>
      </c>
      <c r="L277" s="62"/>
      <c r="M277" s="55" t="s">
        <v>63</v>
      </c>
      <c r="N277" s="52" t="s">
        <v>41</v>
      </c>
      <c r="O277" s="56"/>
      <c r="P277" s="57" t="s">
        <v>50</v>
      </c>
      <c r="Q277" s="441" t="s">
        <v>64</v>
      </c>
      <c r="R277" s="441"/>
      <c r="S277" s="441"/>
      <c r="T277" s="52" t="s">
        <v>41</v>
      </c>
      <c r="U277" s="452"/>
      <c r="V277" s="452"/>
      <c r="W277" s="61" t="s">
        <v>46</v>
      </c>
      <c r="X277" s="62"/>
    </row>
    <row r="278" spans="1:24" ht="18.75" customHeight="1">
      <c r="A278" s="64" t="s">
        <v>65</v>
      </c>
      <c r="B278" s="52"/>
      <c r="C278" s="56">
        <f>'LƯƠNG Tx'!M36</f>
        <v>0</v>
      </c>
      <c r="D278" s="57" t="s">
        <v>59</v>
      </c>
      <c r="E278" s="441" t="s">
        <v>66</v>
      </c>
      <c r="F278" s="441"/>
      <c r="G278" s="441"/>
      <c r="H278" s="52" t="s">
        <v>41</v>
      </c>
      <c r="I278" s="452">
        <f>$F$8*C278/8/$L$1</f>
        <v>0</v>
      </c>
      <c r="J278" s="452"/>
      <c r="K278" s="61" t="s">
        <v>46</v>
      </c>
      <c r="L278" s="62"/>
      <c r="M278" s="64" t="s">
        <v>65</v>
      </c>
      <c r="N278" s="52"/>
      <c r="O278" s="56">
        <f>'LƯƠNG Tx'!M38</f>
        <v>0</v>
      </c>
      <c r="P278" s="57" t="s">
        <v>59</v>
      </c>
      <c r="Q278" s="441" t="s">
        <v>66</v>
      </c>
      <c r="R278" s="441"/>
      <c r="S278" s="441"/>
      <c r="T278" s="52" t="s">
        <v>41</v>
      </c>
      <c r="U278" s="452">
        <f>$F$8*O278/8/$L$1</f>
        <v>0</v>
      </c>
      <c r="V278" s="452"/>
      <c r="W278" s="61" t="s">
        <v>46</v>
      </c>
      <c r="X278" s="62"/>
    </row>
    <row r="279" spans="1:24" ht="18.75" customHeight="1">
      <c r="A279" s="55" t="s">
        <v>167</v>
      </c>
      <c r="B279" s="52" t="s">
        <v>41</v>
      </c>
      <c r="C279" s="56"/>
      <c r="D279" s="57" t="s">
        <v>59</v>
      </c>
      <c r="E279" s="441" t="s">
        <v>73</v>
      </c>
      <c r="F279" s="441"/>
      <c r="G279" s="441"/>
      <c r="H279" s="52" t="s">
        <v>41</v>
      </c>
      <c r="I279" s="454"/>
      <c r="J279" s="454"/>
      <c r="K279" s="61" t="s">
        <v>46</v>
      </c>
      <c r="L279" s="62"/>
      <c r="M279" s="55" t="s">
        <v>167</v>
      </c>
      <c r="N279" s="52" t="s">
        <v>41</v>
      </c>
      <c r="O279" s="56"/>
      <c r="P279" s="57" t="s">
        <v>59</v>
      </c>
      <c r="Q279" s="441" t="s">
        <v>73</v>
      </c>
      <c r="R279" s="441"/>
      <c r="S279" s="441"/>
      <c r="T279" s="52" t="s">
        <v>41</v>
      </c>
      <c r="U279" s="454"/>
      <c r="V279" s="454"/>
      <c r="W279" s="61" t="s">
        <v>46</v>
      </c>
      <c r="X279" s="62"/>
    </row>
    <row r="280" spans="1:24" ht="18.75" customHeight="1">
      <c r="A280" s="55" t="s">
        <v>69</v>
      </c>
      <c r="B280" s="52" t="s">
        <v>41</v>
      </c>
      <c r="C280" s="56"/>
      <c r="D280" s="57" t="s">
        <v>70</v>
      </c>
      <c r="E280" s="53" t="s">
        <v>71</v>
      </c>
      <c r="F280" s="53"/>
      <c r="G280" s="53"/>
      <c r="H280" s="52" t="s">
        <v>41</v>
      </c>
      <c r="I280" s="452"/>
      <c r="J280" s="452"/>
      <c r="K280" s="61" t="s">
        <v>46</v>
      </c>
      <c r="L280" s="62">
        <f>+IF(L271-I271&lt;0,0,L271-I271)+IF(L275-I275&lt;0,0,L275-I275)</f>
        <v>0</v>
      </c>
      <c r="M280" s="65" t="s">
        <v>164</v>
      </c>
      <c r="N280" s="66"/>
      <c r="O280" s="56"/>
      <c r="P280" s="57" t="s">
        <v>50</v>
      </c>
      <c r="Q280" s="441" t="s">
        <v>165</v>
      </c>
      <c r="R280" s="441"/>
      <c r="S280" s="441"/>
      <c r="T280" s="52" t="s">
        <v>41</v>
      </c>
      <c r="U280" s="452"/>
      <c r="V280" s="452"/>
      <c r="W280" s="61" t="s">
        <v>46</v>
      </c>
      <c r="X280" s="62">
        <f>+IF(X271-U271&lt;0,0,X271-U271)+IF(X275-U275&lt;0,0,X275-U275)</f>
        <v>0</v>
      </c>
    </row>
    <row r="281" spans="1:24" ht="18.75" customHeight="1">
      <c r="A281" s="65" t="s">
        <v>164</v>
      </c>
      <c r="B281" s="66"/>
      <c r="C281" s="56"/>
      <c r="D281" s="57" t="s">
        <v>50</v>
      </c>
      <c r="E281" s="441" t="s">
        <v>165</v>
      </c>
      <c r="F281" s="441"/>
      <c r="G281" s="441"/>
      <c r="H281" s="52" t="s">
        <v>41</v>
      </c>
      <c r="I281" s="452"/>
      <c r="J281" s="452"/>
      <c r="K281" s="61" t="s">
        <v>46</v>
      </c>
      <c r="L281" s="62"/>
      <c r="M281" s="460" t="s">
        <v>166</v>
      </c>
      <c r="N281" s="461"/>
      <c r="O281" s="56"/>
      <c r="P281" s="57"/>
      <c r="Q281" s="58"/>
      <c r="R281" s="58"/>
      <c r="S281" s="58"/>
      <c r="T281" s="52" t="s">
        <v>41</v>
      </c>
      <c r="U281" s="452"/>
      <c r="V281" s="452"/>
      <c r="W281" s="61" t="s">
        <v>46</v>
      </c>
      <c r="X281" s="62"/>
    </row>
    <row r="282" spans="1:24" ht="18.75" customHeight="1">
      <c r="A282" s="460" t="s">
        <v>166</v>
      </c>
      <c r="B282" s="461"/>
      <c r="C282" s="56"/>
      <c r="D282" s="57"/>
      <c r="E282" s="58"/>
      <c r="F282" s="58"/>
      <c r="G282" s="58"/>
      <c r="H282" s="52" t="s">
        <v>41</v>
      </c>
      <c r="I282" s="452">
        <f>'LƯƠNG Tx'!P37</f>
        <v>0</v>
      </c>
      <c r="J282" s="452"/>
      <c r="K282" s="61" t="s">
        <v>46</v>
      </c>
      <c r="L282" s="62"/>
      <c r="M282" s="477" t="s">
        <v>74</v>
      </c>
      <c r="N282" s="453"/>
      <c r="O282" s="56"/>
      <c r="P282" s="57"/>
      <c r="Q282" s="58"/>
      <c r="R282" s="58"/>
      <c r="S282" s="58"/>
      <c r="T282" s="52" t="s">
        <v>41</v>
      </c>
      <c r="U282" s="452">
        <f>'LƯƠNG Tx'!P39</f>
        <v>0</v>
      </c>
      <c r="V282" s="452"/>
      <c r="W282" s="61" t="s">
        <v>46</v>
      </c>
      <c r="X282" s="62"/>
    </row>
    <row r="283" spans="1:24" ht="18.75" customHeight="1">
      <c r="A283" s="55" t="s">
        <v>75</v>
      </c>
      <c r="B283" s="52" t="s">
        <v>41</v>
      </c>
      <c r="C283" s="56"/>
      <c r="D283" s="57"/>
      <c r="E283" s="58" t="s">
        <v>76</v>
      </c>
      <c r="F283" s="58"/>
      <c r="G283" s="58"/>
      <c r="H283" s="52" t="s">
        <v>41</v>
      </c>
      <c r="I283" s="452">
        <f>L280</f>
        <v>0</v>
      </c>
      <c r="J283" s="452"/>
      <c r="K283" s="61" t="s">
        <v>46</v>
      </c>
      <c r="L283" s="62"/>
      <c r="M283" s="55" t="s">
        <v>75</v>
      </c>
      <c r="N283" s="52" t="s">
        <v>41</v>
      </c>
      <c r="O283" s="56"/>
      <c r="P283" s="57"/>
      <c r="Q283" s="58" t="s">
        <v>76</v>
      </c>
      <c r="R283" s="58"/>
      <c r="S283" s="58"/>
      <c r="T283" s="52" t="s">
        <v>41</v>
      </c>
      <c r="U283" s="452">
        <f>X280</f>
        <v>0</v>
      </c>
      <c r="V283" s="452"/>
      <c r="W283" s="61" t="s">
        <v>46</v>
      </c>
      <c r="X283" s="62"/>
    </row>
    <row r="284" spans="1:24" ht="18.75" customHeight="1">
      <c r="A284" s="456" t="s">
        <v>77</v>
      </c>
      <c r="B284" s="457"/>
      <c r="C284" s="457"/>
      <c r="D284" s="457"/>
      <c r="E284" s="457"/>
      <c r="F284" s="457"/>
      <c r="G284" s="52" t="s">
        <v>41</v>
      </c>
      <c r="H284" s="458">
        <f>I271+I272+I273+I274+I275+I278+I282+I283+I276+I277+I279+I280+I281+C282</f>
        <v>0</v>
      </c>
      <c r="I284" s="459"/>
      <c r="J284" s="459"/>
      <c r="K284" s="61" t="s">
        <v>46</v>
      </c>
      <c r="M284" s="456" t="s">
        <v>77</v>
      </c>
      <c r="N284" s="457"/>
      <c r="O284" s="457"/>
      <c r="P284" s="457"/>
      <c r="Q284" s="457"/>
      <c r="R284" s="457"/>
      <c r="S284" s="52" t="s">
        <v>41</v>
      </c>
      <c r="T284" s="458">
        <f>U271+U272+U273+U274+U275+U278+U282+U283+U276+U277+U279+U280+U281+O282</f>
        <v>0</v>
      </c>
      <c r="U284" s="459"/>
      <c r="V284" s="459"/>
      <c r="W284" s="61" t="s">
        <v>46</v>
      </c>
    </row>
    <row r="285" spans="1:24" ht="18.75" customHeight="1">
      <c r="A285" s="67"/>
      <c r="B285" s="68"/>
      <c r="C285" s="68"/>
      <c r="D285" s="68"/>
      <c r="E285" s="68"/>
      <c r="F285" s="68"/>
      <c r="G285" s="68"/>
      <c r="H285" s="68"/>
      <c r="I285" s="68"/>
      <c r="J285" s="68"/>
      <c r="K285" s="69"/>
      <c r="M285" s="67"/>
      <c r="N285" s="68"/>
      <c r="O285" s="68"/>
      <c r="P285" s="68"/>
      <c r="Q285" s="68"/>
      <c r="R285" s="68"/>
      <c r="S285" s="68"/>
      <c r="T285" s="68"/>
      <c r="U285" s="68"/>
      <c r="V285" s="68"/>
      <c r="W285" s="69"/>
    </row>
    <row r="286" spans="1:24" ht="18.75" customHeight="1">
      <c r="A286" s="468" t="s">
        <v>78</v>
      </c>
      <c r="B286" s="469"/>
      <c r="C286" s="469"/>
      <c r="D286" s="469"/>
      <c r="E286" s="469"/>
      <c r="F286" s="469"/>
      <c r="G286" s="52"/>
      <c r="H286" s="52"/>
      <c r="I286" s="52"/>
      <c r="J286" s="52"/>
      <c r="K286" s="61"/>
      <c r="M286" s="468" t="s">
        <v>78</v>
      </c>
      <c r="N286" s="469"/>
      <c r="O286" s="469"/>
      <c r="P286" s="469"/>
      <c r="Q286" s="469"/>
      <c r="R286" s="469"/>
      <c r="S286" s="52"/>
      <c r="T286" s="52"/>
      <c r="U286" s="52"/>
      <c r="V286" s="52"/>
      <c r="W286" s="61"/>
    </row>
    <row r="287" spans="1:24" ht="18.75" customHeight="1">
      <c r="A287" s="462" t="s">
        <v>79</v>
      </c>
      <c r="B287" s="463"/>
      <c r="C287" s="463"/>
      <c r="D287" s="463"/>
      <c r="E287" s="463"/>
      <c r="F287" s="463"/>
      <c r="G287" s="52" t="s">
        <v>41</v>
      </c>
      <c r="H287" s="470">
        <f>IF(($L$1-(C271+C272+C273+C274))&gt;12,0,F268*8%)</f>
        <v>0</v>
      </c>
      <c r="I287" s="470"/>
      <c r="J287" s="470"/>
      <c r="K287" s="61" t="s">
        <v>46</v>
      </c>
      <c r="M287" s="462" t="s">
        <v>79</v>
      </c>
      <c r="N287" s="463"/>
      <c r="O287" s="463"/>
      <c r="P287" s="463"/>
      <c r="Q287" s="463"/>
      <c r="R287" s="463"/>
      <c r="S287" s="52" t="s">
        <v>41</v>
      </c>
      <c r="T287" s="470">
        <f>IF(($L$1-(O271+O272+O273+O274))&gt;12,0,R268*8%)</f>
        <v>0</v>
      </c>
      <c r="U287" s="470"/>
      <c r="V287" s="470"/>
      <c r="W287" s="61" t="s">
        <v>46</v>
      </c>
    </row>
    <row r="288" spans="1:24" ht="18.75" customHeight="1">
      <c r="A288" s="462" t="s">
        <v>80</v>
      </c>
      <c r="B288" s="463"/>
      <c r="C288" s="463"/>
      <c r="D288" s="463"/>
      <c r="E288" s="463"/>
      <c r="F288" s="463"/>
      <c r="G288" s="52" t="s">
        <v>41</v>
      </c>
      <c r="H288" s="464">
        <f>IF(($L$1-(C271+C272+C273+C274))&gt;12,0,F268*1.5%)</f>
        <v>0</v>
      </c>
      <c r="I288" s="464"/>
      <c r="J288" s="464"/>
      <c r="K288" s="61" t="s">
        <v>46</v>
      </c>
      <c r="M288" s="462" t="s">
        <v>80</v>
      </c>
      <c r="N288" s="463"/>
      <c r="O288" s="463"/>
      <c r="P288" s="463"/>
      <c r="Q288" s="463"/>
      <c r="R288" s="463"/>
      <c r="S288" s="52" t="s">
        <v>41</v>
      </c>
      <c r="T288" s="464">
        <f>IF(($L$1-(O271+O272+O273+O274))&gt;12,0,R268*1.5%)</f>
        <v>0</v>
      </c>
      <c r="U288" s="464"/>
      <c r="V288" s="464"/>
      <c r="W288" s="61" t="s">
        <v>46</v>
      </c>
    </row>
    <row r="289" spans="1:24" ht="18.75" customHeight="1">
      <c r="A289" s="462" t="s">
        <v>81</v>
      </c>
      <c r="B289" s="463"/>
      <c r="C289" s="463"/>
      <c r="D289" s="463"/>
      <c r="E289" s="463"/>
      <c r="F289" s="463"/>
      <c r="G289" s="52" t="s">
        <v>41</v>
      </c>
      <c r="H289" s="464">
        <f>IF(($L$1-(C271+C272+C273+C274))&gt;12,0,F268*1%)</f>
        <v>0</v>
      </c>
      <c r="I289" s="464"/>
      <c r="J289" s="464"/>
      <c r="K289" s="61" t="s">
        <v>46</v>
      </c>
      <c r="M289" s="462" t="s">
        <v>81</v>
      </c>
      <c r="N289" s="463"/>
      <c r="O289" s="463"/>
      <c r="P289" s="463"/>
      <c r="Q289" s="463"/>
      <c r="R289" s="463"/>
      <c r="S289" s="52" t="s">
        <v>41</v>
      </c>
      <c r="T289" s="464">
        <f>IF(($L$1-(O271+O272+O273+O274))&gt;12,0,R268*1%)</f>
        <v>0</v>
      </c>
      <c r="U289" s="464"/>
      <c r="V289" s="464"/>
      <c r="W289" s="61" t="s">
        <v>46</v>
      </c>
    </row>
    <row r="290" spans="1:24" ht="18.75" customHeight="1">
      <c r="A290" s="462" t="s">
        <v>82</v>
      </c>
      <c r="B290" s="463"/>
      <c r="C290" s="463"/>
      <c r="D290" s="463"/>
      <c r="E290" s="463"/>
      <c r="F290" s="463"/>
      <c r="G290" s="52" t="s">
        <v>41</v>
      </c>
      <c r="H290" s="464">
        <v>0</v>
      </c>
      <c r="I290" s="464"/>
      <c r="J290" s="464"/>
      <c r="K290" s="61" t="s">
        <v>46</v>
      </c>
      <c r="M290" s="462" t="s">
        <v>82</v>
      </c>
      <c r="N290" s="463"/>
      <c r="O290" s="463"/>
      <c r="P290" s="463"/>
      <c r="Q290" s="463"/>
      <c r="R290" s="463"/>
      <c r="S290" s="52" t="s">
        <v>41</v>
      </c>
      <c r="T290" s="464">
        <v>0</v>
      </c>
      <c r="U290" s="464"/>
      <c r="V290" s="464"/>
      <c r="W290" s="61" t="s">
        <v>46</v>
      </c>
    </row>
    <row r="291" spans="1:24" ht="18.75" customHeight="1">
      <c r="A291" s="465" t="s">
        <v>83</v>
      </c>
      <c r="B291" s="466"/>
      <c r="C291" s="466"/>
      <c r="D291" s="466"/>
      <c r="E291" s="466"/>
      <c r="F291" s="466"/>
      <c r="G291" s="52" t="s">
        <v>41</v>
      </c>
      <c r="H291" s="467">
        <f>SUM(H287:J290)</f>
        <v>0</v>
      </c>
      <c r="I291" s="467"/>
      <c r="J291" s="467"/>
      <c r="K291" s="61" t="s">
        <v>46</v>
      </c>
      <c r="M291" s="465" t="s">
        <v>83</v>
      </c>
      <c r="N291" s="466"/>
      <c r="O291" s="466"/>
      <c r="P291" s="466"/>
      <c r="Q291" s="466"/>
      <c r="R291" s="466"/>
      <c r="S291" s="52" t="s">
        <v>41</v>
      </c>
      <c r="T291" s="467">
        <f>SUM(T287:V290)</f>
        <v>0</v>
      </c>
      <c r="U291" s="467"/>
      <c r="V291" s="467"/>
      <c r="W291" s="61" t="s">
        <v>46</v>
      </c>
    </row>
    <row r="292" spans="1:24" ht="18.75" customHeight="1">
      <c r="A292" s="462" t="s">
        <v>84</v>
      </c>
      <c r="B292" s="463"/>
      <c r="C292" s="463"/>
      <c r="D292" s="463"/>
      <c r="E292" s="463"/>
      <c r="F292" s="463"/>
      <c r="G292" s="52" t="s">
        <v>41</v>
      </c>
      <c r="H292" s="475">
        <f>ROUND(H284-H291,-2)</f>
        <v>0</v>
      </c>
      <c r="I292" s="475"/>
      <c r="J292" s="475"/>
      <c r="K292" s="61" t="s">
        <v>46</v>
      </c>
      <c r="M292" s="462" t="s">
        <v>84</v>
      </c>
      <c r="N292" s="463"/>
      <c r="O292" s="463"/>
      <c r="P292" s="463"/>
      <c r="Q292" s="463"/>
      <c r="R292" s="463"/>
      <c r="S292" s="52" t="s">
        <v>41</v>
      </c>
      <c r="T292" s="475">
        <f>ROUND(T284-T291,-2)</f>
        <v>0</v>
      </c>
      <c r="U292" s="475"/>
      <c r="V292" s="475"/>
      <c r="W292" s="61" t="s">
        <v>46</v>
      </c>
    </row>
    <row r="293" spans="1:24" ht="18.75" customHeight="1">
      <c r="A293" s="70"/>
      <c r="B293" s="71"/>
      <c r="C293" s="71"/>
      <c r="D293" s="71"/>
      <c r="E293" s="71"/>
      <c r="F293" s="71"/>
      <c r="G293" s="71"/>
      <c r="H293" s="71"/>
      <c r="I293" s="71"/>
      <c r="J293" s="71"/>
      <c r="K293" s="72"/>
      <c r="M293" s="70"/>
      <c r="N293" s="71"/>
      <c r="O293" s="71"/>
      <c r="P293" s="71"/>
      <c r="Q293" s="71"/>
      <c r="R293" s="71"/>
      <c r="S293" s="71"/>
      <c r="T293" s="71"/>
      <c r="U293" s="71"/>
      <c r="V293" s="71"/>
      <c r="W293" s="72"/>
    </row>
    <row r="294" spans="1:24" ht="18.75" customHeight="1">
      <c r="A294" s="73"/>
      <c r="B294" s="52"/>
      <c r="C294" s="52"/>
      <c r="D294" s="52"/>
      <c r="E294" s="52"/>
      <c r="F294" s="52"/>
      <c r="G294" s="52"/>
      <c r="H294" s="52"/>
      <c r="I294" s="472" t="s">
        <v>85</v>
      </c>
      <c r="J294" s="472"/>
      <c r="K294" s="476"/>
      <c r="M294" s="73"/>
      <c r="N294" s="52"/>
      <c r="O294" s="52"/>
      <c r="P294" s="52"/>
      <c r="Q294" s="52"/>
      <c r="R294" s="52"/>
      <c r="S294" s="52"/>
      <c r="T294" s="52"/>
      <c r="U294" s="472" t="s">
        <v>85</v>
      </c>
      <c r="V294" s="472"/>
      <c r="W294" s="476"/>
    </row>
    <row r="295" spans="1:24" ht="18.75" customHeight="1">
      <c r="A295" s="73"/>
      <c r="B295" s="471"/>
      <c r="C295" s="472"/>
      <c r="D295" s="472"/>
      <c r="E295" s="472"/>
      <c r="F295" s="52"/>
      <c r="G295" s="52"/>
      <c r="H295" s="52"/>
      <c r="I295" s="52"/>
      <c r="J295" s="52"/>
      <c r="K295" s="54"/>
      <c r="M295" s="73"/>
      <c r="N295" s="471"/>
      <c r="O295" s="472"/>
      <c r="P295" s="472"/>
      <c r="Q295" s="472"/>
      <c r="R295" s="52"/>
      <c r="S295" s="52"/>
      <c r="T295" s="52"/>
      <c r="U295" s="52"/>
      <c r="V295" s="52"/>
      <c r="W295" s="54"/>
    </row>
    <row r="296" spans="1:24" ht="18.75" customHeight="1" thickBot="1">
      <c r="A296" s="75"/>
      <c r="B296" s="76"/>
      <c r="C296" s="76"/>
      <c r="D296" s="76"/>
      <c r="E296" s="76"/>
      <c r="F296" s="76"/>
      <c r="G296" s="76"/>
      <c r="H296" s="76"/>
      <c r="I296" s="473" t="s">
        <v>86</v>
      </c>
      <c r="J296" s="473"/>
      <c r="K296" s="474"/>
      <c r="M296" s="75"/>
      <c r="N296" s="76"/>
      <c r="O296" s="76"/>
      <c r="P296" s="76"/>
      <c r="Q296" s="76"/>
      <c r="R296" s="76"/>
      <c r="S296" s="76"/>
      <c r="T296" s="76"/>
      <c r="U296" s="473" t="s">
        <v>86</v>
      </c>
      <c r="V296" s="473"/>
      <c r="W296" s="474"/>
    </row>
    <row r="297" spans="1:24" ht="18.75" customHeight="1" thickTop="1" thickBot="1"/>
    <row r="298" spans="1:24" ht="18.75" customHeight="1" thickTop="1">
      <c r="A298" s="445" t="s">
        <v>172</v>
      </c>
      <c r="B298" s="446"/>
      <c r="C298" s="446"/>
      <c r="D298" s="446"/>
      <c r="E298" s="446"/>
      <c r="F298" s="446"/>
      <c r="G298" s="446"/>
      <c r="H298" s="446"/>
      <c r="I298" s="446"/>
      <c r="J298" s="446"/>
      <c r="K298" s="447"/>
      <c r="L298" s="48">
        <v>26</v>
      </c>
      <c r="M298" s="445" t="s">
        <v>172</v>
      </c>
      <c r="N298" s="446"/>
      <c r="O298" s="446"/>
      <c r="P298" s="446"/>
      <c r="Q298" s="446"/>
      <c r="R298" s="446"/>
      <c r="S298" s="446"/>
      <c r="T298" s="446"/>
      <c r="U298" s="446"/>
      <c r="V298" s="446"/>
      <c r="W298" s="447"/>
      <c r="X298" s="48">
        <v>26</v>
      </c>
    </row>
    <row r="299" spans="1:24" ht="18.75" customHeight="1">
      <c r="A299" s="49" t="s">
        <v>103</v>
      </c>
      <c r="B299" s="50"/>
      <c r="C299" s="50"/>
      <c r="D299" s="50"/>
      <c r="E299" s="50"/>
      <c r="F299" s="50"/>
      <c r="G299" s="50"/>
      <c r="H299" s="50"/>
      <c r="I299" s="50"/>
      <c r="J299" s="50"/>
      <c r="K299" s="51"/>
      <c r="M299" s="49" t="s">
        <v>104</v>
      </c>
      <c r="N299" s="50"/>
      <c r="O299" s="50"/>
      <c r="P299" s="50"/>
      <c r="Q299" s="50"/>
      <c r="R299" s="50"/>
      <c r="S299" s="50"/>
      <c r="T299" s="50"/>
      <c r="U299" s="50"/>
      <c r="V299" s="50"/>
      <c r="W299" s="51"/>
    </row>
    <row r="300" spans="1:24" ht="18.75" customHeight="1">
      <c r="A300" s="448" t="s">
        <v>39</v>
      </c>
      <c r="B300" s="449"/>
      <c r="C300" s="449"/>
      <c r="D300" s="449"/>
      <c r="E300" s="449"/>
      <c r="F300" s="449"/>
      <c r="G300" s="449"/>
      <c r="H300" s="449"/>
      <c r="I300" s="449"/>
      <c r="J300" s="449"/>
      <c r="K300" s="450"/>
      <c r="M300" s="448" t="s">
        <v>39</v>
      </c>
      <c r="N300" s="449"/>
      <c r="O300" s="449"/>
      <c r="P300" s="449"/>
      <c r="Q300" s="449"/>
      <c r="R300" s="449"/>
      <c r="S300" s="449"/>
      <c r="T300" s="449"/>
      <c r="U300" s="449"/>
      <c r="V300" s="449"/>
      <c r="W300" s="450"/>
    </row>
    <row r="301" spans="1:24" ht="18.75" customHeight="1">
      <c r="A301" s="440" t="s">
        <v>40</v>
      </c>
      <c r="B301" s="441"/>
      <c r="C301" s="441"/>
      <c r="D301" s="441"/>
      <c r="E301" s="52" t="s">
        <v>41</v>
      </c>
      <c r="F301" s="442">
        <f>'Bang TH nop'!B41</f>
        <v>0</v>
      </c>
      <c r="G301" s="441"/>
      <c r="H301" s="441"/>
      <c r="I301" s="441"/>
      <c r="J301" s="441"/>
      <c r="K301" s="444"/>
      <c r="M301" s="440" t="s">
        <v>40</v>
      </c>
      <c r="N301" s="441"/>
      <c r="O301" s="441"/>
      <c r="P301" s="441"/>
      <c r="Q301" s="52" t="s">
        <v>41</v>
      </c>
      <c r="R301" s="442">
        <f>'Bang TH nop'!B43</f>
        <v>0</v>
      </c>
      <c r="S301" s="441"/>
      <c r="T301" s="441"/>
      <c r="U301" s="441"/>
      <c r="V301" s="441"/>
      <c r="W301" s="444"/>
    </row>
    <row r="302" spans="1:24" ht="18.75" customHeight="1">
      <c r="A302" s="440" t="s">
        <v>42</v>
      </c>
      <c r="B302" s="441"/>
      <c r="C302" s="441"/>
      <c r="D302" s="441"/>
      <c r="E302" s="52" t="s">
        <v>41</v>
      </c>
      <c r="F302" s="442">
        <f>'Bang TH nop'!C41</f>
        <v>0</v>
      </c>
      <c r="G302" s="442"/>
      <c r="H302" s="442"/>
      <c r="I302" s="442"/>
      <c r="J302" s="442"/>
      <c r="K302" s="443"/>
      <c r="M302" s="440" t="s">
        <v>42</v>
      </c>
      <c r="N302" s="441"/>
      <c r="O302" s="441"/>
      <c r="P302" s="441"/>
      <c r="Q302" s="52" t="s">
        <v>41</v>
      </c>
      <c r="R302" s="442">
        <f>'Bang TH nop'!C43</f>
        <v>0</v>
      </c>
      <c r="S302" s="442"/>
      <c r="T302" s="442"/>
      <c r="U302" s="442"/>
      <c r="V302" s="442"/>
      <c r="W302" s="443"/>
    </row>
    <row r="303" spans="1:24" ht="18.75" customHeight="1">
      <c r="A303" s="440" t="s">
        <v>43</v>
      </c>
      <c r="B303" s="441"/>
      <c r="C303" s="441"/>
      <c r="D303" s="441"/>
      <c r="E303" s="52" t="s">
        <v>41</v>
      </c>
      <c r="F303" s="441" t="str">
        <f>+$L$2</f>
        <v xml:space="preserve">Tổ  </v>
      </c>
      <c r="G303" s="441"/>
      <c r="H303" s="441"/>
      <c r="I303" s="441"/>
      <c r="J303" s="441"/>
      <c r="K303" s="444"/>
      <c r="M303" s="440" t="s">
        <v>43</v>
      </c>
      <c r="N303" s="441"/>
      <c r="O303" s="441"/>
      <c r="P303" s="441"/>
      <c r="Q303" s="52" t="s">
        <v>41</v>
      </c>
      <c r="R303" s="441" t="str">
        <f>+$L$2</f>
        <v xml:space="preserve">Tổ  </v>
      </c>
      <c r="S303" s="441"/>
      <c r="T303" s="441"/>
      <c r="U303" s="441"/>
      <c r="V303" s="441"/>
      <c r="W303" s="444"/>
    </row>
    <row r="304" spans="1:24" ht="18.75" customHeight="1">
      <c r="A304" s="448" t="s">
        <v>44</v>
      </c>
      <c r="B304" s="449"/>
      <c r="C304" s="449"/>
      <c r="D304" s="449"/>
      <c r="E304" s="449"/>
      <c r="F304" s="449"/>
      <c r="G304" s="449"/>
      <c r="H304" s="449"/>
      <c r="I304" s="449"/>
      <c r="J304" s="449"/>
      <c r="K304" s="450"/>
      <c r="M304" s="448" t="s">
        <v>44</v>
      </c>
      <c r="N304" s="449"/>
      <c r="O304" s="449"/>
      <c r="P304" s="449"/>
      <c r="Q304" s="449"/>
      <c r="R304" s="449"/>
      <c r="S304" s="449"/>
      <c r="T304" s="449"/>
      <c r="U304" s="449"/>
      <c r="V304" s="449"/>
      <c r="W304" s="450"/>
    </row>
    <row r="305" spans="1:24" ht="18.75" customHeight="1">
      <c r="A305" s="440" t="s">
        <v>45</v>
      </c>
      <c r="B305" s="441"/>
      <c r="C305" s="441"/>
      <c r="D305" s="441"/>
      <c r="E305" s="52" t="s">
        <v>41</v>
      </c>
      <c r="F305" s="455">
        <f>VLOOKUP(F302,'Bang TH nop'!$C$9:$AP$266,29,0)</f>
        <v>0</v>
      </c>
      <c r="G305" s="455"/>
      <c r="H305" s="455"/>
      <c r="I305" s="455"/>
      <c r="J305" s="52" t="s">
        <v>46</v>
      </c>
      <c r="K305" s="54"/>
      <c r="M305" s="440" t="s">
        <v>45</v>
      </c>
      <c r="N305" s="441"/>
      <c r="O305" s="441"/>
      <c r="P305" s="441"/>
      <c r="Q305" s="52" t="s">
        <v>41</v>
      </c>
      <c r="R305" s="455">
        <f>VLOOKUP(R302,'Bang TH nop'!$C$9:$AP$266,29,0)</f>
        <v>0</v>
      </c>
      <c r="S305" s="455"/>
      <c r="T305" s="455"/>
      <c r="U305" s="455"/>
      <c r="V305" s="52" t="s">
        <v>46</v>
      </c>
      <c r="W305" s="54"/>
    </row>
    <row r="306" spans="1:24" ht="18.75" customHeight="1">
      <c r="A306" s="55" t="s">
        <v>47</v>
      </c>
      <c r="B306" s="52"/>
      <c r="C306" s="56"/>
      <c r="D306" s="57"/>
      <c r="E306" s="58"/>
      <c r="F306" s="58"/>
      <c r="G306" s="58"/>
      <c r="H306" s="52"/>
      <c r="I306" s="59">
        <f>'LƯƠNG Tx'!F41</f>
        <v>0</v>
      </c>
      <c r="J306" s="60"/>
      <c r="K306" s="61"/>
      <c r="M306" s="55" t="s">
        <v>47</v>
      </c>
      <c r="N306" s="52"/>
      <c r="O306" s="56"/>
      <c r="P306" s="57"/>
      <c r="Q306" s="58"/>
      <c r="R306" s="58"/>
      <c r="S306" s="58"/>
      <c r="T306" s="52"/>
      <c r="U306" s="59">
        <f>'LƯƠNG Tx'!F43</f>
        <v>0</v>
      </c>
      <c r="V306" s="60"/>
      <c r="W306" s="61"/>
    </row>
    <row r="307" spans="1:24" ht="18.75" customHeight="1">
      <c r="A307" s="55" t="s">
        <v>48</v>
      </c>
      <c r="B307" s="52"/>
      <c r="C307" s="56"/>
      <c r="D307" s="57"/>
      <c r="E307" s="58"/>
      <c r="F307" s="58"/>
      <c r="G307" s="58"/>
      <c r="H307" s="52"/>
      <c r="I307" s="59" t="e">
        <f>I308/C308/8</f>
        <v>#DIV/0!</v>
      </c>
      <c r="J307" s="60"/>
      <c r="K307" s="61"/>
      <c r="M307" s="55" t="s">
        <v>48</v>
      </c>
      <c r="N307" s="52"/>
      <c r="O307" s="56"/>
      <c r="P307" s="57"/>
      <c r="Q307" s="58"/>
      <c r="R307" s="58"/>
      <c r="S307" s="58"/>
      <c r="T307" s="52"/>
      <c r="U307" s="59" t="e">
        <f>U308/O308/8</f>
        <v>#DIV/0!</v>
      </c>
      <c r="V307" s="60"/>
      <c r="W307" s="61"/>
    </row>
    <row r="308" spans="1:24" ht="18.75" customHeight="1">
      <c r="A308" s="55" t="s">
        <v>49</v>
      </c>
      <c r="B308" s="52" t="s">
        <v>41</v>
      </c>
      <c r="C308" s="56">
        <f>'LƯƠNG Tx'!I40</f>
        <v>0</v>
      </c>
      <c r="D308" s="57" t="s">
        <v>50</v>
      </c>
      <c r="E308" s="453" t="s">
        <v>51</v>
      </c>
      <c r="F308" s="453"/>
      <c r="G308" s="453"/>
      <c r="H308" s="52" t="s">
        <v>41</v>
      </c>
      <c r="I308" s="454">
        <f>'LƯƠNG Tx'!I41</f>
        <v>0</v>
      </c>
      <c r="J308" s="454"/>
      <c r="K308" s="61" t="s">
        <v>46</v>
      </c>
      <c r="L308" s="62">
        <f>F305/L298*C308</f>
        <v>0</v>
      </c>
      <c r="M308" s="55" t="s">
        <v>49</v>
      </c>
      <c r="N308" s="52" t="s">
        <v>41</v>
      </c>
      <c r="O308" s="56">
        <f>'LƯƠNG Tx'!I42</f>
        <v>0</v>
      </c>
      <c r="P308" s="57" t="s">
        <v>50</v>
      </c>
      <c r="Q308" s="453" t="s">
        <v>51</v>
      </c>
      <c r="R308" s="453"/>
      <c r="S308" s="453"/>
      <c r="T308" s="52" t="s">
        <v>41</v>
      </c>
      <c r="U308" s="454">
        <f>'LƯƠNG Tx'!I43</f>
        <v>0</v>
      </c>
      <c r="V308" s="454"/>
      <c r="W308" s="61" t="s">
        <v>46</v>
      </c>
      <c r="X308" s="62">
        <f>R305/X298*O308</f>
        <v>0</v>
      </c>
    </row>
    <row r="309" spans="1:24" ht="18.75" customHeight="1">
      <c r="A309" s="55" t="s">
        <v>52</v>
      </c>
      <c r="B309" s="52" t="s">
        <v>41</v>
      </c>
      <c r="C309" s="56">
        <f>'LƯƠNG Tx'!J40</f>
        <v>0</v>
      </c>
      <c r="D309" s="57" t="s">
        <v>50</v>
      </c>
      <c r="E309" s="441" t="s">
        <v>53</v>
      </c>
      <c r="F309" s="441"/>
      <c r="G309" s="441"/>
      <c r="H309" s="52" t="s">
        <v>41</v>
      </c>
      <c r="I309" s="452">
        <f>$F$8/$L$1*C309</f>
        <v>0</v>
      </c>
      <c r="J309" s="452"/>
      <c r="K309" s="61" t="s">
        <v>46</v>
      </c>
      <c r="L309" s="62"/>
      <c r="M309" s="55" t="s">
        <v>52</v>
      </c>
      <c r="N309" s="52" t="s">
        <v>41</v>
      </c>
      <c r="O309" s="56">
        <f>'LƯƠNG Tx'!J42</f>
        <v>0</v>
      </c>
      <c r="P309" s="57" t="s">
        <v>50</v>
      </c>
      <c r="Q309" s="441" t="s">
        <v>53</v>
      </c>
      <c r="R309" s="441"/>
      <c r="S309" s="441"/>
      <c r="T309" s="52" t="s">
        <v>41</v>
      </c>
      <c r="U309" s="452">
        <f>$F$8/$L$1*O309</f>
        <v>0</v>
      </c>
      <c r="V309" s="452"/>
      <c r="W309" s="61" t="s">
        <v>46</v>
      </c>
      <c r="X309" s="62"/>
    </row>
    <row r="310" spans="1:24" ht="18.75" customHeight="1">
      <c r="A310" s="55" t="s">
        <v>54</v>
      </c>
      <c r="B310" s="52" t="s">
        <v>41</v>
      </c>
      <c r="C310" s="56">
        <f>'LƯƠNG Tx'!K40</f>
        <v>0</v>
      </c>
      <c r="D310" s="57" t="s">
        <v>50</v>
      </c>
      <c r="E310" s="451" t="s">
        <v>55</v>
      </c>
      <c r="F310" s="451"/>
      <c r="G310" s="451"/>
      <c r="H310" s="52" t="s">
        <v>41</v>
      </c>
      <c r="I310" s="452">
        <f>$F$8/$L$1*C310</f>
        <v>0</v>
      </c>
      <c r="J310" s="452"/>
      <c r="K310" s="61" t="s">
        <v>46</v>
      </c>
      <c r="L310" s="62"/>
      <c r="M310" s="55" t="s">
        <v>54</v>
      </c>
      <c r="N310" s="52" t="s">
        <v>41</v>
      </c>
      <c r="O310" s="56">
        <f>'LƯƠNG Tx'!K42</f>
        <v>0</v>
      </c>
      <c r="P310" s="57" t="s">
        <v>50</v>
      </c>
      <c r="Q310" s="451" t="s">
        <v>55</v>
      </c>
      <c r="R310" s="451"/>
      <c r="S310" s="451"/>
      <c r="T310" s="52" t="s">
        <v>41</v>
      </c>
      <c r="U310" s="452">
        <f>$F$8/$L$1*O310</f>
        <v>0</v>
      </c>
      <c r="V310" s="452"/>
      <c r="W310" s="61" t="s">
        <v>46</v>
      </c>
      <c r="X310" s="62"/>
    </row>
    <row r="311" spans="1:24" ht="18.75" customHeight="1">
      <c r="A311" s="55" t="s">
        <v>56</v>
      </c>
      <c r="B311" s="52" t="s">
        <v>41</v>
      </c>
      <c r="C311" s="56">
        <f>'LƯƠNG Tx'!L40</f>
        <v>0</v>
      </c>
      <c r="D311" s="57" t="s">
        <v>50</v>
      </c>
      <c r="E311" s="451" t="s">
        <v>57</v>
      </c>
      <c r="F311" s="451"/>
      <c r="G311" s="451"/>
      <c r="H311" s="52" t="s">
        <v>41</v>
      </c>
      <c r="I311" s="452">
        <f>$F$8/$L$1*C311</f>
        <v>0</v>
      </c>
      <c r="J311" s="452"/>
      <c r="K311" s="61" t="s">
        <v>46</v>
      </c>
      <c r="L311" s="62"/>
      <c r="M311" s="55" t="s">
        <v>56</v>
      </c>
      <c r="N311" s="52" t="s">
        <v>41</v>
      </c>
      <c r="O311" s="56">
        <f>'LƯƠNG Tx'!L42</f>
        <v>0</v>
      </c>
      <c r="P311" s="57" t="s">
        <v>50</v>
      </c>
      <c r="Q311" s="451" t="s">
        <v>57</v>
      </c>
      <c r="R311" s="451"/>
      <c r="S311" s="451"/>
      <c r="T311" s="52" t="s">
        <v>41</v>
      </c>
      <c r="U311" s="452">
        <f>$F$8/$L$1*O311</f>
        <v>0</v>
      </c>
      <c r="V311" s="452"/>
      <c r="W311" s="61" t="s">
        <v>46</v>
      </c>
      <c r="X311" s="62"/>
    </row>
    <row r="312" spans="1:24" ht="18.75" customHeight="1">
      <c r="A312" s="55" t="s">
        <v>58</v>
      </c>
      <c r="B312" s="52" t="s">
        <v>41</v>
      </c>
      <c r="C312" s="56">
        <f>'LƯƠNG Tx'!Q40</f>
        <v>0</v>
      </c>
      <c r="D312" s="57" t="s">
        <v>59</v>
      </c>
      <c r="E312" s="441" t="s">
        <v>60</v>
      </c>
      <c r="F312" s="441"/>
      <c r="G312" s="441"/>
      <c r="H312" s="52" t="s">
        <v>41</v>
      </c>
      <c r="I312" s="452">
        <f>'LƯƠNG Tx'!Q41</f>
        <v>0</v>
      </c>
      <c r="J312" s="452"/>
      <c r="K312" s="61" t="s">
        <v>46</v>
      </c>
      <c r="L312" s="62">
        <f>F305*C312/L298/8*1.5</f>
        <v>0</v>
      </c>
      <c r="M312" s="55" t="s">
        <v>58</v>
      </c>
      <c r="N312" s="52" t="s">
        <v>41</v>
      </c>
      <c r="O312" s="56">
        <f>'LƯƠNG Tx'!Q42</f>
        <v>0</v>
      </c>
      <c r="P312" s="57" t="s">
        <v>59</v>
      </c>
      <c r="Q312" s="441" t="s">
        <v>60</v>
      </c>
      <c r="R312" s="441"/>
      <c r="S312" s="441"/>
      <c r="T312" s="52" t="s">
        <v>41</v>
      </c>
      <c r="U312" s="452">
        <f>'LƯƠNG Tx'!Q43</f>
        <v>0</v>
      </c>
      <c r="V312" s="452"/>
      <c r="W312" s="61" t="s">
        <v>46</v>
      </c>
      <c r="X312" s="62">
        <f>R305*O312/X298/8*1.5</f>
        <v>0</v>
      </c>
    </row>
    <row r="313" spans="1:24" ht="18.75" customHeight="1">
      <c r="A313" s="440" t="s">
        <v>61</v>
      </c>
      <c r="B313" s="441"/>
      <c r="C313" s="56"/>
      <c r="D313" s="57" t="s">
        <v>50</v>
      </c>
      <c r="E313" s="441" t="s">
        <v>62</v>
      </c>
      <c r="F313" s="441"/>
      <c r="G313" s="441"/>
      <c r="H313" s="63" t="s">
        <v>41</v>
      </c>
      <c r="I313" s="452"/>
      <c r="J313" s="452"/>
      <c r="K313" s="61" t="s">
        <v>46</v>
      </c>
      <c r="L313" s="62"/>
      <c r="M313" s="440" t="s">
        <v>61</v>
      </c>
      <c r="N313" s="441"/>
      <c r="O313" s="56"/>
      <c r="P313" s="57" t="s">
        <v>50</v>
      </c>
      <c r="Q313" s="441" t="s">
        <v>62</v>
      </c>
      <c r="R313" s="441"/>
      <c r="S313" s="441"/>
      <c r="T313" s="63" t="s">
        <v>41</v>
      </c>
      <c r="U313" s="452"/>
      <c r="V313" s="452"/>
      <c r="W313" s="61" t="s">
        <v>46</v>
      </c>
      <c r="X313" s="62"/>
    </row>
    <row r="314" spans="1:24" ht="18.75" customHeight="1">
      <c r="A314" s="55" t="s">
        <v>63</v>
      </c>
      <c r="B314" s="52" t="s">
        <v>41</v>
      </c>
      <c r="C314" s="56"/>
      <c r="D314" s="57" t="s">
        <v>50</v>
      </c>
      <c r="E314" s="441" t="s">
        <v>64</v>
      </c>
      <c r="F314" s="441"/>
      <c r="G314" s="441"/>
      <c r="H314" s="52" t="s">
        <v>41</v>
      </c>
      <c r="I314" s="452"/>
      <c r="J314" s="452"/>
      <c r="K314" s="61" t="s">
        <v>46</v>
      </c>
      <c r="L314" s="62"/>
      <c r="M314" s="55" t="s">
        <v>63</v>
      </c>
      <c r="N314" s="52" t="s">
        <v>41</v>
      </c>
      <c r="O314" s="56"/>
      <c r="P314" s="57" t="s">
        <v>50</v>
      </c>
      <c r="Q314" s="441" t="s">
        <v>64</v>
      </c>
      <c r="R314" s="441"/>
      <c r="S314" s="441"/>
      <c r="T314" s="52" t="s">
        <v>41</v>
      </c>
      <c r="U314" s="452"/>
      <c r="V314" s="452"/>
      <c r="W314" s="61" t="s">
        <v>46</v>
      </c>
      <c r="X314" s="62"/>
    </row>
    <row r="315" spans="1:24" ht="18.75" customHeight="1">
      <c r="A315" s="64" t="s">
        <v>65</v>
      </c>
      <c r="B315" s="52"/>
      <c r="C315" s="56">
        <f>'LƯƠNG Tx'!M40</f>
        <v>0</v>
      </c>
      <c r="D315" s="57" t="s">
        <v>59</v>
      </c>
      <c r="E315" s="441" t="s">
        <v>66</v>
      </c>
      <c r="F315" s="441"/>
      <c r="G315" s="441"/>
      <c r="H315" s="52" t="s">
        <v>41</v>
      </c>
      <c r="I315" s="452">
        <f>$F$8*C315/8/$L$1</f>
        <v>0</v>
      </c>
      <c r="J315" s="452"/>
      <c r="K315" s="61" t="s">
        <v>46</v>
      </c>
      <c r="L315" s="62"/>
      <c r="M315" s="64" t="s">
        <v>65</v>
      </c>
      <c r="N315" s="52"/>
      <c r="O315" s="56">
        <f>'LƯƠNG Tx'!M42</f>
        <v>0</v>
      </c>
      <c r="P315" s="57" t="s">
        <v>59</v>
      </c>
      <c r="Q315" s="441" t="s">
        <v>66</v>
      </c>
      <c r="R315" s="441"/>
      <c r="S315" s="441"/>
      <c r="T315" s="52" t="s">
        <v>41</v>
      </c>
      <c r="U315" s="452">
        <f>$F$8*O315/8/$L$1</f>
        <v>0</v>
      </c>
      <c r="V315" s="452"/>
      <c r="W315" s="61" t="s">
        <v>46</v>
      </c>
      <c r="X315" s="62"/>
    </row>
    <row r="316" spans="1:24" ht="18.75" customHeight="1">
      <c r="A316" s="55" t="s">
        <v>167</v>
      </c>
      <c r="B316" s="52" t="s">
        <v>41</v>
      </c>
      <c r="C316" s="56"/>
      <c r="D316" s="57" t="s">
        <v>59</v>
      </c>
      <c r="E316" s="441" t="s">
        <v>73</v>
      </c>
      <c r="F316" s="441"/>
      <c r="G316" s="441"/>
      <c r="H316" s="52" t="s">
        <v>41</v>
      </c>
      <c r="I316" s="454"/>
      <c r="J316" s="454"/>
      <c r="K316" s="61" t="s">
        <v>46</v>
      </c>
      <c r="L316" s="62"/>
      <c r="M316" s="55" t="s">
        <v>167</v>
      </c>
      <c r="N316" s="52" t="s">
        <v>41</v>
      </c>
      <c r="O316" s="56"/>
      <c r="P316" s="57" t="s">
        <v>59</v>
      </c>
      <c r="Q316" s="441" t="s">
        <v>73</v>
      </c>
      <c r="R316" s="441"/>
      <c r="S316" s="441"/>
      <c r="T316" s="52" t="s">
        <v>41</v>
      </c>
      <c r="U316" s="454"/>
      <c r="V316" s="454"/>
      <c r="W316" s="61" t="s">
        <v>46</v>
      </c>
      <c r="X316" s="62"/>
    </row>
    <row r="317" spans="1:24" ht="18.75" customHeight="1">
      <c r="A317" s="55" t="s">
        <v>69</v>
      </c>
      <c r="B317" s="52" t="s">
        <v>41</v>
      </c>
      <c r="C317" s="56"/>
      <c r="D317" s="57" t="s">
        <v>70</v>
      </c>
      <c r="E317" s="53" t="s">
        <v>71</v>
      </c>
      <c r="F317" s="53"/>
      <c r="G317" s="53"/>
      <c r="H317" s="52" t="s">
        <v>41</v>
      </c>
      <c r="I317" s="452"/>
      <c r="J317" s="452"/>
      <c r="K317" s="61" t="s">
        <v>46</v>
      </c>
      <c r="L317" s="62">
        <f>+IF(L308-I308&lt;0,0,L308-I308)+IF(L312-I312&lt;0,0,L312-I312)</f>
        <v>0</v>
      </c>
      <c r="M317" s="55" t="s">
        <v>69</v>
      </c>
      <c r="N317" s="52" t="s">
        <v>41</v>
      </c>
      <c r="O317" s="56"/>
      <c r="P317" s="57" t="s">
        <v>70</v>
      </c>
      <c r="Q317" s="53" t="s">
        <v>71</v>
      </c>
      <c r="R317" s="53"/>
      <c r="S317" s="53"/>
      <c r="T317" s="52" t="s">
        <v>41</v>
      </c>
      <c r="U317" s="452"/>
      <c r="V317" s="452"/>
      <c r="W317" s="61" t="s">
        <v>46</v>
      </c>
      <c r="X317" s="62">
        <f>+IF(X308-U308&lt;0,0,X308-U308)+IF(X312-U312&lt;0,0,X312-U312)</f>
        <v>0</v>
      </c>
    </row>
    <row r="318" spans="1:24" ht="18.75" customHeight="1">
      <c r="A318" s="65" t="s">
        <v>164</v>
      </c>
      <c r="B318" s="66"/>
      <c r="C318" s="56"/>
      <c r="D318" s="57" t="s">
        <v>50</v>
      </c>
      <c r="E318" s="441" t="s">
        <v>165</v>
      </c>
      <c r="F318" s="441"/>
      <c r="G318" s="441"/>
      <c r="H318" s="52" t="s">
        <v>41</v>
      </c>
      <c r="I318" s="452"/>
      <c r="J318" s="452"/>
      <c r="K318" s="61" t="s">
        <v>46</v>
      </c>
      <c r="L318" s="62"/>
      <c r="M318" s="65" t="s">
        <v>164</v>
      </c>
      <c r="N318" s="66"/>
      <c r="O318" s="56"/>
      <c r="P318" s="57" t="s">
        <v>50</v>
      </c>
      <c r="Q318" s="441" t="s">
        <v>165</v>
      </c>
      <c r="R318" s="441"/>
      <c r="S318" s="441"/>
      <c r="T318" s="52" t="s">
        <v>41</v>
      </c>
      <c r="U318" s="452"/>
      <c r="V318" s="452"/>
      <c r="W318" s="61" t="s">
        <v>46</v>
      </c>
      <c r="X318" s="62"/>
    </row>
    <row r="319" spans="1:24" ht="18.75" customHeight="1">
      <c r="A319" s="460" t="s">
        <v>166</v>
      </c>
      <c r="B319" s="461"/>
      <c r="C319" s="56"/>
      <c r="D319" s="57"/>
      <c r="E319" s="58"/>
      <c r="F319" s="58"/>
      <c r="G319" s="58"/>
      <c r="H319" s="52" t="s">
        <v>41</v>
      </c>
      <c r="I319" s="452">
        <f>'LƯƠNG Tx'!P41</f>
        <v>0</v>
      </c>
      <c r="J319" s="452"/>
      <c r="K319" s="61" t="s">
        <v>46</v>
      </c>
      <c r="L319" s="62"/>
      <c r="M319" s="460" t="s">
        <v>166</v>
      </c>
      <c r="N319" s="461"/>
      <c r="O319" s="56"/>
      <c r="P319" s="57"/>
      <c r="Q319" s="58"/>
      <c r="R319" s="58"/>
      <c r="S319" s="58"/>
      <c r="T319" s="52" t="s">
        <v>41</v>
      </c>
      <c r="U319" s="452">
        <f>'LƯƠNG Tx'!P43</f>
        <v>0</v>
      </c>
      <c r="V319" s="452"/>
      <c r="W319" s="61" t="s">
        <v>46</v>
      </c>
      <c r="X319" s="62"/>
    </row>
    <row r="320" spans="1:24" ht="18.75" customHeight="1">
      <c r="A320" s="55" t="s">
        <v>75</v>
      </c>
      <c r="B320" s="52" t="s">
        <v>41</v>
      </c>
      <c r="C320" s="56"/>
      <c r="D320" s="57"/>
      <c r="E320" s="58" t="s">
        <v>76</v>
      </c>
      <c r="F320" s="58"/>
      <c r="G320" s="58"/>
      <c r="H320" s="52" t="s">
        <v>41</v>
      </c>
      <c r="I320" s="452">
        <f>L317</f>
        <v>0</v>
      </c>
      <c r="J320" s="452"/>
      <c r="K320" s="61" t="s">
        <v>46</v>
      </c>
      <c r="L320" s="62"/>
      <c r="M320" s="55" t="s">
        <v>75</v>
      </c>
      <c r="N320" s="52" t="s">
        <v>41</v>
      </c>
      <c r="O320" s="56"/>
      <c r="P320" s="57"/>
      <c r="Q320" s="58" t="s">
        <v>76</v>
      </c>
      <c r="R320" s="58"/>
      <c r="S320" s="58"/>
      <c r="T320" s="52" t="s">
        <v>41</v>
      </c>
      <c r="U320" s="452">
        <f>X317</f>
        <v>0</v>
      </c>
      <c r="V320" s="452"/>
      <c r="W320" s="61" t="s">
        <v>46</v>
      </c>
      <c r="X320" s="62"/>
    </row>
    <row r="321" spans="1:24" ht="18.75" customHeight="1">
      <c r="A321" s="456" t="s">
        <v>77</v>
      </c>
      <c r="B321" s="457"/>
      <c r="C321" s="457"/>
      <c r="D321" s="457"/>
      <c r="E321" s="457"/>
      <c r="F321" s="457"/>
      <c r="G321" s="52" t="s">
        <v>41</v>
      </c>
      <c r="H321" s="458">
        <f>I308+I309+I310+I311+I312+I315+I319+I320+I313+I314+I316+I317+I318+C319</f>
        <v>0</v>
      </c>
      <c r="I321" s="459"/>
      <c r="J321" s="459"/>
      <c r="K321" s="61" t="s">
        <v>46</v>
      </c>
      <c r="M321" s="456" t="s">
        <v>77</v>
      </c>
      <c r="N321" s="457"/>
      <c r="O321" s="457"/>
      <c r="P321" s="457"/>
      <c r="Q321" s="457"/>
      <c r="R321" s="457"/>
      <c r="S321" s="52" t="s">
        <v>41</v>
      </c>
      <c r="T321" s="458">
        <f>U308+U309+U310+U311+U312+U315+U319+U320+U313+U314+U316+U317+U318+O319</f>
        <v>0</v>
      </c>
      <c r="U321" s="459"/>
      <c r="V321" s="459"/>
      <c r="W321" s="61" t="s">
        <v>46</v>
      </c>
    </row>
    <row r="322" spans="1:24" ht="18.75" customHeight="1">
      <c r="A322" s="67"/>
      <c r="B322" s="68"/>
      <c r="C322" s="68"/>
      <c r="D322" s="68"/>
      <c r="E322" s="68"/>
      <c r="F322" s="68"/>
      <c r="G322" s="68"/>
      <c r="H322" s="68"/>
      <c r="I322" s="68"/>
      <c r="J322" s="68"/>
      <c r="K322" s="69"/>
      <c r="M322" s="67"/>
      <c r="N322" s="68"/>
      <c r="O322" s="68"/>
      <c r="P322" s="68"/>
      <c r="Q322" s="68"/>
      <c r="R322" s="68"/>
      <c r="S322" s="68"/>
      <c r="T322" s="68"/>
      <c r="U322" s="68"/>
      <c r="V322" s="68"/>
      <c r="W322" s="69"/>
    </row>
    <row r="323" spans="1:24" ht="18.75" customHeight="1">
      <c r="A323" s="468" t="s">
        <v>78</v>
      </c>
      <c r="B323" s="469"/>
      <c r="C323" s="469"/>
      <c r="D323" s="469"/>
      <c r="E323" s="469"/>
      <c r="F323" s="469"/>
      <c r="G323" s="52"/>
      <c r="H323" s="52"/>
      <c r="I323" s="52"/>
      <c r="J323" s="52"/>
      <c r="K323" s="61"/>
      <c r="M323" s="468" t="s">
        <v>78</v>
      </c>
      <c r="N323" s="469"/>
      <c r="O323" s="469"/>
      <c r="P323" s="469"/>
      <c r="Q323" s="469"/>
      <c r="R323" s="469"/>
      <c r="S323" s="52"/>
      <c r="T323" s="52"/>
      <c r="U323" s="52"/>
      <c r="V323" s="52"/>
      <c r="W323" s="61"/>
    </row>
    <row r="324" spans="1:24" ht="18.75" customHeight="1">
      <c r="A324" s="462" t="s">
        <v>79</v>
      </c>
      <c r="B324" s="463"/>
      <c r="C324" s="463"/>
      <c r="D324" s="463"/>
      <c r="E324" s="463"/>
      <c r="F324" s="463"/>
      <c r="G324" s="52" t="s">
        <v>41</v>
      </c>
      <c r="H324" s="470">
        <f>IF(($L$1-(C308+C309+C310+C311))&gt;12,0,F305*8%)</f>
        <v>0</v>
      </c>
      <c r="I324" s="470"/>
      <c r="J324" s="470"/>
      <c r="K324" s="61" t="s">
        <v>46</v>
      </c>
      <c r="M324" s="462" t="s">
        <v>79</v>
      </c>
      <c r="N324" s="463"/>
      <c r="O324" s="463"/>
      <c r="P324" s="463"/>
      <c r="Q324" s="463"/>
      <c r="R324" s="463"/>
      <c r="S324" s="52" t="s">
        <v>41</v>
      </c>
      <c r="T324" s="470">
        <f>IF(($L$1-(O308+O309+O310+O311))&gt;12,0,R305*8%)</f>
        <v>0</v>
      </c>
      <c r="U324" s="470"/>
      <c r="V324" s="470"/>
      <c r="W324" s="61" t="s">
        <v>46</v>
      </c>
    </row>
    <row r="325" spans="1:24" ht="18.75" customHeight="1">
      <c r="A325" s="462" t="s">
        <v>80</v>
      </c>
      <c r="B325" s="463"/>
      <c r="C325" s="463"/>
      <c r="D325" s="463"/>
      <c r="E325" s="463"/>
      <c r="F325" s="463"/>
      <c r="G325" s="52" t="s">
        <v>41</v>
      </c>
      <c r="H325" s="464">
        <f>IF(($L$1-(C308+C309+C310+C311))&gt;12,0,F305*1.5%)</f>
        <v>0</v>
      </c>
      <c r="I325" s="464"/>
      <c r="J325" s="464"/>
      <c r="K325" s="61" t="s">
        <v>46</v>
      </c>
      <c r="M325" s="462" t="s">
        <v>80</v>
      </c>
      <c r="N325" s="463"/>
      <c r="O325" s="463"/>
      <c r="P325" s="463"/>
      <c r="Q325" s="463"/>
      <c r="R325" s="463"/>
      <c r="S325" s="52" t="s">
        <v>41</v>
      </c>
      <c r="T325" s="464">
        <f>IF(($L$1-(O308+O309+O310+O311))&gt;12,0,R305*1.5%)</f>
        <v>0</v>
      </c>
      <c r="U325" s="464"/>
      <c r="V325" s="464"/>
      <c r="W325" s="61" t="s">
        <v>46</v>
      </c>
    </row>
    <row r="326" spans="1:24" ht="18.75" customHeight="1">
      <c r="A326" s="462" t="s">
        <v>81</v>
      </c>
      <c r="B326" s="463"/>
      <c r="C326" s="463"/>
      <c r="D326" s="463"/>
      <c r="E326" s="463"/>
      <c r="F326" s="463"/>
      <c r="G326" s="52" t="s">
        <v>41</v>
      </c>
      <c r="H326" s="464">
        <f>IF(($L$1-(C308+C309+C310+C311))&gt;12,0,F305*1%)</f>
        <v>0</v>
      </c>
      <c r="I326" s="464"/>
      <c r="J326" s="464"/>
      <c r="K326" s="61" t="s">
        <v>46</v>
      </c>
      <c r="M326" s="462" t="s">
        <v>81</v>
      </c>
      <c r="N326" s="463"/>
      <c r="O326" s="463"/>
      <c r="P326" s="463"/>
      <c r="Q326" s="463"/>
      <c r="R326" s="463"/>
      <c r="S326" s="52" t="s">
        <v>41</v>
      </c>
      <c r="T326" s="464">
        <f>IF(($L$1-(O308+O309+O310+O311))&gt;12,0,R305*1%)</f>
        <v>0</v>
      </c>
      <c r="U326" s="464"/>
      <c r="V326" s="464"/>
      <c r="W326" s="61" t="s">
        <v>46</v>
      </c>
    </row>
    <row r="327" spans="1:24" ht="18.75" customHeight="1">
      <c r="A327" s="462" t="s">
        <v>82</v>
      </c>
      <c r="B327" s="463"/>
      <c r="C327" s="463"/>
      <c r="D327" s="463"/>
      <c r="E327" s="463"/>
      <c r="F327" s="463"/>
      <c r="G327" s="52" t="s">
        <v>41</v>
      </c>
      <c r="H327" s="464">
        <v>0</v>
      </c>
      <c r="I327" s="464"/>
      <c r="J327" s="464"/>
      <c r="K327" s="61" t="s">
        <v>46</v>
      </c>
      <c r="M327" s="462" t="s">
        <v>82</v>
      </c>
      <c r="N327" s="463"/>
      <c r="O327" s="463"/>
      <c r="P327" s="463"/>
      <c r="Q327" s="463"/>
      <c r="R327" s="463"/>
      <c r="S327" s="52" t="s">
        <v>41</v>
      </c>
      <c r="T327" s="464">
        <v>0</v>
      </c>
      <c r="U327" s="464"/>
      <c r="V327" s="464"/>
      <c r="W327" s="61" t="s">
        <v>46</v>
      </c>
    </row>
    <row r="328" spans="1:24" ht="18.75" customHeight="1">
      <c r="A328" s="465" t="s">
        <v>83</v>
      </c>
      <c r="B328" s="466"/>
      <c r="C328" s="466"/>
      <c r="D328" s="466"/>
      <c r="E328" s="466"/>
      <c r="F328" s="466"/>
      <c r="G328" s="52" t="s">
        <v>41</v>
      </c>
      <c r="H328" s="467">
        <f>SUM(H324:J327)</f>
        <v>0</v>
      </c>
      <c r="I328" s="467"/>
      <c r="J328" s="467"/>
      <c r="K328" s="61" t="s">
        <v>46</v>
      </c>
      <c r="M328" s="465" t="s">
        <v>83</v>
      </c>
      <c r="N328" s="466"/>
      <c r="O328" s="466"/>
      <c r="P328" s="466"/>
      <c r="Q328" s="466"/>
      <c r="R328" s="466"/>
      <c r="S328" s="52" t="s">
        <v>41</v>
      </c>
      <c r="T328" s="467">
        <f>SUM(T324:V327)</f>
        <v>0</v>
      </c>
      <c r="U328" s="467"/>
      <c r="V328" s="467"/>
      <c r="W328" s="61" t="s">
        <v>46</v>
      </c>
    </row>
    <row r="329" spans="1:24" ht="18.75" customHeight="1">
      <c r="A329" s="462" t="s">
        <v>84</v>
      </c>
      <c r="B329" s="463"/>
      <c r="C329" s="463"/>
      <c r="D329" s="463"/>
      <c r="E329" s="463"/>
      <c r="F329" s="463"/>
      <c r="G329" s="52" t="s">
        <v>41</v>
      </c>
      <c r="H329" s="475">
        <f>ROUND(H321-H328,-2)</f>
        <v>0</v>
      </c>
      <c r="I329" s="475"/>
      <c r="J329" s="475"/>
      <c r="K329" s="61" t="s">
        <v>46</v>
      </c>
      <c r="M329" s="462" t="s">
        <v>84</v>
      </c>
      <c r="N329" s="463"/>
      <c r="O329" s="463"/>
      <c r="P329" s="463"/>
      <c r="Q329" s="463"/>
      <c r="R329" s="463"/>
      <c r="S329" s="52" t="s">
        <v>41</v>
      </c>
      <c r="T329" s="475">
        <f>ROUND(T321-T328,-2)</f>
        <v>0</v>
      </c>
      <c r="U329" s="475"/>
      <c r="V329" s="475"/>
      <c r="W329" s="61" t="s">
        <v>46</v>
      </c>
    </row>
    <row r="330" spans="1:24" ht="18.75" customHeight="1">
      <c r="A330" s="70"/>
      <c r="B330" s="71"/>
      <c r="C330" s="71"/>
      <c r="D330" s="71"/>
      <c r="E330" s="71"/>
      <c r="F330" s="71"/>
      <c r="G330" s="71"/>
      <c r="H330" s="71"/>
      <c r="I330" s="71"/>
      <c r="J330" s="71"/>
      <c r="K330" s="72"/>
      <c r="M330" s="70"/>
      <c r="N330" s="71"/>
      <c r="O330" s="71"/>
      <c r="P330" s="71"/>
      <c r="Q330" s="71"/>
      <c r="R330" s="71"/>
      <c r="S330" s="71"/>
      <c r="T330" s="71"/>
      <c r="U330" s="71"/>
      <c r="V330" s="71"/>
      <c r="W330" s="72"/>
    </row>
    <row r="331" spans="1:24" ht="18.75" customHeight="1">
      <c r="A331" s="73"/>
      <c r="B331" s="52"/>
      <c r="C331" s="52"/>
      <c r="D331" s="52"/>
      <c r="E331" s="52"/>
      <c r="F331" s="52"/>
      <c r="G331" s="52"/>
      <c r="H331" s="52"/>
      <c r="I331" s="472" t="s">
        <v>85</v>
      </c>
      <c r="J331" s="472"/>
      <c r="K331" s="476"/>
      <c r="M331" s="73"/>
      <c r="N331" s="52"/>
      <c r="O331" s="52"/>
      <c r="P331" s="52"/>
      <c r="Q331" s="52"/>
      <c r="R331" s="52"/>
      <c r="S331" s="52"/>
      <c r="T331" s="52"/>
      <c r="U331" s="472" t="s">
        <v>85</v>
      </c>
      <c r="V331" s="472"/>
      <c r="W331" s="476"/>
    </row>
    <row r="332" spans="1:24" ht="18.75" customHeight="1">
      <c r="A332" s="73"/>
      <c r="B332" s="471"/>
      <c r="C332" s="472"/>
      <c r="D332" s="472"/>
      <c r="E332" s="472"/>
      <c r="F332" s="52"/>
      <c r="G332" s="52"/>
      <c r="H332" s="52"/>
      <c r="I332" s="52"/>
      <c r="J332" s="52"/>
      <c r="K332" s="54"/>
      <c r="M332" s="73"/>
      <c r="N332" s="471"/>
      <c r="O332" s="472"/>
      <c r="P332" s="472"/>
      <c r="Q332" s="472"/>
      <c r="R332" s="52"/>
      <c r="S332" s="52"/>
      <c r="T332" s="52"/>
      <c r="U332" s="52"/>
      <c r="V332" s="52"/>
      <c r="W332" s="54"/>
    </row>
    <row r="333" spans="1:24" ht="18.75" customHeight="1" thickBot="1">
      <c r="A333" s="75"/>
      <c r="B333" s="76"/>
      <c r="C333" s="76"/>
      <c r="D333" s="76"/>
      <c r="E333" s="76"/>
      <c r="F333" s="76"/>
      <c r="G333" s="76"/>
      <c r="H333" s="76"/>
      <c r="I333" s="473" t="s">
        <v>86</v>
      </c>
      <c r="J333" s="473"/>
      <c r="K333" s="474"/>
      <c r="M333" s="75"/>
      <c r="N333" s="76"/>
      <c r="O333" s="76"/>
      <c r="P333" s="76"/>
      <c r="Q333" s="76"/>
      <c r="R333" s="76"/>
      <c r="S333" s="76"/>
      <c r="T333" s="76"/>
      <c r="U333" s="473" t="s">
        <v>86</v>
      </c>
      <c r="V333" s="473"/>
      <c r="W333" s="474"/>
    </row>
    <row r="334" spans="1:24" ht="18.75" customHeight="1" thickTop="1" thickBot="1"/>
    <row r="335" spans="1:24" ht="18.75" customHeight="1" thickTop="1">
      <c r="A335" s="445" t="s">
        <v>172</v>
      </c>
      <c r="B335" s="446"/>
      <c r="C335" s="446"/>
      <c r="D335" s="446"/>
      <c r="E335" s="446"/>
      <c r="F335" s="446"/>
      <c r="G335" s="446"/>
      <c r="H335" s="446"/>
      <c r="I335" s="446"/>
      <c r="J335" s="446"/>
      <c r="K335" s="447"/>
      <c r="L335" s="48">
        <v>26</v>
      </c>
      <c r="M335" s="445" t="s">
        <v>172</v>
      </c>
      <c r="N335" s="446"/>
      <c r="O335" s="446"/>
      <c r="P335" s="446"/>
      <c r="Q335" s="446"/>
      <c r="R335" s="446"/>
      <c r="S335" s="446"/>
      <c r="T335" s="446"/>
      <c r="U335" s="446"/>
      <c r="V335" s="446"/>
      <c r="W335" s="447"/>
      <c r="X335" s="48">
        <v>26</v>
      </c>
    </row>
    <row r="336" spans="1:24" ht="18.75" customHeight="1">
      <c r="A336" s="49" t="s">
        <v>105</v>
      </c>
      <c r="B336" s="50"/>
      <c r="C336" s="50"/>
      <c r="D336" s="50"/>
      <c r="E336" s="50"/>
      <c r="F336" s="50"/>
      <c r="G336" s="50"/>
      <c r="H336" s="50"/>
      <c r="I336" s="50"/>
      <c r="J336" s="50"/>
      <c r="K336" s="51"/>
      <c r="M336" s="49" t="s">
        <v>106</v>
      </c>
      <c r="N336" s="50"/>
      <c r="O336" s="50"/>
      <c r="P336" s="50"/>
      <c r="Q336" s="50"/>
      <c r="R336" s="50"/>
      <c r="S336" s="50"/>
      <c r="T336" s="50"/>
      <c r="U336" s="50"/>
      <c r="V336" s="50"/>
      <c r="W336" s="51"/>
    </row>
    <row r="337" spans="1:24" ht="18.75" customHeight="1">
      <c r="A337" s="448" t="s">
        <v>39</v>
      </c>
      <c r="B337" s="449"/>
      <c r="C337" s="449"/>
      <c r="D337" s="449"/>
      <c r="E337" s="449"/>
      <c r="F337" s="449"/>
      <c r="G337" s="449"/>
      <c r="H337" s="449"/>
      <c r="I337" s="449"/>
      <c r="J337" s="449"/>
      <c r="K337" s="450"/>
      <c r="M337" s="448" t="s">
        <v>39</v>
      </c>
      <c r="N337" s="449"/>
      <c r="O337" s="449"/>
      <c r="P337" s="449"/>
      <c r="Q337" s="449"/>
      <c r="R337" s="449"/>
      <c r="S337" s="449"/>
      <c r="T337" s="449"/>
      <c r="U337" s="449"/>
      <c r="V337" s="449"/>
      <c r="W337" s="450"/>
    </row>
    <row r="338" spans="1:24" ht="18.75" customHeight="1">
      <c r="A338" s="440" t="s">
        <v>40</v>
      </c>
      <c r="B338" s="441"/>
      <c r="C338" s="441"/>
      <c r="D338" s="441"/>
      <c r="E338" s="52" t="s">
        <v>41</v>
      </c>
      <c r="F338" s="442">
        <f>'Bang TH nop'!B45</f>
        <v>0</v>
      </c>
      <c r="G338" s="441"/>
      <c r="H338" s="441"/>
      <c r="I338" s="441"/>
      <c r="J338" s="441"/>
      <c r="K338" s="444"/>
      <c r="M338" s="440" t="s">
        <v>40</v>
      </c>
      <c r="N338" s="441"/>
      <c r="O338" s="441"/>
      <c r="P338" s="441"/>
      <c r="Q338" s="52" t="s">
        <v>41</v>
      </c>
      <c r="R338" s="442">
        <f>'Bang TH nop'!B47</f>
        <v>0</v>
      </c>
      <c r="S338" s="441"/>
      <c r="T338" s="441"/>
      <c r="U338" s="441"/>
      <c r="V338" s="441"/>
      <c r="W338" s="444"/>
    </row>
    <row r="339" spans="1:24" ht="18.75" customHeight="1">
      <c r="A339" s="440" t="s">
        <v>42</v>
      </c>
      <c r="B339" s="441"/>
      <c r="C339" s="441"/>
      <c r="D339" s="441"/>
      <c r="E339" s="52" t="s">
        <v>41</v>
      </c>
      <c r="F339" s="442">
        <f>'Bang TH nop'!C45</f>
        <v>0</v>
      </c>
      <c r="G339" s="442"/>
      <c r="H339" s="442"/>
      <c r="I339" s="442"/>
      <c r="J339" s="442"/>
      <c r="K339" s="443"/>
      <c r="M339" s="440" t="s">
        <v>42</v>
      </c>
      <c r="N339" s="441"/>
      <c r="O339" s="441"/>
      <c r="P339" s="441"/>
      <c r="Q339" s="52" t="s">
        <v>41</v>
      </c>
      <c r="R339" s="442">
        <f>'Bang TH nop'!C47</f>
        <v>0</v>
      </c>
      <c r="S339" s="442"/>
      <c r="T339" s="442"/>
      <c r="U339" s="442"/>
      <c r="V339" s="442"/>
      <c r="W339" s="443"/>
    </row>
    <row r="340" spans="1:24" ht="18.75" customHeight="1">
      <c r="A340" s="440" t="s">
        <v>43</v>
      </c>
      <c r="B340" s="441"/>
      <c r="C340" s="441"/>
      <c r="D340" s="441"/>
      <c r="E340" s="52" t="s">
        <v>41</v>
      </c>
      <c r="F340" s="441" t="str">
        <f>+$L$2</f>
        <v xml:space="preserve">Tổ  </v>
      </c>
      <c r="G340" s="441"/>
      <c r="H340" s="441"/>
      <c r="I340" s="441"/>
      <c r="J340" s="441"/>
      <c r="K340" s="444"/>
      <c r="M340" s="440" t="s">
        <v>43</v>
      </c>
      <c r="N340" s="441"/>
      <c r="O340" s="441"/>
      <c r="P340" s="441"/>
      <c r="Q340" s="52" t="s">
        <v>41</v>
      </c>
      <c r="R340" s="441" t="str">
        <f>+$L$2</f>
        <v xml:space="preserve">Tổ  </v>
      </c>
      <c r="S340" s="441"/>
      <c r="T340" s="441"/>
      <c r="U340" s="441"/>
      <c r="V340" s="441"/>
      <c r="W340" s="444"/>
    </row>
    <row r="341" spans="1:24" ht="18.75" customHeight="1">
      <c r="A341" s="448" t="s">
        <v>44</v>
      </c>
      <c r="B341" s="449"/>
      <c r="C341" s="449"/>
      <c r="D341" s="449"/>
      <c r="E341" s="449"/>
      <c r="F341" s="449"/>
      <c r="G341" s="449"/>
      <c r="H341" s="449"/>
      <c r="I341" s="449"/>
      <c r="J341" s="449"/>
      <c r="K341" s="450"/>
      <c r="M341" s="448" t="s">
        <v>44</v>
      </c>
      <c r="N341" s="449"/>
      <c r="O341" s="449"/>
      <c r="P341" s="449"/>
      <c r="Q341" s="449"/>
      <c r="R341" s="449"/>
      <c r="S341" s="449"/>
      <c r="T341" s="449"/>
      <c r="U341" s="449"/>
      <c r="V341" s="449"/>
      <c r="W341" s="450"/>
    </row>
    <row r="342" spans="1:24" ht="18.75" customHeight="1">
      <c r="A342" s="440" t="s">
        <v>45</v>
      </c>
      <c r="B342" s="441"/>
      <c r="C342" s="441"/>
      <c r="D342" s="441"/>
      <c r="E342" s="52" t="s">
        <v>41</v>
      </c>
      <c r="F342" s="455">
        <f>VLOOKUP(F339,'Bang TH nop'!$C$9:$AP$266,29,0)</f>
        <v>0</v>
      </c>
      <c r="G342" s="455"/>
      <c r="H342" s="455"/>
      <c r="I342" s="455"/>
      <c r="J342" s="52" t="s">
        <v>46</v>
      </c>
      <c r="K342" s="54"/>
      <c r="M342" s="440" t="s">
        <v>45</v>
      </c>
      <c r="N342" s="441"/>
      <c r="O342" s="441"/>
      <c r="P342" s="441"/>
      <c r="Q342" s="52" t="s">
        <v>41</v>
      </c>
      <c r="R342" s="455">
        <f>VLOOKUP(R339,'Bang TH nop'!$C$9:$AP$266,29,0)</f>
        <v>0</v>
      </c>
      <c r="S342" s="455"/>
      <c r="T342" s="455"/>
      <c r="U342" s="455"/>
      <c r="V342" s="52" t="s">
        <v>46</v>
      </c>
      <c r="W342" s="54"/>
    </row>
    <row r="343" spans="1:24" ht="18.75" customHeight="1">
      <c r="A343" s="55" t="s">
        <v>47</v>
      </c>
      <c r="B343" s="52"/>
      <c r="C343" s="56"/>
      <c r="D343" s="57"/>
      <c r="E343" s="58"/>
      <c r="F343" s="58"/>
      <c r="G343" s="58"/>
      <c r="H343" s="52"/>
      <c r="I343" s="59">
        <f>'LƯƠNG Tx'!F45</f>
        <v>0</v>
      </c>
      <c r="J343" s="60"/>
      <c r="K343" s="61"/>
      <c r="M343" s="55" t="s">
        <v>47</v>
      </c>
      <c r="N343" s="52"/>
      <c r="O343" s="56"/>
      <c r="P343" s="57"/>
      <c r="Q343" s="58"/>
      <c r="R343" s="58"/>
      <c r="S343" s="58"/>
      <c r="T343" s="52"/>
      <c r="U343" s="59">
        <f>'LƯƠNG Tx'!F47</f>
        <v>0</v>
      </c>
      <c r="V343" s="60"/>
      <c r="W343" s="61"/>
    </row>
    <row r="344" spans="1:24" ht="18.75" customHeight="1">
      <c r="A344" s="55" t="s">
        <v>48</v>
      </c>
      <c r="B344" s="52"/>
      <c r="C344" s="56"/>
      <c r="D344" s="57"/>
      <c r="E344" s="58"/>
      <c r="F344" s="58"/>
      <c r="G344" s="58"/>
      <c r="H344" s="52"/>
      <c r="I344" s="59" t="e">
        <f>I345/C345/8</f>
        <v>#DIV/0!</v>
      </c>
      <c r="J344" s="60"/>
      <c r="K344" s="61"/>
      <c r="M344" s="55" t="s">
        <v>48</v>
      </c>
      <c r="N344" s="52"/>
      <c r="O344" s="56"/>
      <c r="P344" s="57"/>
      <c r="Q344" s="58"/>
      <c r="R344" s="58"/>
      <c r="S344" s="58"/>
      <c r="T344" s="52"/>
      <c r="U344" s="59" t="e">
        <f>U345/O345/8</f>
        <v>#DIV/0!</v>
      </c>
      <c r="V344" s="60"/>
      <c r="W344" s="61"/>
    </row>
    <row r="345" spans="1:24" ht="18.75" customHeight="1">
      <c r="A345" s="55" t="s">
        <v>49</v>
      </c>
      <c r="B345" s="52" t="s">
        <v>41</v>
      </c>
      <c r="C345" s="56">
        <f>'LƯƠNG Tx'!I44</f>
        <v>0</v>
      </c>
      <c r="D345" s="57" t="s">
        <v>50</v>
      </c>
      <c r="E345" s="453" t="s">
        <v>51</v>
      </c>
      <c r="F345" s="453"/>
      <c r="G345" s="453"/>
      <c r="H345" s="52" t="s">
        <v>41</v>
      </c>
      <c r="I345" s="454">
        <f>'LƯƠNG Tx'!I45</f>
        <v>0</v>
      </c>
      <c r="J345" s="454"/>
      <c r="K345" s="61" t="s">
        <v>46</v>
      </c>
      <c r="L345" s="62">
        <f>F342/L335*C345</f>
        <v>0</v>
      </c>
      <c r="M345" s="55" t="s">
        <v>49</v>
      </c>
      <c r="N345" s="52" t="s">
        <v>41</v>
      </c>
      <c r="O345" s="56">
        <f>'LƯƠNG Tx'!I46</f>
        <v>0</v>
      </c>
      <c r="P345" s="57" t="s">
        <v>50</v>
      </c>
      <c r="Q345" s="453" t="s">
        <v>51</v>
      </c>
      <c r="R345" s="453"/>
      <c r="S345" s="453"/>
      <c r="T345" s="52" t="s">
        <v>41</v>
      </c>
      <c r="U345" s="454">
        <f>'LƯƠNG Tx'!I47</f>
        <v>0</v>
      </c>
      <c r="V345" s="454"/>
      <c r="W345" s="61" t="s">
        <v>46</v>
      </c>
      <c r="X345" s="62">
        <f>R342/X335*O345</f>
        <v>0</v>
      </c>
    </row>
    <row r="346" spans="1:24" ht="18.75" customHeight="1">
      <c r="A346" s="55" t="s">
        <v>52</v>
      </c>
      <c r="B346" s="52" t="s">
        <v>41</v>
      </c>
      <c r="C346" s="56">
        <f>'LƯƠNG Tx'!J44</f>
        <v>0</v>
      </c>
      <c r="D346" s="57" t="s">
        <v>50</v>
      </c>
      <c r="E346" s="441" t="s">
        <v>53</v>
      </c>
      <c r="F346" s="441"/>
      <c r="G346" s="441"/>
      <c r="H346" s="52" t="s">
        <v>41</v>
      </c>
      <c r="I346" s="452">
        <f>$F$8/$L$1*C346</f>
        <v>0</v>
      </c>
      <c r="J346" s="452"/>
      <c r="K346" s="61" t="s">
        <v>46</v>
      </c>
      <c r="L346" s="62"/>
      <c r="M346" s="55" t="s">
        <v>52</v>
      </c>
      <c r="N346" s="52" t="s">
        <v>41</v>
      </c>
      <c r="O346" s="56">
        <f>'LƯƠNG Tx'!J46</f>
        <v>0</v>
      </c>
      <c r="P346" s="57" t="s">
        <v>50</v>
      </c>
      <c r="Q346" s="441" t="s">
        <v>53</v>
      </c>
      <c r="R346" s="441"/>
      <c r="S346" s="441"/>
      <c r="T346" s="52" t="s">
        <v>41</v>
      </c>
      <c r="U346" s="452">
        <f>$F$8/$L$1*O346</f>
        <v>0</v>
      </c>
      <c r="V346" s="452"/>
      <c r="W346" s="61" t="s">
        <v>46</v>
      </c>
      <c r="X346" s="62"/>
    </row>
    <row r="347" spans="1:24" ht="18.75" customHeight="1">
      <c r="A347" s="55" t="s">
        <v>54</v>
      </c>
      <c r="B347" s="52" t="s">
        <v>41</v>
      </c>
      <c r="C347" s="56">
        <f>'LƯƠNG Tx'!K44</f>
        <v>0</v>
      </c>
      <c r="D347" s="57" t="s">
        <v>50</v>
      </c>
      <c r="E347" s="451" t="s">
        <v>55</v>
      </c>
      <c r="F347" s="451"/>
      <c r="G347" s="451"/>
      <c r="H347" s="52" t="s">
        <v>41</v>
      </c>
      <c r="I347" s="452">
        <f>$F$8/$L$1*C347</f>
        <v>0</v>
      </c>
      <c r="J347" s="452"/>
      <c r="K347" s="61" t="s">
        <v>46</v>
      </c>
      <c r="L347" s="62"/>
      <c r="M347" s="55" t="s">
        <v>54</v>
      </c>
      <c r="N347" s="52" t="s">
        <v>41</v>
      </c>
      <c r="O347" s="56">
        <f>'LƯƠNG Tx'!K46</f>
        <v>0</v>
      </c>
      <c r="P347" s="57" t="s">
        <v>50</v>
      </c>
      <c r="Q347" s="451" t="s">
        <v>55</v>
      </c>
      <c r="R347" s="451"/>
      <c r="S347" s="451"/>
      <c r="T347" s="52" t="s">
        <v>41</v>
      </c>
      <c r="U347" s="452">
        <f>$F$8/$L$1*O347</f>
        <v>0</v>
      </c>
      <c r="V347" s="452"/>
      <c r="W347" s="61" t="s">
        <v>46</v>
      </c>
      <c r="X347" s="62"/>
    </row>
    <row r="348" spans="1:24" ht="18.75" customHeight="1">
      <c r="A348" s="55" t="s">
        <v>56</v>
      </c>
      <c r="B348" s="52" t="s">
        <v>41</v>
      </c>
      <c r="C348" s="56">
        <f>'LƯƠNG Tx'!L44</f>
        <v>0</v>
      </c>
      <c r="D348" s="57" t="s">
        <v>50</v>
      </c>
      <c r="E348" s="451" t="s">
        <v>57</v>
      </c>
      <c r="F348" s="451"/>
      <c r="G348" s="451"/>
      <c r="H348" s="52" t="s">
        <v>41</v>
      </c>
      <c r="I348" s="452">
        <f>$F$8/$L$1*C348</f>
        <v>0</v>
      </c>
      <c r="J348" s="452"/>
      <c r="K348" s="61" t="s">
        <v>46</v>
      </c>
      <c r="L348" s="62"/>
      <c r="M348" s="55" t="s">
        <v>56</v>
      </c>
      <c r="N348" s="52" t="s">
        <v>41</v>
      </c>
      <c r="O348" s="56">
        <f>'LƯƠNG Tx'!L46</f>
        <v>0</v>
      </c>
      <c r="P348" s="57" t="s">
        <v>50</v>
      </c>
      <c r="Q348" s="451" t="s">
        <v>57</v>
      </c>
      <c r="R348" s="451"/>
      <c r="S348" s="451"/>
      <c r="T348" s="52" t="s">
        <v>41</v>
      </c>
      <c r="U348" s="452">
        <f>$F$8/$L$1*O348</f>
        <v>0</v>
      </c>
      <c r="V348" s="452"/>
      <c r="W348" s="61" t="s">
        <v>46</v>
      </c>
      <c r="X348" s="62"/>
    </row>
    <row r="349" spans="1:24" ht="18.75" customHeight="1">
      <c r="A349" s="55" t="s">
        <v>58</v>
      </c>
      <c r="B349" s="52" t="s">
        <v>41</v>
      </c>
      <c r="C349" s="56">
        <f>'LƯƠNG Tx'!Q44</f>
        <v>0</v>
      </c>
      <c r="D349" s="57" t="s">
        <v>59</v>
      </c>
      <c r="E349" s="441" t="s">
        <v>60</v>
      </c>
      <c r="F349" s="441"/>
      <c r="G349" s="441"/>
      <c r="H349" s="52" t="s">
        <v>41</v>
      </c>
      <c r="I349" s="452">
        <f>'LƯƠNG Tx'!Q45</f>
        <v>0</v>
      </c>
      <c r="J349" s="452"/>
      <c r="K349" s="61" t="s">
        <v>46</v>
      </c>
      <c r="L349" s="62">
        <f>F342*C349/L335/8*1.5</f>
        <v>0</v>
      </c>
      <c r="M349" s="55" t="s">
        <v>58</v>
      </c>
      <c r="N349" s="52" t="s">
        <v>41</v>
      </c>
      <c r="O349" s="56">
        <f>'LƯƠNG Tx'!Q46</f>
        <v>0</v>
      </c>
      <c r="P349" s="57" t="s">
        <v>59</v>
      </c>
      <c r="Q349" s="441" t="s">
        <v>60</v>
      </c>
      <c r="R349" s="441"/>
      <c r="S349" s="441"/>
      <c r="T349" s="52" t="s">
        <v>41</v>
      </c>
      <c r="U349" s="452">
        <f>'LƯƠNG Tx'!Q47</f>
        <v>0</v>
      </c>
      <c r="V349" s="452"/>
      <c r="W349" s="61" t="s">
        <v>46</v>
      </c>
      <c r="X349" s="62">
        <f>R342*O349/X335/8*1.5</f>
        <v>0</v>
      </c>
    </row>
    <row r="350" spans="1:24" ht="18.75" customHeight="1">
      <c r="A350" s="440" t="s">
        <v>61</v>
      </c>
      <c r="B350" s="441"/>
      <c r="C350" s="56"/>
      <c r="D350" s="57" t="s">
        <v>50</v>
      </c>
      <c r="E350" s="441" t="s">
        <v>62</v>
      </c>
      <c r="F350" s="441"/>
      <c r="G350" s="441"/>
      <c r="H350" s="63" t="s">
        <v>41</v>
      </c>
      <c r="I350" s="452"/>
      <c r="J350" s="452"/>
      <c r="K350" s="61" t="s">
        <v>46</v>
      </c>
      <c r="L350" s="62"/>
      <c r="M350" s="440" t="s">
        <v>61</v>
      </c>
      <c r="N350" s="441"/>
      <c r="O350" s="56"/>
      <c r="P350" s="57" t="s">
        <v>50</v>
      </c>
      <c r="Q350" s="441" t="s">
        <v>62</v>
      </c>
      <c r="R350" s="441"/>
      <c r="S350" s="441"/>
      <c r="T350" s="63" t="s">
        <v>41</v>
      </c>
      <c r="U350" s="452"/>
      <c r="V350" s="452"/>
      <c r="W350" s="61" t="s">
        <v>46</v>
      </c>
      <c r="X350" s="62"/>
    </row>
    <row r="351" spans="1:24" ht="18.75" customHeight="1">
      <c r="A351" s="55" t="s">
        <v>63</v>
      </c>
      <c r="B351" s="52" t="s">
        <v>41</v>
      </c>
      <c r="C351" s="56"/>
      <c r="D351" s="57" t="s">
        <v>50</v>
      </c>
      <c r="E351" s="441" t="s">
        <v>64</v>
      </c>
      <c r="F351" s="441"/>
      <c r="G351" s="441"/>
      <c r="H351" s="52" t="s">
        <v>41</v>
      </c>
      <c r="I351" s="452"/>
      <c r="J351" s="452"/>
      <c r="K351" s="61" t="s">
        <v>46</v>
      </c>
      <c r="L351" s="62"/>
      <c r="M351" s="55" t="s">
        <v>63</v>
      </c>
      <c r="N351" s="52" t="s">
        <v>41</v>
      </c>
      <c r="O351" s="56"/>
      <c r="P351" s="57" t="s">
        <v>50</v>
      </c>
      <c r="Q351" s="441" t="s">
        <v>64</v>
      </c>
      <c r="R351" s="441"/>
      <c r="S351" s="441"/>
      <c r="T351" s="52" t="s">
        <v>41</v>
      </c>
      <c r="U351" s="452"/>
      <c r="V351" s="452"/>
      <c r="W351" s="61" t="s">
        <v>46</v>
      </c>
      <c r="X351" s="62"/>
    </row>
    <row r="352" spans="1:24" ht="18.75" customHeight="1">
      <c r="A352" s="64" t="s">
        <v>65</v>
      </c>
      <c r="B352" s="52"/>
      <c r="C352" s="56">
        <f>'LƯƠNG Tx'!M44</f>
        <v>0</v>
      </c>
      <c r="D352" s="57" t="s">
        <v>59</v>
      </c>
      <c r="E352" s="441" t="s">
        <v>66</v>
      </c>
      <c r="F352" s="441"/>
      <c r="G352" s="441"/>
      <c r="H352" s="52" t="s">
        <v>41</v>
      </c>
      <c r="I352" s="452">
        <f>$F$8*C352/8/$L$1</f>
        <v>0</v>
      </c>
      <c r="J352" s="452"/>
      <c r="K352" s="61" t="s">
        <v>46</v>
      </c>
      <c r="L352" s="62"/>
      <c r="M352" s="64" t="s">
        <v>65</v>
      </c>
      <c r="N352" s="52"/>
      <c r="O352" s="56">
        <f>'LƯƠNG Tx'!M46</f>
        <v>0</v>
      </c>
      <c r="P352" s="57" t="s">
        <v>59</v>
      </c>
      <c r="Q352" s="441" t="s">
        <v>66</v>
      </c>
      <c r="R352" s="441"/>
      <c r="S352" s="441"/>
      <c r="T352" s="52" t="s">
        <v>41</v>
      </c>
      <c r="U352" s="452">
        <f>$F$8*O352/8/$L$1</f>
        <v>0</v>
      </c>
      <c r="V352" s="452"/>
      <c r="W352" s="61" t="s">
        <v>46</v>
      </c>
      <c r="X352" s="62"/>
    </row>
    <row r="353" spans="1:24" ht="18.75" customHeight="1">
      <c r="A353" s="55" t="s">
        <v>167</v>
      </c>
      <c r="B353" s="52" t="s">
        <v>41</v>
      </c>
      <c r="C353" s="56"/>
      <c r="D353" s="57" t="s">
        <v>59</v>
      </c>
      <c r="E353" s="441" t="s">
        <v>73</v>
      </c>
      <c r="F353" s="441"/>
      <c r="G353" s="441"/>
      <c r="H353" s="52" t="s">
        <v>41</v>
      </c>
      <c r="I353" s="454"/>
      <c r="J353" s="454"/>
      <c r="K353" s="61" t="s">
        <v>46</v>
      </c>
      <c r="L353" s="62"/>
      <c r="M353" s="55" t="s">
        <v>167</v>
      </c>
      <c r="N353" s="52" t="s">
        <v>41</v>
      </c>
      <c r="O353" s="56"/>
      <c r="P353" s="57" t="s">
        <v>59</v>
      </c>
      <c r="Q353" s="441" t="s">
        <v>73</v>
      </c>
      <c r="R353" s="441"/>
      <c r="S353" s="441"/>
      <c r="T353" s="52" t="s">
        <v>41</v>
      </c>
      <c r="U353" s="454"/>
      <c r="V353" s="454"/>
      <c r="W353" s="61" t="s">
        <v>46</v>
      </c>
      <c r="X353" s="62"/>
    </row>
    <row r="354" spans="1:24" ht="18.75" customHeight="1">
      <c r="A354" s="55" t="s">
        <v>69</v>
      </c>
      <c r="B354" s="52" t="s">
        <v>41</v>
      </c>
      <c r="C354" s="56"/>
      <c r="D354" s="57" t="s">
        <v>70</v>
      </c>
      <c r="E354" s="53" t="s">
        <v>71</v>
      </c>
      <c r="F354" s="53"/>
      <c r="G354" s="53"/>
      <c r="H354" s="52" t="s">
        <v>41</v>
      </c>
      <c r="I354" s="452"/>
      <c r="J354" s="452"/>
      <c r="K354" s="61" t="s">
        <v>46</v>
      </c>
      <c r="L354" s="62">
        <f>+IF(L345-I345&lt;0,0,L345-I345)+IF(L349-I349&lt;0,0,L349-I349)</f>
        <v>0</v>
      </c>
      <c r="M354" s="55" t="s">
        <v>69</v>
      </c>
      <c r="N354" s="52" t="s">
        <v>41</v>
      </c>
      <c r="O354" s="56"/>
      <c r="P354" s="57" t="s">
        <v>70</v>
      </c>
      <c r="Q354" s="53" t="s">
        <v>71</v>
      </c>
      <c r="R354" s="53"/>
      <c r="S354" s="53"/>
      <c r="T354" s="52" t="s">
        <v>41</v>
      </c>
      <c r="U354" s="452"/>
      <c r="V354" s="452"/>
      <c r="W354" s="61" t="s">
        <v>46</v>
      </c>
      <c r="X354" s="62">
        <f>+IF(X345-U345&lt;0,0,X345-U345)+IF(X349-U349&lt;0,0,X349-U349)</f>
        <v>0</v>
      </c>
    </row>
    <row r="355" spans="1:24" ht="18.75" customHeight="1">
      <c r="A355" s="65" t="s">
        <v>164</v>
      </c>
      <c r="B355" s="66"/>
      <c r="C355" s="56"/>
      <c r="D355" s="57" t="s">
        <v>50</v>
      </c>
      <c r="E355" s="441" t="s">
        <v>165</v>
      </c>
      <c r="F355" s="441"/>
      <c r="G355" s="441"/>
      <c r="H355" s="52" t="s">
        <v>41</v>
      </c>
      <c r="I355" s="452"/>
      <c r="J355" s="452"/>
      <c r="K355" s="61" t="s">
        <v>46</v>
      </c>
      <c r="L355" s="62"/>
      <c r="M355" s="65" t="s">
        <v>164</v>
      </c>
      <c r="N355" s="66"/>
      <c r="O355" s="56"/>
      <c r="P355" s="57" t="s">
        <v>50</v>
      </c>
      <c r="Q355" s="441" t="s">
        <v>165</v>
      </c>
      <c r="R355" s="441"/>
      <c r="S355" s="441"/>
      <c r="T355" s="52" t="s">
        <v>41</v>
      </c>
      <c r="U355" s="452"/>
      <c r="V355" s="452"/>
      <c r="W355" s="61" t="s">
        <v>46</v>
      </c>
      <c r="X355" s="62"/>
    </row>
    <row r="356" spans="1:24" ht="18.75" customHeight="1">
      <c r="A356" s="460" t="s">
        <v>166</v>
      </c>
      <c r="B356" s="461"/>
      <c r="C356" s="56"/>
      <c r="D356" s="57"/>
      <c r="E356" s="58"/>
      <c r="F356" s="58"/>
      <c r="G356" s="58"/>
      <c r="H356" s="52" t="s">
        <v>41</v>
      </c>
      <c r="I356" s="452">
        <f>'LƯƠNG Tx'!P45</f>
        <v>0</v>
      </c>
      <c r="J356" s="452"/>
      <c r="K356" s="61" t="s">
        <v>46</v>
      </c>
      <c r="L356" s="62"/>
      <c r="M356" s="460" t="s">
        <v>166</v>
      </c>
      <c r="N356" s="461"/>
      <c r="O356" s="56"/>
      <c r="P356" s="57"/>
      <c r="Q356" s="58"/>
      <c r="R356" s="58"/>
      <c r="S356" s="58"/>
      <c r="T356" s="52" t="s">
        <v>41</v>
      </c>
      <c r="U356" s="452">
        <f>'LƯƠNG Tx'!P47</f>
        <v>0</v>
      </c>
      <c r="V356" s="452"/>
      <c r="W356" s="61" t="s">
        <v>46</v>
      </c>
      <c r="X356" s="62"/>
    </row>
    <row r="357" spans="1:24" ht="18.75" customHeight="1">
      <c r="A357" s="55" t="s">
        <v>75</v>
      </c>
      <c r="B357" s="52" t="s">
        <v>41</v>
      </c>
      <c r="C357" s="56"/>
      <c r="D357" s="57"/>
      <c r="E357" s="58" t="s">
        <v>76</v>
      </c>
      <c r="F357" s="58"/>
      <c r="G357" s="58"/>
      <c r="H357" s="52" t="s">
        <v>41</v>
      </c>
      <c r="I357" s="452">
        <f>L354</f>
        <v>0</v>
      </c>
      <c r="J357" s="452"/>
      <c r="K357" s="61" t="s">
        <v>46</v>
      </c>
      <c r="L357" s="62"/>
      <c r="M357" s="55" t="s">
        <v>75</v>
      </c>
      <c r="N357" s="52" t="s">
        <v>41</v>
      </c>
      <c r="O357" s="56"/>
      <c r="P357" s="57"/>
      <c r="Q357" s="58" t="s">
        <v>76</v>
      </c>
      <c r="R357" s="58"/>
      <c r="S357" s="58"/>
      <c r="T357" s="52" t="s">
        <v>41</v>
      </c>
      <c r="U357" s="452">
        <f>X354</f>
        <v>0</v>
      </c>
      <c r="V357" s="452"/>
      <c r="W357" s="61" t="s">
        <v>46</v>
      </c>
      <c r="X357" s="62"/>
    </row>
    <row r="358" spans="1:24" ht="18.75" customHeight="1">
      <c r="A358" s="456" t="s">
        <v>77</v>
      </c>
      <c r="B358" s="457"/>
      <c r="C358" s="457"/>
      <c r="D358" s="457"/>
      <c r="E358" s="457"/>
      <c r="F358" s="457"/>
      <c r="G358" s="52" t="s">
        <v>41</v>
      </c>
      <c r="H358" s="458">
        <f>I345+I346+I347+I348+I349+I352+I356+I357+I350+I351+I353+I354+I355+C356</f>
        <v>0</v>
      </c>
      <c r="I358" s="459"/>
      <c r="J358" s="459"/>
      <c r="K358" s="61" t="s">
        <v>46</v>
      </c>
      <c r="M358" s="456" t="s">
        <v>77</v>
      </c>
      <c r="N358" s="457"/>
      <c r="O358" s="457"/>
      <c r="P358" s="457"/>
      <c r="Q358" s="457"/>
      <c r="R358" s="457"/>
      <c r="S358" s="52" t="s">
        <v>41</v>
      </c>
      <c r="T358" s="458">
        <f>U345+U346+U347+U348+U349+U352+U356+U357+U350+U351+U353+U354+U355+O356</f>
        <v>0</v>
      </c>
      <c r="U358" s="459"/>
      <c r="V358" s="459"/>
      <c r="W358" s="61" t="s">
        <v>46</v>
      </c>
    </row>
    <row r="359" spans="1:24" ht="18.75" customHeight="1">
      <c r="A359" s="67"/>
      <c r="B359" s="68"/>
      <c r="C359" s="68"/>
      <c r="D359" s="68"/>
      <c r="E359" s="68"/>
      <c r="F359" s="68"/>
      <c r="G359" s="68"/>
      <c r="H359" s="68"/>
      <c r="I359" s="68"/>
      <c r="J359" s="68"/>
      <c r="K359" s="69"/>
      <c r="M359" s="67"/>
      <c r="N359" s="68"/>
      <c r="O359" s="68"/>
      <c r="P359" s="68"/>
      <c r="Q359" s="68"/>
      <c r="R359" s="68"/>
      <c r="S359" s="68"/>
      <c r="T359" s="68"/>
      <c r="U359" s="68"/>
      <c r="V359" s="68"/>
      <c r="W359" s="69"/>
    </row>
    <row r="360" spans="1:24" ht="18.75" customHeight="1">
      <c r="A360" s="468" t="s">
        <v>78</v>
      </c>
      <c r="B360" s="469"/>
      <c r="C360" s="469"/>
      <c r="D360" s="469"/>
      <c r="E360" s="469"/>
      <c r="F360" s="469"/>
      <c r="G360" s="52"/>
      <c r="H360" s="52"/>
      <c r="I360" s="52"/>
      <c r="J360" s="52"/>
      <c r="K360" s="61"/>
      <c r="M360" s="468" t="s">
        <v>78</v>
      </c>
      <c r="N360" s="469"/>
      <c r="O360" s="469"/>
      <c r="P360" s="469"/>
      <c r="Q360" s="469"/>
      <c r="R360" s="469"/>
      <c r="S360" s="52"/>
      <c r="T360" s="52"/>
      <c r="U360" s="52"/>
      <c r="V360" s="52"/>
      <c r="W360" s="61"/>
    </row>
    <row r="361" spans="1:24" ht="18.75" customHeight="1">
      <c r="A361" s="462" t="s">
        <v>79</v>
      </c>
      <c r="B361" s="463"/>
      <c r="C361" s="463"/>
      <c r="D361" s="463"/>
      <c r="E361" s="463"/>
      <c r="F361" s="463"/>
      <c r="G361" s="52" t="s">
        <v>41</v>
      </c>
      <c r="H361" s="470">
        <f>IF(($L$1-(C345+C346+C347+C348))&gt;12,0,F342*8%)</f>
        <v>0</v>
      </c>
      <c r="I361" s="470"/>
      <c r="J361" s="470"/>
      <c r="K361" s="61" t="s">
        <v>46</v>
      </c>
      <c r="M361" s="462" t="s">
        <v>79</v>
      </c>
      <c r="N361" s="463"/>
      <c r="O361" s="463"/>
      <c r="P361" s="463"/>
      <c r="Q361" s="463"/>
      <c r="R361" s="463"/>
      <c r="S361" s="52" t="s">
        <v>41</v>
      </c>
      <c r="T361" s="470">
        <f>IF(($L$1-(O345+O346+O347+O348))&gt;12,0,R342*8%)</f>
        <v>0</v>
      </c>
      <c r="U361" s="470"/>
      <c r="V361" s="470"/>
      <c r="W361" s="61" t="s">
        <v>46</v>
      </c>
    </row>
    <row r="362" spans="1:24" ht="18.75" customHeight="1">
      <c r="A362" s="462" t="s">
        <v>80</v>
      </c>
      <c r="B362" s="463"/>
      <c r="C362" s="463"/>
      <c r="D362" s="463"/>
      <c r="E362" s="463"/>
      <c r="F362" s="463"/>
      <c r="G362" s="52" t="s">
        <v>41</v>
      </c>
      <c r="H362" s="464">
        <f>IF(($L$1-(C345+C346+C347+C348))&gt;12,0,F342*1.5%)</f>
        <v>0</v>
      </c>
      <c r="I362" s="464"/>
      <c r="J362" s="464"/>
      <c r="K362" s="61" t="s">
        <v>46</v>
      </c>
      <c r="M362" s="462" t="s">
        <v>80</v>
      </c>
      <c r="N362" s="463"/>
      <c r="O362" s="463"/>
      <c r="P362" s="463"/>
      <c r="Q362" s="463"/>
      <c r="R362" s="463"/>
      <c r="S362" s="52" t="s">
        <v>41</v>
      </c>
      <c r="T362" s="464">
        <f>IF(($L$1-(O345+O346+O347+O348))&gt;12,0,R342*1.5%)</f>
        <v>0</v>
      </c>
      <c r="U362" s="464"/>
      <c r="V362" s="464"/>
      <c r="W362" s="61" t="s">
        <v>46</v>
      </c>
    </row>
    <row r="363" spans="1:24" ht="18.75" customHeight="1">
      <c r="A363" s="462" t="s">
        <v>81</v>
      </c>
      <c r="B363" s="463"/>
      <c r="C363" s="463"/>
      <c r="D363" s="463"/>
      <c r="E363" s="463"/>
      <c r="F363" s="463"/>
      <c r="G363" s="52" t="s">
        <v>41</v>
      </c>
      <c r="H363" s="464">
        <f>IF(($L$1-(C345+C346+C347+C348))&gt;12,0,F342*1%)</f>
        <v>0</v>
      </c>
      <c r="I363" s="464"/>
      <c r="J363" s="464"/>
      <c r="K363" s="61" t="s">
        <v>46</v>
      </c>
      <c r="M363" s="462" t="s">
        <v>81</v>
      </c>
      <c r="N363" s="463"/>
      <c r="O363" s="463"/>
      <c r="P363" s="463"/>
      <c r="Q363" s="463"/>
      <c r="R363" s="463"/>
      <c r="S363" s="52" t="s">
        <v>41</v>
      </c>
      <c r="T363" s="464">
        <f>IF(($L$1-(O345+O346+O347+O348))&gt;12,0,R342*1%)</f>
        <v>0</v>
      </c>
      <c r="U363" s="464"/>
      <c r="V363" s="464"/>
      <c r="W363" s="61" t="s">
        <v>46</v>
      </c>
    </row>
    <row r="364" spans="1:24" ht="18.75" customHeight="1">
      <c r="A364" s="462" t="s">
        <v>82</v>
      </c>
      <c r="B364" s="463"/>
      <c r="C364" s="463"/>
      <c r="D364" s="463"/>
      <c r="E364" s="463"/>
      <c r="F364" s="463"/>
      <c r="G364" s="52" t="s">
        <v>41</v>
      </c>
      <c r="H364" s="464">
        <v>0</v>
      </c>
      <c r="I364" s="464"/>
      <c r="J364" s="464"/>
      <c r="K364" s="61" t="s">
        <v>46</v>
      </c>
      <c r="M364" s="462" t="s">
        <v>82</v>
      </c>
      <c r="N364" s="463"/>
      <c r="O364" s="463"/>
      <c r="P364" s="463"/>
      <c r="Q364" s="463"/>
      <c r="R364" s="463"/>
      <c r="S364" s="52" t="s">
        <v>41</v>
      </c>
      <c r="T364" s="464">
        <v>0</v>
      </c>
      <c r="U364" s="464"/>
      <c r="V364" s="464"/>
      <c r="W364" s="61" t="s">
        <v>46</v>
      </c>
    </row>
    <row r="365" spans="1:24" ht="18.75" customHeight="1">
      <c r="A365" s="465" t="s">
        <v>83</v>
      </c>
      <c r="B365" s="466"/>
      <c r="C365" s="466"/>
      <c r="D365" s="466"/>
      <c r="E365" s="466"/>
      <c r="F365" s="466"/>
      <c r="G365" s="52" t="s">
        <v>41</v>
      </c>
      <c r="H365" s="467">
        <f>SUM(H361:J364)</f>
        <v>0</v>
      </c>
      <c r="I365" s="467"/>
      <c r="J365" s="467"/>
      <c r="K365" s="61" t="s">
        <v>46</v>
      </c>
      <c r="M365" s="465" t="s">
        <v>83</v>
      </c>
      <c r="N365" s="466"/>
      <c r="O365" s="466"/>
      <c r="P365" s="466"/>
      <c r="Q365" s="466"/>
      <c r="R365" s="466"/>
      <c r="S365" s="52" t="s">
        <v>41</v>
      </c>
      <c r="T365" s="467">
        <f>SUM(T361:V364)</f>
        <v>0</v>
      </c>
      <c r="U365" s="467"/>
      <c r="V365" s="467"/>
      <c r="W365" s="61" t="s">
        <v>46</v>
      </c>
    </row>
    <row r="366" spans="1:24" ht="18.75" customHeight="1">
      <c r="A366" s="462" t="s">
        <v>84</v>
      </c>
      <c r="B366" s="463"/>
      <c r="C366" s="463"/>
      <c r="D366" s="463"/>
      <c r="E366" s="463"/>
      <c r="F366" s="463"/>
      <c r="G366" s="52" t="s">
        <v>41</v>
      </c>
      <c r="H366" s="475">
        <f>ROUND(H358-H365,-2)</f>
        <v>0</v>
      </c>
      <c r="I366" s="475"/>
      <c r="J366" s="475"/>
      <c r="K366" s="61" t="s">
        <v>46</v>
      </c>
      <c r="M366" s="462" t="s">
        <v>84</v>
      </c>
      <c r="N366" s="463"/>
      <c r="O366" s="463"/>
      <c r="P366" s="463"/>
      <c r="Q366" s="463"/>
      <c r="R366" s="463"/>
      <c r="S366" s="52" t="s">
        <v>41</v>
      </c>
      <c r="T366" s="475">
        <f>ROUND(T358-T365,-2)</f>
        <v>0</v>
      </c>
      <c r="U366" s="475"/>
      <c r="V366" s="475"/>
      <c r="W366" s="61" t="s">
        <v>46</v>
      </c>
    </row>
    <row r="367" spans="1:24" ht="18.75" customHeight="1">
      <c r="A367" s="70"/>
      <c r="B367" s="71"/>
      <c r="C367" s="71"/>
      <c r="D367" s="71"/>
      <c r="E367" s="71"/>
      <c r="F367" s="71"/>
      <c r="G367" s="71"/>
      <c r="H367" s="71"/>
      <c r="I367" s="71"/>
      <c r="J367" s="71"/>
      <c r="K367" s="72"/>
      <c r="M367" s="70"/>
      <c r="N367" s="71"/>
      <c r="O367" s="71"/>
      <c r="P367" s="71"/>
      <c r="Q367" s="71"/>
      <c r="R367" s="71"/>
      <c r="S367" s="71"/>
      <c r="T367" s="71"/>
      <c r="U367" s="71"/>
      <c r="V367" s="71"/>
      <c r="W367" s="72"/>
    </row>
    <row r="368" spans="1:24" ht="18.75" customHeight="1">
      <c r="A368" s="73"/>
      <c r="B368" s="52"/>
      <c r="C368" s="52"/>
      <c r="D368" s="52"/>
      <c r="E368" s="52"/>
      <c r="F368" s="52"/>
      <c r="G368" s="52"/>
      <c r="H368" s="52"/>
      <c r="I368" s="472" t="s">
        <v>85</v>
      </c>
      <c r="J368" s="472"/>
      <c r="K368" s="476"/>
      <c r="M368" s="73"/>
      <c r="N368" s="52"/>
      <c r="O368" s="52"/>
      <c r="P368" s="52"/>
      <c r="Q368" s="52"/>
      <c r="R368" s="52"/>
      <c r="S368" s="52"/>
      <c r="T368" s="52"/>
      <c r="U368" s="472" t="s">
        <v>85</v>
      </c>
      <c r="V368" s="472"/>
      <c r="W368" s="476"/>
    </row>
    <row r="369" spans="1:24" ht="18.75" customHeight="1">
      <c r="A369" s="73"/>
      <c r="B369" s="471"/>
      <c r="C369" s="472"/>
      <c r="D369" s="472"/>
      <c r="E369" s="472"/>
      <c r="F369" s="52"/>
      <c r="G369" s="52"/>
      <c r="H369" s="52"/>
      <c r="I369" s="52"/>
      <c r="J369" s="52"/>
      <c r="K369" s="54"/>
      <c r="M369" s="73"/>
      <c r="N369" s="471"/>
      <c r="O369" s="472"/>
      <c r="P369" s="472"/>
      <c r="Q369" s="472"/>
      <c r="R369" s="52"/>
      <c r="S369" s="52"/>
      <c r="T369" s="52"/>
      <c r="U369" s="52"/>
      <c r="V369" s="52"/>
      <c r="W369" s="54"/>
    </row>
    <row r="370" spans="1:24" ht="18.75" customHeight="1" thickBot="1">
      <c r="A370" s="75"/>
      <c r="B370" s="76"/>
      <c r="C370" s="76"/>
      <c r="D370" s="76"/>
      <c r="E370" s="76"/>
      <c r="F370" s="76"/>
      <c r="G370" s="76"/>
      <c r="H370" s="76"/>
      <c r="I370" s="473" t="s">
        <v>86</v>
      </c>
      <c r="J370" s="473"/>
      <c r="K370" s="474"/>
      <c r="M370" s="75"/>
      <c r="N370" s="76"/>
      <c r="O370" s="76"/>
      <c r="P370" s="76"/>
      <c r="Q370" s="76"/>
      <c r="R370" s="76"/>
      <c r="S370" s="76"/>
      <c r="T370" s="76"/>
      <c r="U370" s="473" t="s">
        <v>86</v>
      </c>
      <c r="V370" s="473"/>
      <c r="W370" s="474"/>
    </row>
    <row r="371" spans="1:24" ht="18.75" customHeight="1" thickTop="1" thickBot="1"/>
    <row r="372" spans="1:24" ht="18.75" customHeight="1" thickTop="1">
      <c r="A372" s="445" t="s">
        <v>172</v>
      </c>
      <c r="B372" s="446"/>
      <c r="C372" s="446"/>
      <c r="D372" s="446"/>
      <c r="E372" s="446"/>
      <c r="F372" s="446"/>
      <c r="G372" s="446"/>
      <c r="H372" s="446"/>
      <c r="I372" s="446"/>
      <c r="J372" s="446"/>
      <c r="K372" s="447"/>
      <c r="L372" s="48">
        <v>26</v>
      </c>
      <c r="M372" s="445" t="s">
        <v>172</v>
      </c>
      <c r="N372" s="446"/>
      <c r="O372" s="446"/>
      <c r="P372" s="446"/>
      <c r="Q372" s="446"/>
      <c r="R372" s="446"/>
      <c r="S372" s="446"/>
      <c r="T372" s="446"/>
      <c r="U372" s="446"/>
      <c r="V372" s="446"/>
      <c r="W372" s="447"/>
      <c r="X372" s="48">
        <v>26</v>
      </c>
    </row>
    <row r="373" spans="1:24" ht="18.75" customHeight="1">
      <c r="A373" s="49" t="s">
        <v>107</v>
      </c>
      <c r="B373" s="50"/>
      <c r="C373" s="50"/>
      <c r="D373" s="50"/>
      <c r="E373" s="50"/>
      <c r="F373" s="50"/>
      <c r="G373" s="50"/>
      <c r="H373" s="50"/>
      <c r="I373" s="50"/>
      <c r="J373" s="50"/>
      <c r="K373" s="51"/>
      <c r="M373" s="49" t="s">
        <v>108</v>
      </c>
      <c r="N373" s="50"/>
      <c r="O373" s="50"/>
      <c r="P373" s="50"/>
      <c r="Q373" s="50"/>
      <c r="R373" s="50"/>
      <c r="S373" s="50"/>
      <c r="T373" s="50"/>
      <c r="U373" s="50"/>
      <c r="V373" s="50"/>
      <c r="W373" s="51"/>
    </row>
    <row r="374" spans="1:24" ht="18.75" customHeight="1">
      <c r="A374" s="448" t="s">
        <v>39</v>
      </c>
      <c r="B374" s="449"/>
      <c r="C374" s="449"/>
      <c r="D374" s="449"/>
      <c r="E374" s="449"/>
      <c r="F374" s="449"/>
      <c r="G374" s="449"/>
      <c r="H374" s="449"/>
      <c r="I374" s="449"/>
      <c r="J374" s="449"/>
      <c r="K374" s="450"/>
      <c r="M374" s="448" t="s">
        <v>39</v>
      </c>
      <c r="N374" s="449"/>
      <c r="O374" s="449"/>
      <c r="P374" s="449"/>
      <c r="Q374" s="449"/>
      <c r="R374" s="449"/>
      <c r="S374" s="449"/>
      <c r="T374" s="449"/>
      <c r="U374" s="449"/>
      <c r="V374" s="449"/>
      <c r="W374" s="450"/>
    </row>
    <row r="375" spans="1:24" ht="18.75" customHeight="1">
      <c r="A375" s="440" t="s">
        <v>40</v>
      </c>
      <c r="B375" s="441"/>
      <c r="C375" s="441"/>
      <c r="D375" s="441"/>
      <c r="E375" s="52" t="s">
        <v>41</v>
      </c>
      <c r="F375" s="442">
        <f>'Bang TH nop'!B49</f>
        <v>0</v>
      </c>
      <c r="G375" s="441"/>
      <c r="H375" s="441"/>
      <c r="I375" s="441"/>
      <c r="J375" s="441"/>
      <c r="K375" s="444"/>
      <c r="M375" s="440" t="s">
        <v>40</v>
      </c>
      <c r="N375" s="441"/>
      <c r="O375" s="441"/>
      <c r="P375" s="441"/>
      <c r="Q375" s="52" t="s">
        <v>41</v>
      </c>
      <c r="R375" s="442">
        <f>'Bang TH nop'!B51</f>
        <v>0</v>
      </c>
      <c r="S375" s="441"/>
      <c r="T375" s="441"/>
      <c r="U375" s="441"/>
      <c r="V375" s="441"/>
      <c r="W375" s="444"/>
    </row>
    <row r="376" spans="1:24" ht="18.75" customHeight="1">
      <c r="A376" s="440" t="s">
        <v>42</v>
      </c>
      <c r="B376" s="441"/>
      <c r="C376" s="441"/>
      <c r="D376" s="441"/>
      <c r="E376" s="52" t="s">
        <v>41</v>
      </c>
      <c r="F376" s="442">
        <f>'Bang TH nop'!C49</f>
        <v>0</v>
      </c>
      <c r="G376" s="442"/>
      <c r="H376" s="442"/>
      <c r="I376" s="442"/>
      <c r="J376" s="442"/>
      <c r="K376" s="443"/>
      <c r="M376" s="440" t="s">
        <v>42</v>
      </c>
      <c r="N376" s="441"/>
      <c r="O376" s="441"/>
      <c r="P376" s="441"/>
      <c r="Q376" s="52" t="s">
        <v>41</v>
      </c>
      <c r="R376" s="442">
        <f>'Bang TH nop'!C51</f>
        <v>0</v>
      </c>
      <c r="S376" s="442"/>
      <c r="T376" s="442"/>
      <c r="U376" s="442"/>
      <c r="V376" s="442"/>
      <c r="W376" s="443"/>
    </row>
    <row r="377" spans="1:24" ht="18.75" customHeight="1">
      <c r="A377" s="440" t="s">
        <v>43</v>
      </c>
      <c r="B377" s="441"/>
      <c r="C377" s="441"/>
      <c r="D377" s="441"/>
      <c r="E377" s="52" t="s">
        <v>41</v>
      </c>
      <c r="F377" s="441" t="str">
        <f>+$L$2</f>
        <v xml:space="preserve">Tổ  </v>
      </c>
      <c r="G377" s="441"/>
      <c r="H377" s="441"/>
      <c r="I377" s="441"/>
      <c r="J377" s="441"/>
      <c r="K377" s="444"/>
      <c r="M377" s="440" t="s">
        <v>43</v>
      </c>
      <c r="N377" s="441"/>
      <c r="O377" s="441"/>
      <c r="P377" s="441"/>
      <c r="Q377" s="52" t="s">
        <v>41</v>
      </c>
      <c r="R377" s="441" t="str">
        <f>+$L$2</f>
        <v xml:space="preserve">Tổ  </v>
      </c>
      <c r="S377" s="441"/>
      <c r="T377" s="441"/>
      <c r="U377" s="441"/>
      <c r="V377" s="441"/>
      <c r="W377" s="444"/>
    </row>
    <row r="378" spans="1:24" ht="18.75" customHeight="1">
      <c r="A378" s="448" t="s">
        <v>44</v>
      </c>
      <c r="B378" s="449"/>
      <c r="C378" s="449"/>
      <c r="D378" s="449"/>
      <c r="E378" s="449"/>
      <c r="F378" s="449"/>
      <c r="G378" s="449"/>
      <c r="H378" s="449"/>
      <c r="I378" s="449"/>
      <c r="J378" s="449"/>
      <c r="K378" s="450"/>
      <c r="M378" s="448" t="s">
        <v>44</v>
      </c>
      <c r="N378" s="449"/>
      <c r="O378" s="449"/>
      <c r="P378" s="449"/>
      <c r="Q378" s="449"/>
      <c r="R378" s="449"/>
      <c r="S378" s="449"/>
      <c r="T378" s="449"/>
      <c r="U378" s="449"/>
      <c r="V378" s="449"/>
      <c r="W378" s="450"/>
    </row>
    <row r="379" spans="1:24" ht="18.75" customHeight="1">
      <c r="A379" s="440" t="s">
        <v>45</v>
      </c>
      <c r="B379" s="441"/>
      <c r="C379" s="441"/>
      <c r="D379" s="441"/>
      <c r="E379" s="52" t="s">
        <v>41</v>
      </c>
      <c r="F379" s="455">
        <f>VLOOKUP(F376,'Bang TH nop'!$C$9:$AP$266,29,0)</f>
        <v>0</v>
      </c>
      <c r="G379" s="455"/>
      <c r="H379" s="455"/>
      <c r="I379" s="455"/>
      <c r="J379" s="52" t="s">
        <v>46</v>
      </c>
      <c r="K379" s="54"/>
      <c r="M379" s="440" t="s">
        <v>45</v>
      </c>
      <c r="N379" s="441"/>
      <c r="O379" s="441"/>
      <c r="P379" s="441"/>
      <c r="Q379" s="52" t="s">
        <v>41</v>
      </c>
      <c r="R379" s="455">
        <f>VLOOKUP(R376,'Bang TH nop'!$C$9:$AP$266,29,0)</f>
        <v>0</v>
      </c>
      <c r="S379" s="455"/>
      <c r="T379" s="455"/>
      <c r="U379" s="455"/>
      <c r="V379" s="52" t="s">
        <v>46</v>
      </c>
      <c r="W379" s="54"/>
    </row>
    <row r="380" spans="1:24" ht="18.75" customHeight="1">
      <c r="A380" s="55" t="s">
        <v>47</v>
      </c>
      <c r="B380" s="52"/>
      <c r="C380" s="56"/>
      <c r="D380" s="57"/>
      <c r="E380" s="58"/>
      <c r="F380" s="58"/>
      <c r="G380" s="58"/>
      <c r="H380" s="52"/>
      <c r="I380" s="59">
        <f>'LƯƠNG Tx'!F49</f>
        <v>0</v>
      </c>
      <c r="J380" s="60"/>
      <c r="K380" s="61"/>
      <c r="M380" s="55" t="s">
        <v>47</v>
      </c>
      <c r="N380" s="52"/>
      <c r="O380" s="56"/>
      <c r="P380" s="57"/>
      <c r="Q380" s="58"/>
      <c r="R380" s="58"/>
      <c r="S380" s="58"/>
      <c r="T380" s="52"/>
      <c r="U380" s="59">
        <f>'LƯƠNG Tx'!F51</f>
        <v>0</v>
      </c>
      <c r="V380" s="60"/>
      <c r="W380" s="61"/>
    </row>
    <row r="381" spans="1:24" ht="18.75" customHeight="1">
      <c r="A381" s="55" t="s">
        <v>48</v>
      </c>
      <c r="B381" s="52"/>
      <c r="C381" s="56"/>
      <c r="D381" s="57"/>
      <c r="E381" s="58"/>
      <c r="F381" s="58"/>
      <c r="G381" s="58"/>
      <c r="H381" s="52"/>
      <c r="I381" s="59" t="e">
        <f>I382/C382/8</f>
        <v>#DIV/0!</v>
      </c>
      <c r="J381" s="60"/>
      <c r="K381" s="61"/>
      <c r="M381" s="55" t="s">
        <v>48</v>
      </c>
      <c r="N381" s="52"/>
      <c r="O381" s="56"/>
      <c r="P381" s="57"/>
      <c r="Q381" s="58"/>
      <c r="R381" s="58"/>
      <c r="S381" s="58"/>
      <c r="T381" s="52"/>
      <c r="U381" s="59" t="e">
        <f>U382/O382/8</f>
        <v>#DIV/0!</v>
      </c>
      <c r="V381" s="60"/>
      <c r="W381" s="61"/>
    </row>
    <row r="382" spans="1:24" ht="18.75" customHeight="1">
      <c r="A382" s="55" t="s">
        <v>49</v>
      </c>
      <c r="B382" s="52" t="s">
        <v>41</v>
      </c>
      <c r="C382" s="56">
        <f>'LƯƠNG Tx'!I48</f>
        <v>0</v>
      </c>
      <c r="D382" s="57" t="s">
        <v>50</v>
      </c>
      <c r="E382" s="453" t="s">
        <v>51</v>
      </c>
      <c r="F382" s="453"/>
      <c r="G382" s="453"/>
      <c r="H382" s="52" t="s">
        <v>41</v>
      </c>
      <c r="I382" s="454">
        <f>'LƯƠNG Tx'!I49</f>
        <v>0</v>
      </c>
      <c r="J382" s="454"/>
      <c r="K382" s="61" t="s">
        <v>46</v>
      </c>
      <c r="L382" s="62">
        <f>F379/L372*C382</f>
        <v>0</v>
      </c>
      <c r="M382" s="55" t="s">
        <v>49</v>
      </c>
      <c r="N382" s="52" t="s">
        <v>41</v>
      </c>
      <c r="O382" s="56">
        <f>'LƯƠNG Tx'!I50</f>
        <v>0</v>
      </c>
      <c r="P382" s="57" t="s">
        <v>50</v>
      </c>
      <c r="Q382" s="453" t="s">
        <v>51</v>
      </c>
      <c r="R382" s="453"/>
      <c r="S382" s="453"/>
      <c r="T382" s="52" t="s">
        <v>41</v>
      </c>
      <c r="U382" s="454">
        <f>'LƯƠNG Tx'!I51</f>
        <v>0</v>
      </c>
      <c r="V382" s="454"/>
      <c r="W382" s="61" t="s">
        <v>46</v>
      </c>
      <c r="X382" s="62">
        <f>R379/X372*O382</f>
        <v>0</v>
      </c>
    </row>
    <row r="383" spans="1:24" ht="18.75" customHeight="1">
      <c r="A383" s="55" t="s">
        <v>52</v>
      </c>
      <c r="B383" s="52" t="s">
        <v>41</v>
      </c>
      <c r="C383" s="56">
        <f>'LƯƠNG Tx'!J48</f>
        <v>0</v>
      </c>
      <c r="D383" s="57" t="s">
        <v>50</v>
      </c>
      <c r="E383" s="441" t="s">
        <v>53</v>
      </c>
      <c r="F383" s="441"/>
      <c r="G383" s="441"/>
      <c r="H383" s="52" t="s">
        <v>41</v>
      </c>
      <c r="I383" s="452">
        <f>$F$8/$L$1*C383</f>
        <v>0</v>
      </c>
      <c r="J383" s="452"/>
      <c r="K383" s="61" t="s">
        <v>46</v>
      </c>
      <c r="L383" s="62"/>
      <c r="M383" s="55" t="s">
        <v>52</v>
      </c>
      <c r="N383" s="52" t="s">
        <v>41</v>
      </c>
      <c r="O383" s="56">
        <f>'LƯƠNG Tx'!J50</f>
        <v>0</v>
      </c>
      <c r="P383" s="57" t="s">
        <v>50</v>
      </c>
      <c r="Q383" s="441" t="s">
        <v>53</v>
      </c>
      <c r="R383" s="441"/>
      <c r="S383" s="441"/>
      <c r="T383" s="52" t="s">
        <v>41</v>
      </c>
      <c r="U383" s="452">
        <f>$F$8/$L$1*O383</f>
        <v>0</v>
      </c>
      <c r="V383" s="452"/>
      <c r="W383" s="61" t="s">
        <v>46</v>
      </c>
      <c r="X383" s="62"/>
    </row>
    <row r="384" spans="1:24" ht="18.75" customHeight="1">
      <c r="A384" s="55" t="s">
        <v>54</v>
      </c>
      <c r="B384" s="52" t="s">
        <v>41</v>
      </c>
      <c r="C384" s="56">
        <f>'LƯƠNG Tx'!K48</f>
        <v>0</v>
      </c>
      <c r="D384" s="57" t="s">
        <v>50</v>
      </c>
      <c r="E384" s="451" t="s">
        <v>55</v>
      </c>
      <c r="F384" s="451"/>
      <c r="G384" s="451"/>
      <c r="H384" s="52" t="s">
        <v>41</v>
      </c>
      <c r="I384" s="452">
        <f>$F$8/$L$1*C384</f>
        <v>0</v>
      </c>
      <c r="J384" s="452"/>
      <c r="K384" s="61" t="s">
        <v>46</v>
      </c>
      <c r="L384" s="62"/>
      <c r="M384" s="55" t="s">
        <v>54</v>
      </c>
      <c r="N384" s="52" t="s">
        <v>41</v>
      </c>
      <c r="O384" s="56">
        <f>'LƯƠNG Tx'!K50</f>
        <v>0</v>
      </c>
      <c r="P384" s="57" t="s">
        <v>50</v>
      </c>
      <c r="Q384" s="451" t="s">
        <v>55</v>
      </c>
      <c r="R384" s="451"/>
      <c r="S384" s="451"/>
      <c r="T384" s="52" t="s">
        <v>41</v>
      </c>
      <c r="U384" s="452">
        <f>$F$8/$L$1*O384</f>
        <v>0</v>
      </c>
      <c r="V384" s="452"/>
      <c r="W384" s="61" t="s">
        <v>46</v>
      </c>
      <c r="X384" s="62"/>
    </row>
    <row r="385" spans="1:24" ht="18.75" customHeight="1">
      <c r="A385" s="55" t="s">
        <v>56</v>
      </c>
      <c r="B385" s="52" t="s">
        <v>41</v>
      </c>
      <c r="C385" s="56">
        <f>'LƯƠNG Tx'!L48</f>
        <v>0</v>
      </c>
      <c r="D385" s="57" t="s">
        <v>50</v>
      </c>
      <c r="E385" s="451" t="s">
        <v>57</v>
      </c>
      <c r="F385" s="451"/>
      <c r="G385" s="451"/>
      <c r="H385" s="52" t="s">
        <v>41</v>
      </c>
      <c r="I385" s="452">
        <f>$F$8/$L$1*C385</f>
        <v>0</v>
      </c>
      <c r="J385" s="452"/>
      <c r="K385" s="61" t="s">
        <v>46</v>
      </c>
      <c r="L385" s="62"/>
      <c r="M385" s="55" t="s">
        <v>56</v>
      </c>
      <c r="N385" s="52" t="s">
        <v>41</v>
      </c>
      <c r="O385" s="56">
        <f>'LƯƠNG Tx'!L50</f>
        <v>0</v>
      </c>
      <c r="P385" s="57" t="s">
        <v>50</v>
      </c>
      <c r="Q385" s="451" t="s">
        <v>57</v>
      </c>
      <c r="R385" s="451"/>
      <c r="S385" s="451"/>
      <c r="T385" s="52" t="s">
        <v>41</v>
      </c>
      <c r="U385" s="452">
        <f>$F$8/$L$1*O385</f>
        <v>0</v>
      </c>
      <c r="V385" s="452"/>
      <c r="W385" s="61" t="s">
        <v>46</v>
      </c>
      <c r="X385" s="62"/>
    </row>
    <row r="386" spans="1:24" ht="18.75" customHeight="1">
      <c r="A386" s="55" t="s">
        <v>58</v>
      </c>
      <c r="B386" s="52" t="s">
        <v>41</v>
      </c>
      <c r="C386" s="56">
        <f>'LƯƠNG Tx'!Q48</f>
        <v>0</v>
      </c>
      <c r="D386" s="57" t="s">
        <v>59</v>
      </c>
      <c r="E386" s="441" t="s">
        <v>60</v>
      </c>
      <c r="F386" s="441"/>
      <c r="G386" s="441"/>
      <c r="H386" s="52" t="s">
        <v>41</v>
      </c>
      <c r="I386" s="452">
        <f>'LƯƠNG Tx'!Q49</f>
        <v>0</v>
      </c>
      <c r="J386" s="452"/>
      <c r="K386" s="61" t="s">
        <v>46</v>
      </c>
      <c r="L386" s="62">
        <f>F379*C386/L372/8*1.5</f>
        <v>0</v>
      </c>
      <c r="M386" s="55" t="s">
        <v>58</v>
      </c>
      <c r="N386" s="52" t="s">
        <v>41</v>
      </c>
      <c r="O386" s="56">
        <f>'LƯƠNG Tx'!Q50</f>
        <v>0</v>
      </c>
      <c r="P386" s="57" t="s">
        <v>59</v>
      </c>
      <c r="Q386" s="441" t="s">
        <v>60</v>
      </c>
      <c r="R386" s="441"/>
      <c r="S386" s="441"/>
      <c r="T386" s="52" t="s">
        <v>41</v>
      </c>
      <c r="U386" s="452">
        <f>'LƯƠNG Tx'!Q51</f>
        <v>0</v>
      </c>
      <c r="V386" s="452"/>
      <c r="W386" s="61" t="s">
        <v>46</v>
      </c>
      <c r="X386" s="62">
        <f>R379*O386/X372/8*1.5</f>
        <v>0</v>
      </c>
    </row>
    <row r="387" spans="1:24" ht="18.75" customHeight="1">
      <c r="A387" s="440" t="s">
        <v>61</v>
      </c>
      <c r="B387" s="441"/>
      <c r="C387" s="56"/>
      <c r="D387" s="57" t="s">
        <v>50</v>
      </c>
      <c r="E387" s="441" t="s">
        <v>62</v>
      </c>
      <c r="F387" s="441"/>
      <c r="G387" s="441"/>
      <c r="H387" s="63" t="s">
        <v>41</v>
      </c>
      <c r="I387" s="452"/>
      <c r="J387" s="452"/>
      <c r="K387" s="61" t="s">
        <v>46</v>
      </c>
      <c r="L387" s="62"/>
      <c r="M387" s="440" t="s">
        <v>61</v>
      </c>
      <c r="N387" s="441"/>
      <c r="O387" s="56"/>
      <c r="P387" s="57" t="s">
        <v>50</v>
      </c>
      <c r="Q387" s="441" t="s">
        <v>62</v>
      </c>
      <c r="R387" s="441"/>
      <c r="S387" s="441"/>
      <c r="T387" s="63" t="s">
        <v>41</v>
      </c>
      <c r="U387" s="452"/>
      <c r="V387" s="452"/>
      <c r="W387" s="61" t="s">
        <v>46</v>
      </c>
      <c r="X387" s="62"/>
    </row>
    <row r="388" spans="1:24" ht="18.75" customHeight="1">
      <c r="A388" s="55" t="s">
        <v>63</v>
      </c>
      <c r="B388" s="52" t="s">
        <v>41</v>
      </c>
      <c r="C388" s="56"/>
      <c r="D388" s="57" t="s">
        <v>50</v>
      </c>
      <c r="E388" s="441" t="s">
        <v>64</v>
      </c>
      <c r="F388" s="441"/>
      <c r="G388" s="441"/>
      <c r="H388" s="52" t="s">
        <v>41</v>
      </c>
      <c r="I388" s="452"/>
      <c r="J388" s="452"/>
      <c r="K388" s="61" t="s">
        <v>46</v>
      </c>
      <c r="L388" s="62"/>
      <c r="M388" s="55" t="s">
        <v>63</v>
      </c>
      <c r="N388" s="52" t="s">
        <v>41</v>
      </c>
      <c r="O388" s="56"/>
      <c r="P388" s="57" t="s">
        <v>50</v>
      </c>
      <c r="Q388" s="441" t="s">
        <v>64</v>
      </c>
      <c r="R388" s="441"/>
      <c r="S388" s="441"/>
      <c r="T388" s="52" t="s">
        <v>41</v>
      </c>
      <c r="U388" s="452"/>
      <c r="V388" s="452"/>
      <c r="W388" s="61" t="s">
        <v>46</v>
      </c>
      <c r="X388" s="62"/>
    </row>
    <row r="389" spans="1:24" ht="18.75" customHeight="1">
      <c r="A389" s="64" t="s">
        <v>65</v>
      </c>
      <c r="B389" s="52"/>
      <c r="C389" s="56">
        <f>'LƯƠNG Tx'!M48</f>
        <v>0</v>
      </c>
      <c r="D389" s="57" t="s">
        <v>59</v>
      </c>
      <c r="E389" s="441" t="s">
        <v>66</v>
      </c>
      <c r="F389" s="441"/>
      <c r="G389" s="441"/>
      <c r="H389" s="52" t="s">
        <v>41</v>
      </c>
      <c r="I389" s="452">
        <f>$F$8*C389/8/$L$1</f>
        <v>0</v>
      </c>
      <c r="J389" s="452"/>
      <c r="K389" s="61" t="s">
        <v>46</v>
      </c>
      <c r="L389" s="62"/>
      <c r="M389" s="64" t="s">
        <v>65</v>
      </c>
      <c r="N389" s="52"/>
      <c r="O389" s="56">
        <f>'LƯƠNG Tx'!M50</f>
        <v>0</v>
      </c>
      <c r="P389" s="57" t="s">
        <v>59</v>
      </c>
      <c r="Q389" s="441" t="s">
        <v>66</v>
      </c>
      <c r="R389" s="441"/>
      <c r="S389" s="441"/>
      <c r="T389" s="52" t="s">
        <v>41</v>
      </c>
      <c r="U389" s="452">
        <f>$F$8*O389/8/$L$1</f>
        <v>0</v>
      </c>
      <c r="V389" s="452"/>
      <c r="W389" s="61" t="s">
        <v>46</v>
      </c>
      <c r="X389" s="62"/>
    </row>
    <row r="390" spans="1:24" ht="18.75" customHeight="1">
      <c r="A390" s="55" t="s">
        <v>167</v>
      </c>
      <c r="B390" s="52" t="s">
        <v>41</v>
      </c>
      <c r="C390" s="56"/>
      <c r="D390" s="57" t="s">
        <v>59</v>
      </c>
      <c r="E390" s="441" t="s">
        <v>73</v>
      </c>
      <c r="F390" s="441"/>
      <c r="G390" s="441"/>
      <c r="H390" s="52" t="s">
        <v>41</v>
      </c>
      <c r="I390" s="454"/>
      <c r="J390" s="454"/>
      <c r="K390" s="61" t="s">
        <v>46</v>
      </c>
      <c r="L390" s="62"/>
      <c r="M390" s="55" t="s">
        <v>167</v>
      </c>
      <c r="N390" s="52" t="s">
        <v>41</v>
      </c>
      <c r="O390" s="56"/>
      <c r="P390" s="57" t="s">
        <v>59</v>
      </c>
      <c r="Q390" s="441" t="s">
        <v>73</v>
      </c>
      <c r="R390" s="441"/>
      <c r="S390" s="441"/>
      <c r="T390" s="52" t="s">
        <v>41</v>
      </c>
      <c r="U390" s="454"/>
      <c r="V390" s="454"/>
      <c r="W390" s="61" t="s">
        <v>46</v>
      </c>
      <c r="X390" s="62"/>
    </row>
    <row r="391" spans="1:24" ht="18.75" customHeight="1">
      <c r="A391" s="55" t="s">
        <v>69</v>
      </c>
      <c r="B391" s="52" t="s">
        <v>41</v>
      </c>
      <c r="C391" s="56"/>
      <c r="D391" s="57" t="s">
        <v>70</v>
      </c>
      <c r="E391" s="53" t="s">
        <v>71</v>
      </c>
      <c r="F391" s="53"/>
      <c r="G391" s="53"/>
      <c r="H391" s="52" t="s">
        <v>41</v>
      </c>
      <c r="I391" s="452"/>
      <c r="J391" s="452"/>
      <c r="K391" s="61" t="s">
        <v>46</v>
      </c>
      <c r="L391" s="62">
        <f>+IF(L382-I382&lt;0,0,L382-I382)+IF(L386-I386&lt;0,0,L386-I386)</f>
        <v>0</v>
      </c>
      <c r="M391" s="55" t="s">
        <v>69</v>
      </c>
      <c r="N391" s="52" t="s">
        <v>41</v>
      </c>
      <c r="O391" s="56"/>
      <c r="P391" s="57" t="s">
        <v>70</v>
      </c>
      <c r="Q391" s="53" t="s">
        <v>71</v>
      </c>
      <c r="R391" s="53"/>
      <c r="S391" s="53"/>
      <c r="T391" s="52" t="s">
        <v>41</v>
      </c>
      <c r="U391" s="452"/>
      <c r="V391" s="452"/>
      <c r="W391" s="61" t="s">
        <v>46</v>
      </c>
      <c r="X391" s="62">
        <f>+IF(X382-U382&lt;0,0,X382-U382)+IF(X386-U386&lt;0,0,X386-U386)</f>
        <v>0</v>
      </c>
    </row>
    <row r="392" spans="1:24" ht="18.75" customHeight="1">
      <c r="A392" s="65" t="s">
        <v>164</v>
      </c>
      <c r="B392" s="66"/>
      <c r="C392" s="56"/>
      <c r="D392" s="57" t="s">
        <v>50</v>
      </c>
      <c r="E392" s="441" t="s">
        <v>165</v>
      </c>
      <c r="F392" s="441"/>
      <c r="G392" s="441"/>
      <c r="H392" s="52" t="s">
        <v>41</v>
      </c>
      <c r="I392" s="452"/>
      <c r="J392" s="452"/>
      <c r="K392" s="61" t="s">
        <v>46</v>
      </c>
      <c r="L392" s="62"/>
      <c r="M392" s="65" t="s">
        <v>164</v>
      </c>
      <c r="N392" s="66"/>
      <c r="O392" s="56"/>
      <c r="P392" s="57" t="s">
        <v>50</v>
      </c>
      <c r="Q392" s="441" t="s">
        <v>165</v>
      </c>
      <c r="R392" s="441"/>
      <c r="S392" s="441"/>
      <c r="T392" s="52" t="s">
        <v>41</v>
      </c>
      <c r="U392" s="452"/>
      <c r="V392" s="452"/>
      <c r="W392" s="61" t="s">
        <v>46</v>
      </c>
      <c r="X392" s="62"/>
    </row>
    <row r="393" spans="1:24" ht="18.75" customHeight="1">
      <c r="A393" s="460" t="s">
        <v>166</v>
      </c>
      <c r="B393" s="461"/>
      <c r="C393" s="56"/>
      <c r="D393" s="57"/>
      <c r="E393" s="58"/>
      <c r="F393" s="58"/>
      <c r="G393" s="58"/>
      <c r="H393" s="52" t="s">
        <v>41</v>
      </c>
      <c r="I393" s="452">
        <f>'LƯƠNG Tx'!P49</f>
        <v>0</v>
      </c>
      <c r="J393" s="452"/>
      <c r="K393" s="61" t="s">
        <v>46</v>
      </c>
      <c r="L393" s="62"/>
      <c r="M393" s="460" t="s">
        <v>166</v>
      </c>
      <c r="N393" s="461"/>
      <c r="O393" s="56"/>
      <c r="P393" s="57"/>
      <c r="Q393" s="58"/>
      <c r="R393" s="58"/>
      <c r="S393" s="58"/>
      <c r="T393" s="52" t="s">
        <v>41</v>
      </c>
      <c r="U393" s="452">
        <f>'LƯƠNG Tx'!P51</f>
        <v>0</v>
      </c>
      <c r="V393" s="452"/>
      <c r="W393" s="61" t="s">
        <v>46</v>
      </c>
      <c r="X393" s="62"/>
    </row>
    <row r="394" spans="1:24" ht="18.75" customHeight="1">
      <c r="A394" s="55" t="s">
        <v>75</v>
      </c>
      <c r="B394" s="52" t="s">
        <v>41</v>
      </c>
      <c r="C394" s="56"/>
      <c r="D394" s="57"/>
      <c r="E394" s="58" t="s">
        <v>76</v>
      </c>
      <c r="F394" s="58"/>
      <c r="G394" s="58"/>
      <c r="H394" s="52" t="s">
        <v>41</v>
      </c>
      <c r="I394" s="452">
        <f>L391</f>
        <v>0</v>
      </c>
      <c r="J394" s="452"/>
      <c r="K394" s="61" t="s">
        <v>46</v>
      </c>
      <c r="L394" s="62"/>
      <c r="M394" s="55" t="s">
        <v>75</v>
      </c>
      <c r="N394" s="52" t="s">
        <v>41</v>
      </c>
      <c r="O394" s="56"/>
      <c r="P394" s="57"/>
      <c r="Q394" s="58" t="s">
        <v>76</v>
      </c>
      <c r="R394" s="58"/>
      <c r="S394" s="58"/>
      <c r="T394" s="52" t="s">
        <v>41</v>
      </c>
      <c r="U394" s="452">
        <f>X391</f>
        <v>0</v>
      </c>
      <c r="V394" s="452"/>
      <c r="W394" s="61" t="s">
        <v>46</v>
      </c>
      <c r="X394" s="62"/>
    </row>
    <row r="395" spans="1:24" ht="18.75" customHeight="1">
      <c r="A395" s="456" t="s">
        <v>77</v>
      </c>
      <c r="B395" s="457"/>
      <c r="C395" s="457"/>
      <c r="D395" s="457"/>
      <c r="E395" s="457"/>
      <c r="F395" s="457"/>
      <c r="G395" s="52" t="s">
        <v>41</v>
      </c>
      <c r="H395" s="458">
        <f>I382+I383+I384+I385+I386+I389+I393+I394+I387+I388+I390+I391+I392+C393</f>
        <v>0</v>
      </c>
      <c r="I395" s="459"/>
      <c r="J395" s="459"/>
      <c r="K395" s="61" t="s">
        <v>46</v>
      </c>
      <c r="M395" s="456" t="s">
        <v>77</v>
      </c>
      <c r="N395" s="457"/>
      <c r="O395" s="457"/>
      <c r="P395" s="457"/>
      <c r="Q395" s="457"/>
      <c r="R395" s="457"/>
      <c r="S395" s="52" t="s">
        <v>41</v>
      </c>
      <c r="T395" s="458">
        <f>U382+U383+U384+U385+U386+U389+U393+U394+U387+U388+U390+U391+U392+O393</f>
        <v>0</v>
      </c>
      <c r="U395" s="459"/>
      <c r="V395" s="459"/>
      <c r="W395" s="61" t="s">
        <v>46</v>
      </c>
    </row>
    <row r="396" spans="1:24" ht="18.75" customHeight="1">
      <c r="A396" s="67"/>
      <c r="B396" s="68"/>
      <c r="C396" s="68"/>
      <c r="D396" s="68"/>
      <c r="E396" s="68"/>
      <c r="F396" s="68"/>
      <c r="G396" s="68"/>
      <c r="H396" s="68"/>
      <c r="I396" s="68"/>
      <c r="J396" s="68"/>
      <c r="K396" s="69"/>
      <c r="M396" s="67"/>
      <c r="N396" s="68"/>
      <c r="O396" s="68"/>
      <c r="P396" s="68"/>
      <c r="Q396" s="68"/>
      <c r="R396" s="68"/>
      <c r="S396" s="68"/>
      <c r="T396" s="68"/>
      <c r="U396" s="68"/>
      <c r="V396" s="68"/>
      <c r="W396" s="69"/>
    </row>
    <row r="397" spans="1:24" ht="18.75" customHeight="1">
      <c r="A397" s="468" t="s">
        <v>78</v>
      </c>
      <c r="B397" s="469"/>
      <c r="C397" s="469"/>
      <c r="D397" s="469"/>
      <c r="E397" s="469"/>
      <c r="F397" s="469"/>
      <c r="G397" s="52"/>
      <c r="H397" s="52"/>
      <c r="I397" s="52"/>
      <c r="J397" s="52"/>
      <c r="K397" s="61"/>
      <c r="M397" s="468" t="s">
        <v>78</v>
      </c>
      <c r="N397" s="469"/>
      <c r="O397" s="469"/>
      <c r="P397" s="469"/>
      <c r="Q397" s="469"/>
      <c r="R397" s="469"/>
      <c r="S397" s="52"/>
      <c r="T397" s="52"/>
      <c r="U397" s="52"/>
      <c r="V397" s="52"/>
      <c r="W397" s="61"/>
    </row>
    <row r="398" spans="1:24" ht="18.75" customHeight="1">
      <c r="A398" s="462" t="s">
        <v>79</v>
      </c>
      <c r="B398" s="463"/>
      <c r="C398" s="463"/>
      <c r="D398" s="463"/>
      <c r="E398" s="463"/>
      <c r="F398" s="463"/>
      <c r="G398" s="52" t="s">
        <v>41</v>
      </c>
      <c r="H398" s="470">
        <f>IF(($L$1-(C382+C383+C384+C385))&gt;12,0,F379*8%)</f>
        <v>0</v>
      </c>
      <c r="I398" s="470"/>
      <c r="J398" s="470"/>
      <c r="K398" s="61" t="s">
        <v>46</v>
      </c>
      <c r="M398" s="462" t="s">
        <v>79</v>
      </c>
      <c r="N398" s="463"/>
      <c r="O398" s="463"/>
      <c r="P398" s="463"/>
      <c r="Q398" s="463"/>
      <c r="R398" s="463"/>
      <c r="S398" s="52" t="s">
        <v>41</v>
      </c>
      <c r="T398" s="470">
        <f>IF(($L$1-(O382+O383+O384+O385))&gt;12,0,R379*8%)</f>
        <v>0</v>
      </c>
      <c r="U398" s="470"/>
      <c r="V398" s="470"/>
      <c r="W398" s="61" t="s">
        <v>46</v>
      </c>
    </row>
    <row r="399" spans="1:24" ht="18.75" customHeight="1">
      <c r="A399" s="462" t="s">
        <v>80</v>
      </c>
      <c r="B399" s="463"/>
      <c r="C399" s="463"/>
      <c r="D399" s="463"/>
      <c r="E399" s="463"/>
      <c r="F399" s="463"/>
      <c r="G399" s="52" t="s">
        <v>41</v>
      </c>
      <c r="H399" s="464">
        <f>IF(($L$1-(C382+C383+C384+C385))&gt;12,0,F379*1.5%)</f>
        <v>0</v>
      </c>
      <c r="I399" s="464"/>
      <c r="J399" s="464"/>
      <c r="K399" s="61" t="s">
        <v>46</v>
      </c>
      <c r="M399" s="462" t="s">
        <v>80</v>
      </c>
      <c r="N399" s="463"/>
      <c r="O399" s="463"/>
      <c r="P399" s="463"/>
      <c r="Q399" s="463"/>
      <c r="R399" s="463"/>
      <c r="S399" s="52" t="s">
        <v>41</v>
      </c>
      <c r="T399" s="464">
        <f>IF(($L$1-(O382+O383+O384+O385))&gt;12,0,R379*1.5%)</f>
        <v>0</v>
      </c>
      <c r="U399" s="464"/>
      <c r="V399" s="464"/>
      <c r="W399" s="61" t="s">
        <v>46</v>
      </c>
    </row>
    <row r="400" spans="1:24" ht="18.75" customHeight="1">
      <c r="A400" s="462" t="s">
        <v>81</v>
      </c>
      <c r="B400" s="463"/>
      <c r="C400" s="463"/>
      <c r="D400" s="463"/>
      <c r="E400" s="463"/>
      <c r="F400" s="463"/>
      <c r="G400" s="52" t="s">
        <v>41</v>
      </c>
      <c r="H400" s="464">
        <f>IF(($L$1-(C382+C383+C384+C385))&gt;12,0,F379*1%)</f>
        <v>0</v>
      </c>
      <c r="I400" s="464"/>
      <c r="J400" s="464"/>
      <c r="K400" s="61" t="s">
        <v>46</v>
      </c>
      <c r="M400" s="462" t="s">
        <v>81</v>
      </c>
      <c r="N400" s="463"/>
      <c r="O400" s="463"/>
      <c r="P400" s="463"/>
      <c r="Q400" s="463"/>
      <c r="R400" s="463"/>
      <c r="S400" s="52" t="s">
        <v>41</v>
      </c>
      <c r="T400" s="464">
        <f>IF(($L$1-(O382+O383+O384+O385))&gt;12,0,R379*1%)</f>
        <v>0</v>
      </c>
      <c r="U400" s="464"/>
      <c r="V400" s="464"/>
      <c r="W400" s="61" t="s">
        <v>46</v>
      </c>
    </row>
    <row r="401" spans="1:24" ht="18.75" customHeight="1">
      <c r="A401" s="462" t="s">
        <v>82</v>
      </c>
      <c r="B401" s="463"/>
      <c r="C401" s="463"/>
      <c r="D401" s="463"/>
      <c r="E401" s="463"/>
      <c r="F401" s="463"/>
      <c r="G401" s="52" t="s">
        <v>41</v>
      </c>
      <c r="H401" s="464">
        <v>0</v>
      </c>
      <c r="I401" s="464"/>
      <c r="J401" s="464"/>
      <c r="K401" s="61" t="s">
        <v>46</v>
      </c>
      <c r="M401" s="462" t="s">
        <v>82</v>
      </c>
      <c r="N401" s="463"/>
      <c r="O401" s="463"/>
      <c r="P401" s="463"/>
      <c r="Q401" s="463"/>
      <c r="R401" s="463"/>
      <c r="S401" s="52" t="s">
        <v>41</v>
      </c>
      <c r="T401" s="464">
        <v>0</v>
      </c>
      <c r="U401" s="464"/>
      <c r="V401" s="464"/>
      <c r="W401" s="61" t="s">
        <v>46</v>
      </c>
    </row>
    <row r="402" spans="1:24" ht="18.75" customHeight="1">
      <c r="A402" s="465" t="s">
        <v>83</v>
      </c>
      <c r="B402" s="466"/>
      <c r="C402" s="466"/>
      <c r="D402" s="466"/>
      <c r="E402" s="466"/>
      <c r="F402" s="466"/>
      <c r="G402" s="52" t="s">
        <v>41</v>
      </c>
      <c r="H402" s="467">
        <f>SUM(H398:J401)</f>
        <v>0</v>
      </c>
      <c r="I402" s="467"/>
      <c r="J402" s="467"/>
      <c r="K402" s="61" t="s">
        <v>46</v>
      </c>
      <c r="M402" s="465" t="s">
        <v>83</v>
      </c>
      <c r="N402" s="466"/>
      <c r="O402" s="466"/>
      <c r="P402" s="466"/>
      <c r="Q402" s="466"/>
      <c r="R402" s="466"/>
      <c r="S402" s="52" t="s">
        <v>41</v>
      </c>
      <c r="T402" s="467">
        <f>SUM(T398:V401)</f>
        <v>0</v>
      </c>
      <c r="U402" s="467"/>
      <c r="V402" s="467"/>
      <c r="W402" s="61" t="s">
        <v>46</v>
      </c>
    </row>
    <row r="403" spans="1:24" ht="18.75" customHeight="1">
      <c r="A403" s="462" t="s">
        <v>84</v>
      </c>
      <c r="B403" s="463"/>
      <c r="C403" s="463"/>
      <c r="D403" s="463"/>
      <c r="E403" s="463"/>
      <c r="F403" s="463"/>
      <c r="G403" s="52" t="s">
        <v>41</v>
      </c>
      <c r="H403" s="475">
        <f>ROUND(H395-H402,-2)</f>
        <v>0</v>
      </c>
      <c r="I403" s="475"/>
      <c r="J403" s="475"/>
      <c r="K403" s="61" t="s">
        <v>46</v>
      </c>
      <c r="M403" s="462" t="s">
        <v>84</v>
      </c>
      <c r="N403" s="463"/>
      <c r="O403" s="463"/>
      <c r="P403" s="463"/>
      <c r="Q403" s="463"/>
      <c r="R403" s="463"/>
      <c r="S403" s="52" t="s">
        <v>41</v>
      </c>
      <c r="T403" s="475">
        <f>ROUND(T395-T402,-2)</f>
        <v>0</v>
      </c>
      <c r="U403" s="475"/>
      <c r="V403" s="475"/>
      <c r="W403" s="61" t="s">
        <v>46</v>
      </c>
    </row>
    <row r="404" spans="1:24" ht="18.75" customHeight="1">
      <c r="A404" s="70"/>
      <c r="B404" s="71"/>
      <c r="C404" s="71"/>
      <c r="D404" s="71"/>
      <c r="E404" s="71"/>
      <c r="F404" s="71"/>
      <c r="G404" s="71"/>
      <c r="H404" s="71"/>
      <c r="I404" s="71"/>
      <c r="J404" s="71"/>
      <c r="K404" s="72"/>
      <c r="M404" s="70"/>
      <c r="N404" s="71"/>
      <c r="O404" s="71"/>
      <c r="P404" s="71"/>
      <c r="Q404" s="71"/>
      <c r="R404" s="71"/>
      <c r="S404" s="71"/>
      <c r="T404" s="71"/>
      <c r="U404" s="71"/>
      <c r="V404" s="71"/>
      <c r="W404" s="72"/>
    </row>
    <row r="405" spans="1:24" ht="18.75" customHeight="1">
      <c r="A405" s="73"/>
      <c r="B405" s="52"/>
      <c r="C405" s="52"/>
      <c r="D405" s="52"/>
      <c r="E405" s="52"/>
      <c r="F405" s="52"/>
      <c r="G405" s="52"/>
      <c r="H405" s="52"/>
      <c r="I405" s="472" t="s">
        <v>85</v>
      </c>
      <c r="J405" s="472"/>
      <c r="K405" s="476"/>
      <c r="M405" s="73"/>
      <c r="N405" s="52"/>
      <c r="O405" s="52"/>
      <c r="P405" s="52"/>
      <c r="Q405" s="52"/>
      <c r="R405" s="52"/>
      <c r="S405" s="52"/>
      <c r="T405" s="52"/>
      <c r="U405" s="472" t="s">
        <v>85</v>
      </c>
      <c r="V405" s="472"/>
      <c r="W405" s="476"/>
    </row>
    <row r="406" spans="1:24" ht="18.75" customHeight="1">
      <c r="A406" s="73"/>
      <c r="B406" s="471"/>
      <c r="C406" s="472"/>
      <c r="D406" s="472"/>
      <c r="E406" s="472"/>
      <c r="F406" s="52"/>
      <c r="G406" s="52"/>
      <c r="H406" s="52"/>
      <c r="I406" s="52"/>
      <c r="J406" s="52"/>
      <c r="K406" s="54"/>
      <c r="M406" s="73"/>
      <c r="N406" s="471"/>
      <c r="O406" s="472"/>
      <c r="P406" s="472"/>
      <c r="Q406" s="472"/>
      <c r="R406" s="52"/>
      <c r="S406" s="52"/>
      <c r="T406" s="52"/>
      <c r="U406" s="52"/>
      <c r="V406" s="52"/>
      <c r="W406" s="54"/>
    </row>
    <row r="407" spans="1:24" ht="18.75" customHeight="1" thickBot="1">
      <c r="A407" s="75"/>
      <c r="B407" s="76"/>
      <c r="C407" s="76"/>
      <c r="D407" s="76"/>
      <c r="E407" s="76"/>
      <c r="F407" s="76"/>
      <c r="G407" s="76"/>
      <c r="H407" s="76"/>
      <c r="I407" s="473" t="s">
        <v>86</v>
      </c>
      <c r="J407" s="473"/>
      <c r="K407" s="474"/>
      <c r="M407" s="75"/>
      <c r="N407" s="76"/>
      <c r="O407" s="76"/>
      <c r="P407" s="76"/>
      <c r="Q407" s="76"/>
      <c r="R407" s="76"/>
      <c r="S407" s="76"/>
      <c r="T407" s="76"/>
      <c r="U407" s="473" t="s">
        <v>86</v>
      </c>
      <c r="V407" s="473"/>
      <c r="W407" s="474"/>
    </row>
    <row r="408" spans="1:24" ht="18.75" customHeight="1" thickTop="1" thickBot="1">
      <c r="A408" s="73"/>
      <c r="B408" s="52"/>
      <c r="C408" s="52"/>
      <c r="D408" s="52"/>
      <c r="E408" s="52"/>
      <c r="F408" s="52"/>
      <c r="G408" s="52"/>
      <c r="H408" s="52"/>
      <c r="I408" s="74"/>
      <c r="J408" s="74"/>
      <c r="K408" s="74"/>
      <c r="M408" s="73"/>
      <c r="N408" s="52"/>
      <c r="O408" s="52"/>
      <c r="P408" s="52"/>
      <c r="Q408" s="52"/>
      <c r="R408" s="52"/>
      <c r="S408" s="52"/>
      <c r="T408" s="52"/>
      <c r="U408" s="74"/>
      <c r="V408" s="74"/>
      <c r="W408" s="74"/>
    </row>
    <row r="409" spans="1:24" ht="18.75" customHeight="1" thickTop="1">
      <c r="A409" s="445" t="s">
        <v>172</v>
      </c>
      <c r="B409" s="446"/>
      <c r="C409" s="446"/>
      <c r="D409" s="446"/>
      <c r="E409" s="446"/>
      <c r="F409" s="446"/>
      <c r="G409" s="446"/>
      <c r="H409" s="446"/>
      <c r="I409" s="446"/>
      <c r="J409" s="446"/>
      <c r="K409" s="447"/>
      <c r="L409" s="48">
        <v>26</v>
      </c>
      <c r="M409" s="445" t="s">
        <v>172</v>
      </c>
      <c r="N409" s="446"/>
      <c r="O409" s="446"/>
      <c r="P409" s="446"/>
      <c r="Q409" s="446"/>
      <c r="R409" s="446"/>
      <c r="S409" s="446"/>
      <c r="T409" s="446"/>
      <c r="U409" s="446"/>
      <c r="V409" s="446"/>
      <c r="W409" s="447"/>
      <c r="X409" s="48">
        <v>26</v>
      </c>
    </row>
    <row r="410" spans="1:24" ht="18.75" customHeight="1">
      <c r="A410" s="49" t="s">
        <v>109</v>
      </c>
      <c r="B410" s="50"/>
      <c r="C410" s="50"/>
      <c r="D410" s="50"/>
      <c r="E410" s="50"/>
      <c r="F410" s="50"/>
      <c r="G410" s="50"/>
      <c r="H410" s="50"/>
      <c r="I410" s="50"/>
      <c r="J410" s="50"/>
      <c r="K410" s="51"/>
      <c r="M410" s="49" t="s">
        <v>110</v>
      </c>
      <c r="N410" s="50"/>
      <c r="O410" s="50"/>
      <c r="P410" s="50"/>
      <c r="Q410" s="50"/>
      <c r="R410" s="50"/>
      <c r="S410" s="50"/>
      <c r="T410" s="50"/>
      <c r="U410" s="50"/>
      <c r="V410" s="50"/>
      <c r="W410" s="51"/>
    </row>
    <row r="411" spans="1:24" ht="18.75" customHeight="1">
      <c r="A411" s="448" t="s">
        <v>39</v>
      </c>
      <c r="B411" s="449"/>
      <c r="C411" s="449"/>
      <c r="D411" s="449"/>
      <c r="E411" s="449"/>
      <c r="F411" s="449"/>
      <c r="G411" s="449"/>
      <c r="H411" s="449"/>
      <c r="I411" s="449"/>
      <c r="J411" s="449"/>
      <c r="K411" s="450"/>
      <c r="M411" s="448" t="s">
        <v>39</v>
      </c>
      <c r="N411" s="449"/>
      <c r="O411" s="449"/>
      <c r="P411" s="449"/>
      <c r="Q411" s="449"/>
      <c r="R411" s="449"/>
      <c r="S411" s="449"/>
      <c r="T411" s="449"/>
      <c r="U411" s="449"/>
      <c r="V411" s="449"/>
      <c r="W411" s="450"/>
    </row>
    <row r="412" spans="1:24" ht="18.75" customHeight="1">
      <c r="A412" s="440" t="s">
        <v>40</v>
      </c>
      <c r="B412" s="441"/>
      <c r="C412" s="441"/>
      <c r="D412" s="441"/>
      <c r="E412" s="52" t="s">
        <v>41</v>
      </c>
      <c r="F412" s="442">
        <f>'Bang TH nop'!B53</f>
        <v>0</v>
      </c>
      <c r="G412" s="441"/>
      <c r="H412" s="441"/>
      <c r="I412" s="441"/>
      <c r="J412" s="441"/>
      <c r="K412" s="444"/>
      <c r="M412" s="440" t="s">
        <v>40</v>
      </c>
      <c r="N412" s="441"/>
      <c r="O412" s="441"/>
      <c r="P412" s="441"/>
      <c r="Q412" s="52" t="s">
        <v>41</v>
      </c>
      <c r="R412" s="442">
        <f>'Bang TH nop'!B55</f>
        <v>0</v>
      </c>
      <c r="S412" s="441"/>
      <c r="T412" s="441"/>
      <c r="U412" s="441"/>
      <c r="V412" s="441"/>
      <c r="W412" s="444"/>
    </row>
    <row r="413" spans="1:24" ht="18.75" customHeight="1">
      <c r="A413" s="440" t="s">
        <v>42</v>
      </c>
      <c r="B413" s="441"/>
      <c r="C413" s="441"/>
      <c r="D413" s="441"/>
      <c r="E413" s="52" t="s">
        <v>41</v>
      </c>
      <c r="F413" s="442">
        <f>'Bang TH nop'!C53</f>
        <v>0</v>
      </c>
      <c r="G413" s="442"/>
      <c r="H413" s="442"/>
      <c r="I413" s="442"/>
      <c r="J413" s="442"/>
      <c r="K413" s="443"/>
      <c r="M413" s="440" t="s">
        <v>42</v>
      </c>
      <c r="N413" s="441"/>
      <c r="O413" s="441"/>
      <c r="P413" s="441"/>
      <c r="Q413" s="52" t="s">
        <v>41</v>
      </c>
      <c r="R413" s="442">
        <f>'Bang TH nop'!C55</f>
        <v>0</v>
      </c>
      <c r="S413" s="442"/>
      <c r="T413" s="442"/>
      <c r="U413" s="442"/>
      <c r="V413" s="442"/>
      <c r="W413" s="443"/>
    </row>
    <row r="414" spans="1:24" ht="18.75" customHeight="1">
      <c r="A414" s="440" t="s">
        <v>43</v>
      </c>
      <c r="B414" s="441"/>
      <c r="C414" s="441"/>
      <c r="D414" s="441"/>
      <c r="E414" s="52" t="s">
        <v>41</v>
      </c>
      <c r="F414" s="441" t="str">
        <f>+$L$2</f>
        <v xml:space="preserve">Tổ  </v>
      </c>
      <c r="G414" s="441"/>
      <c r="H414" s="441"/>
      <c r="I414" s="441"/>
      <c r="J414" s="441"/>
      <c r="K414" s="444"/>
      <c r="M414" s="440" t="s">
        <v>43</v>
      </c>
      <c r="N414" s="441"/>
      <c r="O414" s="441"/>
      <c r="P414" s="441"/>
      <c r="Q414" s="52" t="s">
        <v>41</v>
      </c>
      <c r="R414" s="441" t="str">
        <f>+$L$2</f>
        <v xml:space="preserve">Tổ  </v>
      </c>
      <c r="S414" s="441"/>
      <c r="T414" s="441"/>
      <c r="U414" s="441"/>
      <c r="V414" s="441"/>
      <c r="W414" s="444"/>
    </row>
    <row r="415" spans="1:24" ht="18.75" customHeight="1">
      <c r="A415" s="448" t="s">
        <v>44</v>
      </c>
      <c r="B415" s="449"/>
      <c r="C415" s="449"/>
      <c r="D415" s="449"/>
      <c r="E415" s="449"/>
      <c r="F415" s="449"/>
      <c r="G415" s="449"/>
      <c r="H415" s="449"/>
      <c r="I415" s="449"/>
      <c r="J415" s="449"/>
      <c r="K415" s="450"/>
      <c r="M415" s="448" t="s">
        <v>44</v>
      </c>
      <c r="N415" s="449"/>
      <c r="O415" s="449"/>
      <c r="P415" s="449"/>
      <c r="Q415" s="449"/>
      <c r="R415" s="449"/>
      <c r="S415" s="449"/>
      <c r="T415" s="449"/>
      <c r="U415" s="449"/>
      <c r="V415" s="449"/>
      <c r="W415" s="450"/>
    </row>
    <row r="416" spans="1:24" ht="18.75" customHeight="1">
      <c r="A416" s="440" t="s">
        <v>45</v>
      </c>
      <c r="B416" s="441"/>
      <c r="C416" s="441"/>
      <c r="D416" s="441"/>
      <c r="E416" s="52" t="s">
        <v>41</v>
      </c>
      <c r="F416" s="455">
        <f>VLOOKUP(F413,'Bang TH nop'!$C$9:$AP$266,29,0)</f>
        <v>0</v>
      </c>
      <c r="G416" s="455"/>
      <c r="H416" s="455"/>
      <c r="I416" s="455"/>
      <c r="J416" s="52" t="s">
        <v>46</v>
      </c>
      <c r="K416" s="54"/>
      <c r="M416" s="440" t="s">
        <v>45</v>
      </c>
      <c r="N416" s="441"/>
      <c r="O416" s="441"/>
      <c r="P416" s="441"/>
      <c r="Q416" s="52" t="s">
        <v>41</v>
      </c>
      <c r="R416" s="455">
        <f>VLOOKUP(R413,'Bang TH nop'!$C$9:$AP$266,29,0)</f>
        <v>0</v>
      </c>
      <c r="S416" s="455"/>
      <c r="T416" s="455"/>
      <c r="U416" s="455"/>
      <c r="V416" s="52" t="s">
        <v>46</v>
      </c>
      <c r="W416" s="54"/>
    </row>
    <row r="417" spans="1:24" ht="18.75" customHeight="1">
      <c r="A417" s="55" t="s">
        <v>47</v>
      </c>
      <c r="B417" s="52"/>
      <c r="C417" s="56"/>
      <c r="D417" s="57"/>
      <c r="E417" s="58"/>
      <c r="F417" s="58"/>
      <c r="G417" s="58"/>
      <c r="H417" s="52"/>
      <c r="I417" s="59">
        <f>'LƯƠNG Tx'!F53</f>
        <v>0</v>
      </c>
      <c r="J417" s="60"/>
      <c r="K417" s="61"/>
      <c r="M417" s="55" t="s">
        <v>47</v>
      </c>
      <c r="N417" s="52"/>
      <c r="O417" s="56"/>
      <c r="P417" s="57"/>
      <c r="Q417" s="58"/>
      <c r="R417" s="58"/>
      <c r="S417" s="58"/>
      <c r="T417" s="52"/>
      <c r="U417" s="59">
        <f>'LƯƠNG Tx'!F55</f>
        <v>0</v>
      </c>
      <c r="V417" s="60"/>
      <c r="W417" s="61"/>
    </row>
    <row r="418" spans="1:24" ht="18.75" customHeight="1">
      <c r="A418" s="55" t="s">
        <v>48</v>
      </c>
      <c r="B418" s="52"/>
      <c r="C418" s="56"/>
      <c r="D418" s="57"/>
      <c r="E418" s="58"/>
      <c r="F418" s="58"/>
      <c r="G418" s="58"/>
      <c r="H418" s="52"/>
      <c r="I418" s="59" t="e">
        <f>I419/C419/8</f>
        <v>#DIV/0!</v>
      </c>
      <c r="J418" s="60"/>
      <c r="K418" s="61"/>
      <c r="M418" s="55" t="s">
        <v>48</v>
      </c>
      <c r="N418" s="52"/>
      <c r="O418" s="56"/>
      <c r="P418" s="57"/>
      <c r="Q418" s="58"/>
      <c r="R418" s="58"/>
      <c r="S418" s="58"/>
      <c r="T418" s="52"/>
      <c r="U418" s="59" t="e">
        <f>U419/O419/8</f>
        <v>#DIV/0!</v>
      </c>
      <c r="V418" s="60"/>
      <c r="W418" s="61"/>
    </row>
    <row r="419" spans="1:24" ht="18.75" customHeight="1">
      <c r="A419" s="55" t="s">
        <v>49</v>
      </c>
      <c r="B419" s="52" t="s">
        <v>41</v>
      </c>
      <c r="C419" s="56">
        <f>'LƯƠNG Tx'!I52</f>
        <v>0</v>
      </c>
      <c r="D419" s="57" t="s">
        <v>50</v>
      </c>
      <c r="E419" s="453" t="s">
        <v>51</v>
      </c>
      <c r="F419" s="453"/>
      <c r="G419" s="453"/>
      <c r="H419" s="52" t="s">
        <v>41</v>
      </c>
      <c r="I419" s="454">
        <f>'LƯƠNG Tx'!I53</f>
        <v>0</v>
      </c>
      <c r="J419" s="454"/>
      <c r="K419" s="61" t="s">
        <v>46</v>
      </c>
      <c r="L419" s="62">
        <f>F416/L409*C419</f>
        <v>0</v>
      </c>
      <c r="M419" s="55" t="s">
        <v>49</v>
      </c>
      <c r="N419" s="52" t="s">
        <v>41</v>
      </c>
      <c r="O419" s="56">
        <f>'LƯƠNG Tx'!I54</f>
        <v>0</v>
      </c>
      <c r="P419" s="57" t="s">
        <v>50</v>
      </c>
      <c r="Q419" s="453" t="s">
        <v>51</v>
      </c>
      <c r="R419" s="453"/>
      <c r="S419" s="453"/>
      <c r="T419" s="52" t="s">
        <v>41</v>
      </c>
      <c r="U419" s="454">
        <f>'LƯƠNG Tx'!I55</f>
        <v>0</v>
      </c>
      <c r="V419" s="454"/>
      <c r="W419" s="61" t="s">
        <v>46</v>
      </c>
      <c r="X419" s="62">
        <f>R416/X409*O419</f>
        <v>0</v>
      </c>
    </row>
    <row r="420" spans="1:24" ht="18.75" customHeight="1">
      <c r="A420" s="55" t="s">
        <v>52</v>
      </c>
      <c r="B420" s="52" t="s">
        <v>41</v>
      </c>
      <c r="C420" s="56">
        <f>'LƯƠNG Tx'!J52</f>
        <v>0</v>
      </c>
      <c r="D420" s="57" t="s">
        <v>50</v>
      </c>
      <c r="E420" s="441" t="s">
        <v>53</v>
      </c>
      <c r="F420" s="441"/>
      <c r="G420" s="441"/>
      <c r="H420" s="52" t="s">
        <v>41</v>
      </c>
      <c r="I420" s="452">
        <f>$F$8/$L$1*C420</f>
        <v>0</v>
      </c>
      <c r="J420" s="452"/>
      <c r="K420" s="61" t="s">
        <v>46</v>
      </c>
      <c r="L420" s="62"/>
      <c r="M420" s="55" t="s">
        <v>52</v>
      </c>
      <c r="N420" s="52" t="s">
        <v>41</v>
      </c>
      <c r="O420" s="56">
        <f>'LƯƠNG Tx'!J54</f>
        <v>0</v>
      </c>
      <c r="P420" s="57" t="s">
        <v>50</v>
      </c>
      <c r="Q420" s="441" t="s">
        <v>53</v>
      </c>
      <c r="R420" s="441"/>
      <c r="S420" s="441"/>
      <c r="T420" s="52" t="s">
        <v>41</v>
      </c>
      <c r="U420" s="452">
        <f>$F$8/$L$1*O420</f>
        <v>0</v>
      </c>
      <c r="V420" s="452"/>
      <c r="W420" s="61" t="s">
        <v>46</v>
      </c>
      <c r="X420" s="62"/>
    </row>
    <row r="421" spans="1:24" ht="18.75" customHeight="1">
      <c r="A421" s="55" t="s">
        <v>54</v>
      </c>
      <c r="B421" s="52" t="s">
        <v>41</v>
      </c>
      <c r="C421" s="56">
        <f>'LƯƠNG Tx'!K52</f>
        <v>0</v>
      </c>
      <c r="D421" s="57" t="s">
        <v>50</v>
      </c>
      <c r="E421" s="451" t="s">
        <v>55</v>
      </c>
      <c r="F421" s="451"/>
      <c r="G421" s="451"/>
      <c r="H421" s="52" t="s">
        <v>41</v>
      </c>
      <c r="I421" s="452">
        <f>$F$8/$L$1*C421</f>
        <v>0</v>
      </c>
      <c r="J421" s="452"/>
      <c r="K421" s="61" t="s">
        <v>46</v>
      </c>
      <c r="L421" s="62"/>
      <c r="M421" s="55" t="s">
        <v>54</v>
      </c>
      <c r="N421" s="52" t="s">
        <v>41</v>
      </c>
      <c r="O421" s="56">
        <f>'LƯƠNG Tx'!K54</f>
        <v>0</v>
      </c>
      <c r="P421" s="57" t="s">
        <v>50</v>
      </c>
      <c r="Q421" s="451" t="s">
        <v>55</v>
      </c>
      <c r="R421" s="451"/>
      <c r="S421" s="451"/>
      <c r="T421" s="52" t="s">
        <v>41</v>
      </c>
      <c r="U421" s="452">
        <f>$F$8/$L$1*O421</f>
        <v>0</v>
      </c>
      <c r="V421" s="452"/>
      <c r="W421" s="61" t="s">
        <v>46</v>
      </c>
      <c r="X421" s="62"/>
    </row>
    <row r="422" spans="1:24" ht="18.75" customHeight="1">
      <c r="A422" s="55" t="s">
        <v>56</v>
      </c>
      <c r="B422" s="52" t="s">
        <v>41</v>
      </c>
      <c r="C422" s="56">
        <f>'LƯƠNG Tx'!L52</f>
        <v>0</v>
      </c>
      <c r="D422" s="57" t="s">
        <v>50</v>
      </c>
      <c r="E422" s="451" t="s">
        <v>57</v>
      </c>
      <c r="F422" s="451"/>
      <c r="G422" s="451"/>
      <c r="H422" s="52" t="s">
        <v>41</v>
      </c>
      <c r="I422" s="452">
        <f>$F$8/$L$1*C422</f>
        <v>0</v>
      </c>
      <c r="J422" s="452"/>
      <c r="K422" s="61" t="s">
        <v>46</v>
      </c>
      <c r="L422" s="62"/>
      <c r="M422" s="55" t="s">
        <v>56</v>
      </c>
      <c r="N422" s="52" t="s">
        <v>41</v>
      </c>
      <c r="O422" s="56">
        <f>'LƯƠNG Tx'!L54</f>
        <v>0</v>
      </c>
      <c r="P422" s="57" t="s">
        <v>50</v>
      </c>
      <c r="Q422" s="451" t="s">
        <v>57</v>
      </c>
      <c r="R422" s="451"/>
      <c r="S422" s="451"/>
      <c r="T422" s="52" t="s">
        <v>41</v>
      </c>
      <c r="U422" s="452">
        <f>$F$8/$L$1*O422</f>
        <v>0</v>
      </c>
      <c r="V422" s="452"/>
      <c r="W422" s="61" t="s">
        <v>46</v>
      </c>
      <c r="X422" s="62"/>
    </row>
    <row r="423" spans="1:24" ht="18.75" customHeight="1">
      <c r="A423" s="55" t="s">
        <v>58</v>
      </c>
      <c r="B423" s="52" t="s">
        <v>41</v>
      </c>
      <c r="C423" s="56">
        <f>'LƯƠNG Tx'!Q52</f>
        <v>0</v>
      </c>
      <c r="D423" s="57" t="s">
        <v>59</v>
      </c>
      <c r="E423" s="441" t="s">
        <v>60</v>
      </c>
      <c r="F423" s="441"/>
      <c r="G423" s="441"/>
      <c r="H423" s="52" t="s">
        <v>41</v>
      </c>
      <c r="I423" s="452">
        <f>'LƯƠNG Tx'!Q53</f>
        <v>0</v>
      </c>
      <c r="J423" s="452"/>
      <c r="K423" s="61" t="s">
        <v>46</v>
      </c>
      <c r="L423" s="62">
        <f>F416*C423/L409/8*1.5</f>
        <v>0</v>
      </c>
      <c r="M423" s="55" t="s">
        <v>58</v>
      </c>
      <c r="N423" s="52" t="s">
        <v>41</v>
      </c>
      <c r="O423" s="56">
        <f>'LƯƠNG Tx'!Q54</f>
        <v>0</v>
      </c>
      <c r="P423" s="57" t="s">
        <v>59</v>
      </c>
      <c r="Q423" s="441" t="s">
        <v>60</v>
      </c>
      <c r="R423" s="441"/>
      <c r="S423" s="441"/>
      <c r="T423" s="52" t="s">
        <v>41</v>
      </c>
      <c r="U423" s="452">
        <f>'LƯƠNG Tx'!Q55</f>
        <v>0</v>
      </c>
      <c r="V423" s="452"/>
      <c r="W423" s="61" t="s">
        <v>46</v>
      </c>
      <c r="X423" s="62">
        <f>R416*O423/X409/8*1.5</f>
        <v>0</v>
      </c>
    </row>
    <row r="424" spans="1:24" ht="18.75" customHeight="1">
      <c r="A424" s="440" t="s">
        <v>61</v>
      </c>
      <c r="B424" s="441"/>
      <c r="C424" s="56"/>
      <c r="D424" s="57" t="s">
        <v>50</v>
      </c>
      <c r="E424" s="441" t="s">
        <v>62</v>
      </c>
      <c r="F424" s="441"/>
      <c r="G424" s="441"/>
      <c r="H424" s="63" t="s">
        <v>41</v>
      </c>
      <c r="I424" s="452"/>
      <c r="J424" s="452"/>
      <c r="K424" s="61" t="s">
        <v>46</v>
      </c>
      <c r="L424" s="62"/>
      <c r="M424" s="440" t="s">
        <v>61</v>
      </c>
      <c r="N424" s="441"/>
      <c r="O424" s="56"/>
      <c r="P424" s="57" t="s">
        <v>50</v>
      </c>
      <c r="Q424" s="441" t="s">
        <v>62</v>
      </c>
      <c r="R424" s="441"/>
      <c r="S424" s="441"/>
      <c r="T424" s="63" t="s">
        <v>41</v>
      </c>
      <c r="U424" s="452"/>
      <c r="V424" s="452"/>
      <c r="W424" s="61" t="s">
        <v>46</v>
      </c>
      <c r="X424" s="62"/>
    </row>
    <row r="425" spans="1:24" ht="18.75" customHeight="1">
      <c r="A425" s="55" t="s">
        <v>63</v>
      </c>
      <c r="B425" s="52" t="s">
        <v>41</v>
      </c>
      <c r="C425" s="56"/>
      <c r="D425" s="57" t="s">
        <v>50</v>
      </c>
      <c r="E425" s="441" t="s">
        <v>64</v>
      </c>
      <c r="F425" s="441"/>
      <c r="G425" s="441"/>
      <c r="H425" s="52" t="s">
        <v>41</v>
      </c>
      <c r="I425" s="452"/>
      <c r="J425" s="452"/>
      <c r="K425" s="61" t="s">
        <v>46</v>
      </c>
      <c r="L425" s="62"/>
      <c r="M425" s="55" t="s">
        <v>63</v>
      </c>
      <c r="N425" s="52" t="s">
        <v>41</v>
      </c>
      <c r="O425" s="56"/>
      <c r="P425" s="57" t="s">
        <v>50</v>
      </c>
      <c r="Q425" s="441" t="s">
        <v>64</v>
      </c>
      <c r="R425" s="441"/>
      <c r="S425" s="441"/>
      <c r="T425" s="52" t="s">
        <v>41</v>
      </c>
      <c r="U425" s="452"/>
      <c r="V425" s="452"/>
      <c r="W425" s="61" t="s">
        <v>46</v>
      </c>
      <c r="X425" s="62"/>
    </row>
    <row r="426" spans="1:24" ht="18.75" customHeight="1">
      <c r="A426" s="64" t="s">
        <v>65</v>
      </c>
      <c r="B426" s="52"/>
      <c r="C426" s="56">
        <f>'LƯƠNG Tx'!M52</f>
        <v>0</v>
      </c>
      <c r="D426" s="57" t="s">
        <v>59</v>
      </c>
      <c r="E426" s="441" t="s">
        <v>66</v>
      </c>
      <c r="F426" s="441"/>
      <c r="G426" s="441"/>
      <c r="H426" s="52" t="s">
        <v>41</v>
      </c>
      <c r="I426" s="452">
        <f>$F$8*C426/8/$L$1</f>
        <v>0</v>
      </c>
      <c r="J426" s="452"/>
      <c r="K426" s="61" t="s">
        <v>46</v>
      </c>
      <c r="L426" s="62"/>
      <c r="M426" s="64" t="s">
        <v>65</v>
      </c>
      <c r="N426" s="52"/>
      <c r="O426" s="56">
        <f>'LƯƠNG Tx'!M54</f>
        <v>0</v>
      </c>
      <c r="P426" s="57" t="s">
        <v>59</v>
      </c>
      <c r="Q426" s="441" t="s">
        <v>66</v>
      </c>
      <c r="R426" s="441"/>
      <c r="S426" s="441"/>
      <c r="T426" s="52" t="s">
        <v>41</v>
      </c>
      <c r="U426" s="452">
        <f>$F$8*O426/8/$L$1</f>
        <v>0</v>
      </c>
      <c r="V426" s="452"/>
      <c r="W426" s="61" t="s">
        <v>46</v>
      </c>
      <c r="X426" s="62"/>
    </row>
    <row r="427" spans="1:24" ht="18.75" customHeight="1">
      <c r="A427" s="55" t="s">
        <v>167</v>
      </c>
      <c r="B427" s="52" t="s">
        <v>41</v>
      </c>
      <c r="C427" s="56"/>
      <c r="D427" s="57" t="s">
        <v>59</v>
      </c>
      <c r="E427" s="441" t="s">
        <v>73</v>
      </c>
      <c r="F427" s="441"/>
      <c r="G427" s="441"/>
      <c r="H427" s="52" t="s">
        <v>41</v>
      </c>
      <c r="I427" s="454"/>
      <c r="J427" s="454"/>
      <c r="K427" s="61" t="s">
        <v>46</v>
      </c>
      <c r="L427" s="62"/>
      <c r="M427" s="55" t="s">
        <v>167</v>
      </c>
      <c r="N427" s="52" t="s">
        <v>41</v>
      </c>
      <c r="O427" s="56"/>
      <c r="P427" s="57" t="s">
        <v>59</v>
      </c>
      <c r="Q427" s="441" t="s">
        <v>73</v>
      </c>
      <c r="R427" s="441"/>
      <c r="S427" s="441"/>
      <c r="T427" s="52" t="s">
        <v>41</v>
      </c>
      <c r="U427" s="454"/>
      <c r="V427" s="454"/>
      <c r="W427" s="61" t="s">
        <v>46</v>
      </c>
      <c r="X427" s="62"/>
    </row>
    <row r="428" spans="1:24" ht="18.75" customHeight="1">
      <c r="A428" s="55" t="s">
        <v>69</v>
      </c>
      <c r="B428" s="52" t="s">
        <v>41</v>
      </c>
      <c r="C428" s="56"/>
      <c r="D428" s="57" t="s">
        <v>70</v>
      </c>
      <c r="E428" s="53" t="s">
        <v>71</v>
      </c>
      <c r="F428" s="53"/>
      <c r="G428" s="53"/>
      <c r="H428" s="52" t="s">
        <v>41</v>
      </c>
      <c r="I428" s="452"/>
      <c r="J428" s="452"/>
      <c r="K428" s="61" t="s">
        <v>46</v>
      </c>
      <c r="L428" s="62">
        <f>+IF(L419-I419&lt;0,0,L419-I419)+IF(L423-I423&lt;0,0,L423-I423)</f>
        <v>0</v>
      </c>
      <c r="M428" s="55" t="s">
        <v>69</v>
      </c>
      <c r="N428" s="52" t="s">
        <v>41</v>
      </c>
      <c r="O428" s="56"/>
      <c r="P428" s="57" t="s">
        <v>70</v>
      </c>
      <c r="Q428" s="53" t="s">
        <v>71</v>
      </c>
      <c r="R428" s="53"/>
      <c r="S428" s="53"/>
      <c r="T428" s="52" t="s">
        <v>41</v>
      </c>
      <c r="U428" s="452"/>
      <c r="V428" s="452"/>
      <c r="W428" s="61" t="s">
        <v>46</v>
      </c>
      <c r="X428" s="62">
        <f>+IF(X419-U419&lt;0,0,X419-U419)+IF(X423-U423&lt;0,0,X423-U423)</f>
        <v>0</v>
      </c>
    </row>
    <row r="429" spans="1:24" ht="18.75" customHeight="1">
      <c r="A429" s="65" t="s">
        <v>72</v>
      </c>
      <c r="B429" s="66"/>
      <c r="C429" s="56"/>
      <c r="D429" s="57" t="s">
        <v>50</v>
      </c>
      <c r="E429" s="441" t="s">
        <v>73</v>
      </c>
      <c r="F429" s="441"/>
      <c r="G429" s="441"/>
      <c r="H429" s="52" t="s">
        <v>41</v>
      </c>
      <c r="I429" s="452"/>
      <c r="J429" s="452"/>
      <c r="K429" s="61" t="s">
        <v>46</v>
      </c>
      <c r="L429" s="62"/>
      <c r="M429" s="65" t="s">
        <v>72</v>
      </c>
      <c r="N429" s="66"/>
      <c r="O429" s="56"/>
      <c r="P429" s="57" t="s">
        <v>50</v>
      </c>
      <c r="Q429" s="441" t="s">
        <v>73</v>
      </c>
      <c r="R429" s="441"/>
      <c r="S429" s="441"/>
      <c r="T429" s="52" t="s">
        <v>41</v>
      </c>
      <c r="U429" s="452"/>
      <c r="V429" s="452"/>
      <c r="W429" s="61" t="s">
        <v>46</v>
      </c>
      <c r="X429" s="62"/>
    </row>
    <row r="430" spans="1:24" ht="18.75" customHeight="1">
      <c r="A430" s="477" t="s">
        <v>74</v>
      </c>
      <c r="B430" s="453"/>
      <c r="C430" s="56"/>
      <c r="D430" s="57"/>
      <c r="E430" s="58"/>
      <c r="F430" s="58"/>
      <c r="G430" s="58"/>
      <c r="H430" s="52" t="s">
        <v>41</v>
      </c>
      <c r="I430" s="452">
        <f>'LƯƠNG Tx'!P53</f>
        <v>0</v>
      </c>
      <c r="J430" s="452"/>
      <c r="K430" s="61" t="s">
        <v>46</v>
      </c>
      <c r="L430" s="62"/>
      <c r="M430" s="477" t="s">
        <v>74</v>
      </c>
      <c r="N430" s="453"/>
      <c r="O430" s="56"/>
      <c r="P430" s="57"/>
      <c r="Q430" s="58"/>
      <c r="R430" s="58"/>
      <c r="S430" s="58"/>
      <c r="T430" s="52" t="s">
        <v>41</v>
      </c>
      <c r="U430" s="452">
        <f>'LƯƠNG Tx'!P55</f>
        <v>0</v>
      </c>
      <c r="V430" s="452"/>
      <c r="W430" s="61" t="s">
        <v>46</v>
      </c>
      <c r="X430" s="62"/>
    </row>
    <row r="431" spans="1:24" ht="18.75" customHeight="1">
      <c r="A431" s="55" t="s">
        <v>75</v>
      </c>
      <c r="B431" s="52" t="s">
        <v>41</v>
      </c>
      <c r="C431" s="56"/>
      <c r="D431" s="57"/>
      <c r="E431" s="58" t="s">
        <v>76</v>
      </c>
      <c r="F431" s="58"/>
      <c r="G431" s="58"/>
      <c r="H431" s="52" t="s">
        <v>41</v>
      </c>
      <c r="I431" s="452">
        <f>L428</f>
        <v>0</v>
      </c>
      <c r="J431" s="452"/>
      <c r="K431" s="61" t="s">
        <v>46</v>
      </c>
      <c r="L431" s="62"/>
      <c r="M431" s="55" t="s">
        <v>75</v>
      </c>
      <c r="N431" s="52" t="s">
        <v>41</v>
      </c>
      <c r="O431" s="56"/>
      <c r="P431" s="57"/>
      <c r="Q431" s="58" t="s">
        <v>76</v>
      </c>
      <c r="R431" s="58"/>
      <c r="S431" s="58"/>
      <c r="T431" s="52" t="s">
        <v>41</v>
      </c>
      <c r="U431" s="452">
        <f>X428</f>
        <v>0</v>
      </c>
      <c r="V431" s="452"/>
      <c r="W431" s="61" t="s">
        <v>46</v>
      </c>
      <c r="X431" s="62"/>
    </row>
    <row r="432" spans="1:24" ht="18.75" customHeight="1">
      <c r="A432" s="456" t="s">
        <v>77</v>
      </c>
      <c r="B432" s="457"/>
      <c r="C432" s="457"/>
      <c r="D432" s="457"/>
      <c r="E432" s="457"/>
      <c r="F432" s="457"/>
      <c r="G432" s="52" t="s">
        <v>41</v>
      </c>
      <c r="H432" s="458">
        <f>I419+I420+I421+I422+I423+I426+I430+I431+I424+I425+I427+I428+I429+C430</f>
        <v>0</v>
      </c>
      <c r="I432" s="459"/>
      <c r="J432" s="459"/>
      <c r="K432" s="61" t="s">
        <v>46</v>
      </c>
      <c r="M432" s="456" t="s">
        <v>77</v>
      </c>
      <c r="N432" s="457"/>
      <c r="O432" s="457"/>
      <c r="P432" s="457"/>
      <c r="Q432" s="457"/>
      <c r="R432" s="457"/>
      <c r="S432" s="52" t="s">
        <v>41</v>
      </c>
      <c r="T432" s="458">
        <f>U419+U420+U421+U422+U423+U426+U430+U431+U424+U425+U427+U428+U429+O430</f>
        <v>0</v>
      </c>
      <c r="U432" s="459"/>
      <c r="V432" s="459"/>
      <c r="W432" s="61" t="s">
        <v>46</v>
      </c>
    </row>
    <row r="433" spans="1:24" ht="18.75" customHeight="1">
      <c r="A433" s="67"/>
      <c r="B433" s="68"/>
      <c r="C433" s="68"/>
      <c r="D433" s="68"/>
      <c r="E433" s="68"/>
      <c r="F433" s="68"/>
      <c r="G433" s="68"/>
      <c r="H433" s="68"/>
      <c r="I433" s="68"/>
      <c r="J433" s="68"/>
      <c r="K433" s="69"/>
      <c r="M433" s="67"/>
      <c r="N433" s="68"/>
      <c r="O433" s="68"/>
      <c r="P433" s="68"/>
      <c r="Q433" s="68"/>
      <c r="R433" s="68"/>
      <c r="S433" s="68"/>
      <c r="T433" s="68"/>
      <c r="U433" s="68"/>
      <c r="V433" s="68"/>
      <c r="W433" s="69"/>
    </row>
    <row r="434" spans="1:24" ht="18.75" customHeight="1">
      <c r="A434" s="468" t="s">
        <v>78</v>
      </c>
      <c r="B434" s="469"/>
      <c r="C434" s="469"/>
      <c r="D434" s="469"/>
      <c r="E434" s="469"/>
      <c r="F434" s="469"/>
      <c r="G434" s="52"/>
      <c r="H434" s="52"/>
      <c r="I434" s="52"/>
      <c r="J434" s="52"/>
      <c r="K434" s="61"/>
      <c r="M434" s="468" t="s">
        <v>78</v>
      </c>
      <c r="N434" s="469"/>
      <c r="O434" s="469"/>
      <c r="P434" s="469"/>
      <c r="Q434" s="469"/>
      <c r="R434" s="469"/>
      <c r="S434" s="52"/>
      <c r="T434" s="52"/>
      <c r="U434" s="52"/>
      <c r="V434" s="52"/>
      <c r="W434" s="61"/>
    </row>
    <row r="435" spans="1:24" ht="18.75" customHeight="1">
      <c r="A435" s="462" t="s">
        <v>79</v>
      </c>
      <c r="B435" s="463"/>
      <c r="C435" s="463"/>
      <c r="D435" s="463"/>
      <c r="E435" s="463"/>
      <c r="F435" s="463"/>
      <c r="G435" s="52" t="s">
        <v>41</v>
      </c>
      <c r="H435" s="470">
        <f>IF(($L$1-(C419+C420+C421+C422))&gt;12,0,F416*8%)</f>
        <v>0</v>
      </c>
      <c r="I435" s="470"/>
      <c r="J435" s="470"/>
      <c r="K435" s="61" t="s">
        <v>46</v>
      </c>
      <c r="M435" s="462" t="s">
        <v>79</v>
      </c>
      <c r="N435" s="463"/>
      <c r="O435" s="463"/>
      <c r="P435" s="463"/>
      <c r="Q435" s="463"/>
      <c r="R435" s="463"/>
      <c r="S435" s="52" t="s">
        <v>41</v>
      </c>
      <c r="T435" s="470">
        <f>IF(($L$1-(O419+O420+O421+O422))&gt;12,0,R416*8%)</f>
        <v>0</v>
      </c>
      <c r="U435" s="470"/>
      <c r="V435" s="470"/>
      <c r="W435" s="61" t="s">
        <v>46</v>
      </c>
    </row>
    <row r="436" spans="1:24" ht="18.75" customHeight="1">
      <c r="A436" s="462" t="s">
        <v>80</v>
      </c>
      <c r="B436" s="463"/>
      <c r="C436" s="463"/>
      <c r="D436" s="463"/>
      <c r="E436" s="463"/>
      <c r="F436" s="463"/>
      <c r="G436" s="52" t="s">
        <v>41</v>
      </c>
      <c r="H436" s="464">
        <f>IF(($L$1-(C419+C420+C421+C422))&gt;12,0,F416*1.5%)</f>
        <v>0</v>
      </c>
      <c r="I436" s="464"/>
      <c r="J436" s="464"/>
      <c r="K436" s="61" t="s">
        <v>46</v>
      </c>
      <c r="M436" s="462" t="s">
        <v>80</v>
      </c>
      <c r="N436" s="463"/>
      <c r="O436" s="463"/>
      <c r="P436" s="463"/>
      <c r="Q436" s="463"/>
      <c r="R436" s="463"/>
      <c r="S436" s="52" t="s">
        <v>41</v>
      </c>
      <c r="T436" s="464">
        <f>IF(($L$1-(O419+O420+O421+O422))&gt;12,0,R416*1.5%)</f>
        <v>0</v>
      </c>
      <c r="U436" s="464"/>
      <c r="V436" s="464"/>
      <c r="W436" s="61" t="s">
        <v>46</v>
      </c>
    </row>
    <row r="437" spans="1:24" ht="18.75" customHeight="1">
      <c r="A437" s="462" t="s">
        <v>81</v>
      </c>
      <c r="B437" s="463"/>
      <c r="C437" s="463"/>
      <c r="D437" s="463"/>
      <c r="E437" s="463"/>
      <c r="F437" s="463"/>
      <c r="G437" s="52" t="s">
        <v>41</v>
      </c>
      <c r="H437" s="464">
        <f>IF(($L$1-(C419+C420+C421+C422))&gt;12,0,F416*1%)</f>
        <v>0</v>
      </c>
      <c r="I437" s="464"/>
      <c r="J437" s="464"/>
      <c r="K437" s="61" t="s">
        <v>46</v>
      </c>
      <c r="M437" s="462" t="s">
        <v>81</v>
      </c>
      <c r="N437" s="463"/>
      <c r="O437" s="463"/>
      <c r="P437" s="463"/>
      <c r="Q437" s="463"/>
      <c r="R437" s="463"/>
      <c r="S437" s="52" t="s">
        <v>41</v>
      </c>
      <c r="T437" s="464">
        <f>IF(($L$1-(O419+O420+O421+O422))&gt;12,0,R416*1%)</f>
        <v>0</v>
      </c>
      <c r="U437" s="464"/>
      <c r="V437" s="464"/>
      <c r="W437" s="61" t="s">
        <v>46</v>
      </c>
    </row>
    <row r="438" spans="1:24" ht="18.75" customHeight="1">
      <c r="A438" s="462" t="s">
        <v>82</v>
      </c>
      <c r="B438" s="463"/>
      <c r="C438" s="463"/>
      <c r="D438" s="463"/>
      <c r="E438" s="463"/>
      <c r="F438" s="463"/>
      <c r="G438" s="52" t="s">
        <v>41</v>
      </c>
      <c r="H438" s="464">
        <v>0</v>
      </c>
      <c r="I438" s="464"/>
      <c r="J438" s="464"/>
      <c r="K438" s="61" t="s">
        <v>46</v>
      </c>
      <c r="M438" s="462" t="s">
        <v>82</v>
      </c>
      <c r="N438" s="463"/>
      <c r="O438" s="463"/>
      <c r="P438" s="463"/>
      <c r="Q438" s="463"/>
      <c r="R438" s="463"/>
      <c r="S438" s="52" t="s">
        <v>41</v>
      </c>
      <c r="T438" s="464">
        <v>0</v>
      </c>
      <c r="U438" s="464"/>
      <c r="V438" s="464"/>
      <c r="W438" s="61" t="s">
        <v>46</v>
      </c>
    </row>
    <row r="439" spans="1:24" ht="18.75" customHeight="1">
      <c r="A439" s="465" t="s">
        <v>83</v>
      </c>
      <c r="B439" s="466"/>
      <c r="C439" s="466"/>
      <c r="D439" s="466"/>
      <c r="E439" s="466"/>
      <c r="F439" s="466"/>
      <c r="G439" s="52" t="s">
        <v>41</v>
      </c>
      <c r="H439" s="467">
        <f>SUM(H435:J438)</f>
        <v>0</v>
      </c>
      <c r="I439" s="467"/>
      <c r="J439" s="467"/>
      <c r="K439" s="61" t="s">
        <v>46</v>
      </c>
      <c r="M439" s="465" t="s">
        <v>83</v>
      </c>
      <c r="N439" s="466"/>
      <c r="O439" s="466"/>
      <c r="P439" s="466"/>
      <c r="Q439" s="466"/>
      <c r="R439" s="466"/>
      <c r="S439" s="52" t="s">
        <v>41</v>
      </c>
      <c r="T439" s="467">
        <f>SUM(T435:V438)</f>
        <v>0</v>
      </c>
      <c r="U439" s="467"/>
      <c r="V439" s="467"/>
      <c r="W439" s="61" t="s">
        <v>46</v>
      </c>
    </row>
    <row r="440" spans="1:24" ht="18.75" customHeight="1">
      <c r="A440" s="462" t="s">
        <v>84</v>
      </c>
      <c r="B440" s="463"/>
      <c r="C440" s="463"/>
      <c r="D440" s="463"/>
      <c r="E440" s="463"/>
      <c r="F440" s="463"/>
      <c r="G440" s="52" t="s">
        <v>41</v>
      </c>
      <c r="H440" s="475">
        <f>ROUND(H432-H439,-2)</f>
        <v>0</v>
      </c>
      <c r="I440" s="475"/>
      <c r="J440" s="475"/>
      <c r="K440" s="61" t="s">
        <v>46</v>
      </c>
      <c r="M440" s="462" t="s">
        <v>84</v>
      </c>
      <c r="N440" s="463"/>
      <c r="O440" s="463"/>
      <c r="P440" s="463"/>
      <c r="Q440" s="463"/>
      <c r="R440" s="463"/>
      <c r="S440" s="52" t="s">
        <v>41</v>
      </c>
      <c r="T440" s="475">
        <f>ROUND(T432-T439,-2)</f>
        <v>0</v>
      </c>
      <c r="U440" s="475"/>
      <c r="V440" s="475"/>
      <c r="W440" s="61" t="s">
        <v>46</v>
      </c>
    </row>
    <row r="441" spans="1:24" ht="18.75" customHeight="1">
      <c r="A441" s="70"/>
      <c r="B441" s="71"/>
      <c r="C441" s="71"/>
      <c r="D441" s="71"/>
      <c r="E441" s="71"/>
      <c r="F441" s="71"/>
      <c r="G441" s="71"/>
      <c r="H441" s="71"/>
      <c r="I441" s="71"/>
      <c r="J441" s="71"/>
      <c r="K441" s="72"/>
      <c r="M441" s="70"/>
      <c r="N441" s="71"/>
      <c r="O441" s="71"/>
      <c r="P441" s="71"/>
      <c r="Q441" s="71"/>
      <c r="R441" s="71"/>
      <c r="S441" s="71"/>
      <c r="T441" s="71"/>
      <c r="U441" s="71"/>
      <c r="V441" s="71"/>
      <c r="W441" s="72"/>
    </row>
    <row r="442" spans="1:24" ht="18.75" customHeight="1">
      <c r="A442" s="73"/>
      <c r="B442" s="52"/>
      <c r="C442" s="52"/>
      <c r="D442" s="52"/>
      <c r="E442" s="52"/>
      <c r="F442" s="52"/>
      <c r="G442" s="52"/>
      <c r="H442" s="52"/>
      <c r="I442" s="472" t="s">
        <v>85</v>
      </c>
      <c r="J442" s="472"/>
      <c r="K442" s="476"/>
      <c r="M442" s="73"/>
      <c r="N442" s="52"/>
      <c r="O442" s="52"/>
      <c r="P442" s="52"/>
      <c r="Q442" s="52"/>
      <c r="R442" s="52"/>
      <c r="S442" s="52"/>
      <c r="T442" s="52"/>
      <c r="U442" s="472" t="s">
        <v>85</v>
      </c>
      <c r="V442" s="472"/>
      <c r="W442" s="476"/>
    </row>
    <row r="443" spans="1:24" ht="18.75" customHeight="1">
      <c r="A443" s="73"/>
      <c r="B443" s="471"/>
      <c r="C443" s="472"/>
      <c r="D443" s="472"/>
      <c r="E443" s="472"/>
      <c r="F443" s="52"/>
      <c r="G443" s="52"/>
      <c r="H443" s="52"/>
      <c r="I443" s="52"/>
      <c r="J443" s="52"/>
      <c r="K443" s="54"/>
      <c r="M443" s="73"/>
      <c r="N443" s="471"/>
      <c r="O443" s="472"/>
      <c r="P443" s="472"/>
      <c r="Q443" s="472"/>
      <c r="R443" s="52"/>
      <c r="S443" s="52"/>
      <c r="T443" s="52"/>
      <c r="U443" s="52"/>
      <c r="V443" s="52"/>
      <c r="W443" s="54"/>
    </row>
    <row r="444" spans="1:24" ht="18.75" customHeight="1" thickBot="1">
      <c r="A444" s="75"/>
      <c r="B444" s="76"/>
      <c r="C444" s="76"/>
      <c r="D444" s="76"/>
      <c r="E444" s="76"/>
      <c r="F444" s="76"/>
      <c r="G444" s="76"/>
      <c r="H444" s="76"/>
      <c r="I444" s="473" t="s">
        <v>86</v>
      </c>
      <c r="J444" s="473"/>
      <c r="K444" s="474"/>
      <c r="M444" s="75"/>
      <c r="N444" s="76"/>
      <c r="O444" s="76"/>
      <c r="P444" s="76"/>
      <c r="Q444" s="76"/>
      <c r="R444" s="76"/>
      <c r="S444" s="76"/>
      <c r="T444" s="76"/>
      <c r="U444" s="473" t="s">
        <v>86</v>
      </c>
      <c r="V444" s="473"/>
      <c r="W444" s="474"/>
    </row>
    <row r="445" spans="1:24" ht="18.75" customHeight="1" thickTop="1" thickBot="1"/>
    <row r="446" spans="1:24" ht="18.75" customHeight="1" thickTop="1">
      <c r="A446" s="445" t="s">
        <v>172</v>
      </c>
      <c r="B446" s="446"/>
      <c r="C446" s="446"/>
      <c r="D446" s="446"/>
      <c r="E446" s="446"/>
      <c r="F446" s="446"/>
      <c r="G446" s="446"/>
      <c r="H446" s="446"/>
      <c r="I446" s="446"/>
      <c r="J446" s="446"/>
      <c r="K446" s="447"/>
      <c r="L446" s="48">
        <v>26</v>
      </c>
      <c r="M446" s="445" t="s">
        <v>172</v>
      </c>
      <c r="N446" s="446"/>
      <c r="O446" s="446"/>
      <c r="P446" s="446"/>
      <c r="Q446" s="446"/>
      <c r="R446" s="446"/>
      <c r="S446" s="446"/>
      <c r="T446" s="446"/>
      <c r="U446" s="446"/>
      <c r="V446" s="446"/>
      <c r="W446" s="447"/>
      <c r="X446" s="48">
        <v>26</v>
      </c>
    </row>
    <row r="447" spans="1:24" ht="18.75" customHeight="1">
      <c r="A447" s="49" t="s">
        <v>111</v>
      </c>
      <c r="B447" s="50"/>
      <c r="C447" s="50"/>
      <c r="D447" s="50"/>
      <c r="E447" s="50"/>
      <c r="F447" s="50"/>
      <c r="G447" s="50"/>
      <c r="H447" s="50"/>
      <c r="I447" s="50"/>
      <c r="J447" s="50"/>
      <c r="K447" s="51"/>
      <c r="M447" s="49" t="s">
        <v>112</v>
      </c>
      <c r="N447" s="50"/>
      <c r="O447" s="50"/>
      <c r="P447" s="50"/>
      <c r="Q447" s="50"/>
      <c r="R447" s="50"/>
      <c r="S447" s="50"/>
      <c r="T447" s="50"/>
      <c r="U447" s="50"/>
      <c r="V447" s="50"/>
      <c r="W447" s="51"/>
    </row>
    <row r="448" spans="1:24" ht="18.75" customHeight="1">
      <c r="A448" s="448" t="s">
        <v>39</v>
      </c>
      <c r="B448" s="449"/>
      <c r="C448" s="449"/>
      <c r="D448" s="449"/>
      <c r="E448" s="449"/>
      <c r="F448" s="449"/>
      <c r="G448" s="449"/>
      <c r="H448" s="449"/>
      <c r="I448" s="449"/>
      <c r="J448" s="449"/>
      <c r="K448" s="450"/>
      <c r="M448" s="448" t="s">
        <v>39</v>
      </c>
      <c r="N448" s="449"/>
      <c r="O448" s="449"/>
      <c r="P448" s="449"/>
      <c r="Q448" s="449"/>
      <c r="R448" s="449"/>
      <c r="S448" s="449"/>
      <c r="T448" s="449"/>
      <c r="U448" s="449"/>
      <c r="V448" s="449"/>
      <c r="W448" s="450"/>
    </row>
    <row r="449" spans="1:24" ht="18.75" customHeight="1">
      <c r="A449" s="440" t="s">
        <v>40</v>
      </c>
      <c r="B449" s="441"/>
      <c r="C449" s="441"/>
      <c r="D449" s="441"/>
      <c r="E449" s="52" t="s">
        <v>41</v>
      </c>
      <c r="F449" s="442">
        <f>'Bang TH nop'!B57</f>
        <v>0</v>
      </c>
      <c r="G449" s="441"/>
      <c r="H449" s="441"/>
      <c r="I449" s="441"/>
      <c r="J449" s="441"/>
      <c r="K449" s="444"/>
      <c r="M449" s="440" t="s">
        <v>40</v>
      </c>
      <c r="N449" s="441"/>
      <c r="O449" s="441"/>
      <c r="P449" s="441"/>
      <c r="Q449" s="52" t="s">
        <v>41</v>
      </c>
      <c r="R449" s="442">
        <f>'Bang TH nop'!B59</f>
        <v>0</v>
      </c>
      <c r="S449" s="441"/>
      <c r="T449" s="441"/>
      <c r="U449" s="441"/>
      <c r="V449" s="441"/>
      <c r="W449" s="444"/>
    </row>
    <row r="450" spans="1:24" ht="18.75" customHeight="1">
      <c r="A450" s="440" t="s">
        <v>42</v>
      </c>
      <c r="B450" s="441"/>
      <c r="C450" s="441"/>
      <c r="D450" s="441"/>
      <c r="E450" s="52" t="s">
        <v>41</v>
      </c>
      <c r="F450" s="442">
        <f>'Bang TH nop'!C57</f>
        <v>0</v>
      </c>
      <c r="G450" s="442"/>
      <c r="H450" s="442"/>
      <c r="I450" s="442"/>
      <c r="J450" s="442"/>
      <c r="K450" s="443"/>
      <c r="M450" s="440" t="s">
        <v>42</v>
      </c>
      <c r="N450" s="441"/>
      <c r="O450" s="441"/>
      <c r="P450" s="441"/>
      <c r="Q450" s="52" t="s">
        <v>41</v>
      </c>
      <c r="R450" s="442">
        <f>'Bang TH nop'!C59</f>
        <v>0</v>
      </c>
      <c r="S450" s="442"/>
      <c r="T450" s="442"/>
      <c r="U450" s="442"/>
      <c r="V450" s="442"/>
      <c r="W450" s="443"/>
    </row>
    <row r="451" spans="1:24" ht="18.75" customHeight="1">
      <c r="A451" s="440" t="s">
        <v>43</v>
      </c>
      <c r="B451" s="441"/>
      <c r="C451" s="441"/>
      <c r="D451" s="441"/>
      <c r="E451" s="52" t="s">
        <v>41</v>
      </c>
      <c r="F451" s="441" t="str">
        <f>+$L$2</f>
        <v xml:space="preserve">Tổ  </v>
      </c>
      <c r="G451" s="441"/>
      <c r="H451" s="441"/>
      <c r="I451" s="441"/>
      <c r="J451" s="441"/>
      <c r="K451" s="444"/>
      <c r="M451" s="440" t="s">
        <v>43</v>
      </c>
      <c r="N451" s="441"/>
      <c r="O451" s="441"/>
      <c r="P451" s="441"/>
      <c r="Q451" s="52" t="s">
        <v>41</v>
      </c>
      <c r="R451" s="441" t="str">
        <f>+$L$2</f>
        <v xml:space="preserve">Tổ  </v>
      </c>
      <c r="S451" s="441"/>
      <c r="T451" s="441"/>
      <c r="U451" s="441"/>
      <c r="V451" s="441"/>
      <c r="W451" s="444"/>
    </row>
    <row r="452" spans="1:24" ht="18.75" customHeight="1">
      <c r="A452" s="448" t="s">
        <v>44</v>
      </c>
      <c r="B452" s="449"/>
      <c r="C452" s="449"/>
      <c r="D452" s="449"/>
      <c r="E452" s="449"/>
      <c r="F452" s="449"/>
      <c r="G452" s="449"/>
      <c r="H452" s="449"/>
      <c r="I452" s="449"/>
      <c r="J452" s="449"/>
      <c r="K452" s="450"/>
      <c r="M452" s="448" t="s">
        <v>44</v>
      </c>
      <c r="N452" s="449"/>
      <c r="O452" s="449"/>
      <c r="P452" s="449"/>
      <c r="Q452" s="449"/>
      <c r="R452" s="449"/>
      <c r="S452" s="449"/>
      <c r="T452" s="449"/>
      <c r="U452" s="449"/>
      <c r="V452" s="449"/>
      <c r="W452" s="450"/>
    </row>
    <row r="453" spans="1:24" ht="18.75" customHeight="1">
      <c r="A453" s="440" t="s">
        <v>45</v>
      </c>
      <c r="B453" s="441"/>
      <c r="C453" s="441"/>
      <c r="D453" s="441"/>
      <c r="E453" s="52" t="s">
        <v>41</v>
      </c>
      <c r="F453" s="455">
        <f>VLOOKUP(F450,'Bang TH nop'!$C$9:$AP$266,29,0)</f>
        <v>0</v>
      </c>
      <c r="G453" s="455"/>
      <c r="H453" s="455"/>
      <c r="I453" s="455"/>
      <c r="J453" s="52" t="s">
        <v>46</v>
      </c>
      <c r="K453" s="54"/>
      <c r="M453" s="440" t="s">
        <v>45</v>
      </c>
      <c r="N453" s="441"/>
      <c r="O453" s="441"/>
      <c r="P453" s="441"/>
      <c r="Q453" s="52" t="s">
        <v>41</v>
      </c>
      <c r="R453" s="455">
        <f>VLOOKUP(R450,'Bang TH nop'!$C$9:$AP$266,29,0)</f>
        <v>0</v>
      </c>
      <c r="S453" s="455"/>
      <c r="T453" s="455"/>
      <c r="U453" s="455"/>
      <c r="V453" s="52" t="s">
        <v>46</v>
      </c>
      <c r="W453" s="54"/>
    </row>
    <row r="454" spans="1:24" ht="18.75" customHeight="1">
      <c r="A454" s="55" t="s">
        <v>47</v>
      </c>
      <c r="B454" s="52"/>
      <c r="C454" s="56"/>
      <c r="D454" s="57"/>
      <c r="E454" s="58"/>
      <c r="F454" s="58"/>
      <c r="G454" s="58"/>
      <c r="H454" s="52"/>
      <c r="I454" s="59">
        <f>'LƯƠNG Tx'!F57</f>
        <v>0</v>
      </c>
      <c r="J454" s="60"/>
      <c r="K454" s="61"/>
      <c r="M454" s="55" t="s">
        <v>47</v>
      </c>
      <c r="N454" s="52"/>
      <c r="O454" s="56"/>
      <c r="P454" s="57"/>
      <c r="Q454" s="58"/>
      <c r="R454" s="58"/>
      <c r="S454" s="58"/>
      <c r="T454" s="52"/>
      <c r="U454" s="59">
        <f>'LƯƠNG Tx'!F59</f>
        <v>0</v>
      </c>
      <c r="V454" s="60"/>
      <c r="W454" s="61"/>
    </row>
    <row r="455" spans="1:24" ht="18.75" customHeight="1">
      <c r="A455" s="55" t="s">
        <v>48</v>
      </c>
      <c r="B455" s="52"/>
      <c r="C455" s="56"/>
      <c r="D455" s="57"/>
      <c r="E455" s="58"/>
      <c r="F455" s="58"/>
      <c r="G455" s="58"/>
      <c r="H455" s="52"/>
      <c r="I455" s="59" t="e">
        <f>I456/C456/8</f>
        <v>#DIV/0!</v>
      </c>
      <c r="J455" s="60"/>
      <c r="K455" s="61"/>
      <c r="M455" s="55" t="s">
        <v>48</v>
      </c>
      <c r="N455" s="52"/>
      <c r="O455" s="56"/>
      <c r="P455" s="57"/>
      <c r="Q455" s="58"/>
      <c r="R455" s="58"/>
      <c r="S455" s="58"/>
      <c r="T455" s="52"/>
      <c r="U455" s="59" t="e">
        <f>U456/O456/8</f>
        <v>#DIV/0!</v>
      </c>
      <c r="V455" s="60"/>
      <c r="W455" s="61"/>
    </row>
    <row r="456" spans="1:24" ht="18.75" customHeight="1">
      <c r="A456" s="55" t="s">
        <v>49</v>
      </c>
      <c r="B456" s="52" t="s">
        <v>41</v>
      </c>
      <c r="C456" s="56">
        <f>'LƯƠNG Tx'!I56</f>
        <v>0</v>
      </c>
      <c r="D456" s="57" t="s">
        <v>50</v>
      </c>
      <c r="E456" s="453" t="s">
        <v>51</v>
      </c>
      <c r="F456" s="453"/>
      <c r="G456" s="453"/>
      <c r="H456" s="52" t="s">
        <v>41</v>
      </c>
      <c r="I456" s="454">
        <f>'LƯƠNG Tx'!I57</f>
        <v>0</v>
      </c>
      <c r="J456" s="454"/>
      <c r="K456" s="61" t="s">
        <v>46</v>
      </c>
      <c r="L456" s="62">
        <f>F453/L446*C456</f>
        <v>0</v>
      </c>
      <c r="M456" s="55" t="s">
        <v>49</v>
      </c>
      <c r="N456" s="52" t="s">
        <v>41</v>
      </c>
      <c r="O456" s="56">
        <f>'LƯƠNG Tx'!I58</f>
        <v>0</v>
      </c>
      <c r="P456" s="57" t="s">
        <v>50</v>
      </c>
      <c r="Q456" s="453" t="s">
        <v>51</v>
      </c>
      <c r="R456" s="453"/>
      <c r="S456" s="453"/>
      <c r="T456" s="52" t="s">
        <v>41</v>
      </c>
      <c r="U456" s="454">
        <f>'LƯƠNG Tx'!I59</f>
        <v>0</v>
      </c>
      <c r="V456" s="454"/>
      <c r="W456" s="61" t="s">
        <v>46</v>
      </c>
      <c r="X456" s="62">
        <f>R453/X446*O456</f>
        <v>0</v>
      </c>
    </row>
    <row r="457" spans="1:24" ht="18.75" customHeight="1">
      <c r="A457" s="55" t="s">
        <v>52</v>
      </c>
      <c r="B457" s="52" t="s">
        <v>41</v>
      </c>
      <c r="C457" s="56">
        <f>'LƯƠNG Tx'!J56</f>
        <v>0</v>
      </c>
      <c r="D457" s="57" t="s">
        <v>50</v>
      </c>
      <c r="E457" s="441" t="s">
        <v>53</v>
      </c>
      <c r="F457" s="441"/>
      <c r="G457" s="441"/>
      <c r="H457" s="52" t="s">
        <v>41</v>
      </c>
      <c r="I457" s="452">
        <f>$F$8/$L$1*C457</f>
        <v>0</v>
      </c>
      <c r="J457" s="452"/>
      <c r="K457" s="61" t="s">
        <v>46</v>
      </c>
      <c r="L457" s="62"/>
      <c r="M457" s="55" t="s">
        <v>52</v>
      </c>
      <c r="N457" s="52" t="s">
        <v>41</v>
      </c>
      <c r="O457" s="56">
        <f>'LƯƠNG Tx'!J58</f>
        <v>0</v>
      </c>
      <c r="P457" s="57" t="s">
        <v>50</v>
      </c>
      <c r="Q457" s="441" t="s">
        <v>53</v>
      </c>
      <c r="R457" s="441"/>
      <c r="S457" s="441"/>
      <c r="T457" s="52" t="s">
        <v>41</v>
      </c>
      <c r="U457" s="452">
        <f>$F$8/$L$1*O457</f>
        <v>0</v>
      </c>
      <c r="V457" s="452"/>
      <c r="W457" s="61" t="s">
        <v>46</v>
      </c>
      <c r="X457" s="62"/>
    </row>
    <row r="458" spans="1:24" ht="18.75" customHeight="1">
      <c r="A458" s="55" t="s">
        <v>54</v>
      </c>
      <c r="B458" s="52" t="s">
        <v>41</v>
      </c>
      <c r="C458" s="56">
        <f>'LƯƠNG Tx'!K56</f>
        <v>0</v>
      </c>
      <c r="D458" s="57" t="s">
        <v>50</v>
      </c>
      <c r="E458" s="451" t="s">
        <v>55</v>
      </c>
      <c r="F458" s="451"/>
      <c r="G458" s="451"/>
      <c r="H458" s="52" t="s">
        <v>41</v>
      </c>
      <c r="I458" s="452">
        <f>$F$8/$L$1*C458</f>
        <v>0</v>
      </c>
      <c r="J458" s="452"/>
      <c r="K458" s="61" t="s">
        <v>46</v>
      </c>
      <c r="L458" s="62"/>
      <c r="M458" s="55" t="s">
        <v>54</v>
      </c>
      <c r="N458" s="52" t="s">
        <v>41</v>
      </c>
      <c r="O458" s="56">
        <f>'LƯƠNG Tx'!K58</f>
        <v>0</v>
      </c>
      <c r="P458" s="57" t="s">
        <v>50</v>
      </c>
      <c r="Q458" s="451" t="s">
        <v>55</v>
      </c>
      <c r="R458" s="451"/>
      <c r="S458" s="451"/>
      <c r="T458" s="52" t="s">
        <v>41</v>
      </c>
      <c r="U458" s="452">
        <f>$F$8/$L$1*O458</f>
        <v>0</v>
      </c>
      <c r="V458" s="452"/>
      <c r="W458" s="61" t="s">
        <v>46</v>
      </c>
      <c r="X458" s="62"/>
    </row>
    <row r="459" spans="1:24" ht="18.75" customHeight="1">
      <c r="A459" s="55" t="s">
        <v>56</v>
      </c>
      <c r="B459" s="52" t="s">
        <v>41</v>
      </c>
      <c r="C459" s="56">
        <f>'LƯƠNG Tx'!L56</f>
        <v>0</v>
      </c>
      <c r="D459" s="57" t="s">
        <v>50</v>
      </c>
      <c r="E459" s="451" t="s">
        <v>57</v>
      </c>
      <c r="F459" s="451"/>
      <c r="G459" s="451"/>
      <c r="H459" s="52" t="s">
        <v>41</v>
      </c>
      <c r="I459" s="452">
        <f>$F$8/$L$1*C459</f>
        <v>0</v>
      </c>
      <c r="J459" s="452"/>
      <c r="K459" s="61" t="s">
        <v>46</v>
      </c>
      <c r="L459" s="62"/>
      <c r="M459" s="55" t="s">
        <v>56</v>
      </c>
      <c r="N459" s="52" t="s">
        <v>41</v>
      </c>
      <c r="O459" s="56">
        <f>'LƯƠNG Tx'!L58</f>
        <v>0</v>
      </c>
      <c r="P459" s="57" t="s">
        <v>50</v>
      </c>
      <c r="Q459" s="451" t="s">
        <v>57</v>
      </c>
      <c r="R459" s="451"/>
      <c r="S459" s="451"/>
      <c r="T459" s="52" t="s">
        <v>41</v>
      </c>
      <c r="U459" s="452">
        <f>$F$8/$L$1*O459</f>
        <v>0</v>
      </c>
      <c r="V459" s="452"/>
      <c r="W459" s="61" t="s">
        <v>46</v>
      </c>
      <c r="X459" s="62"/>
    </row>
    <row r="460" spans="1:24" ht="18.75" customHeight="1">
      <c r="A460" s="55" t="s">
        <v>58</v>
      </c>
      <c r="B460" s="52" t="s">
        <v>41</v>
      </c>
      <c r="C460" s="56">
        <f>'LƯƠNG Tx'!Q56</f>
        <v>0</v>
      </c>
      <c r="D460" s="57" t="s">
        <v>59</v>
      </c>
      <c r="E460" s="441" t="s">
        <v>60</v>
      </c>
      <c r="F460" s="441"/>
      <c r="G460" s="441"/>
      <c r="H460" s="52" t="s">
        <v>41</v>
      </c>
      <c r="I460" s="452">
        <f>'LƯƠNG Tx'!Q57</f>
        <v>0</v>
      </c>
      <c r="J460" s="452"/>
      <c r="K460" s="61" t="s">
        <v>46</v>
      </c>
      <c r="L460" s="62">
        <f>F453*C460/L446/8*1.5</f>
        <v>0</v>
      </c>
      <c r="M460" s="55" t="s">
        <v>58</v>
      </c>
      <c r="N460" s="52" t="s">
        <v>41</v>
      </c>
      <c r="O460" s="56">
        <f>'LƯƠNG Tx'!Q58</f>
        <v>0</v>
      </c>
      <c r="P460" s="57" t="s">
        <v>59</v>
      </c>
      <c r="Q460" s="441" t="s">
        <v>60</v>
      </c>
      <c r="R460" s="441"/>
      <c r="S460" s="441"/>
      <c r="T460" s="52" t="s">
        <v>41</v>
      </c>
      <c r="U460" s="452">
        <f>'LƯƠNG Tx'!Q59</f>
        <v>0</v>
      </c>
      <c r="V460" s="452"/>
      <c r="W460" s="61" t="s">
        <v>46</v>
      </c>
      <c r="X460" s="62">
        <f>R453*O460/X446/8*1.5</f>
        <v>0</v>
      </c>
    </row>
    <row r="461" spans="1:24" ht="18.75" customHeight="1">
      <c r="A461" s="440" t="s">
        <v>61</v>
      </c>
      <c r="B461" s="441"/>
      <c r="C461" s="56"/>
      <c r="D461" s="57" t="s">
        <v>50</v>
      </c>
      <c r="E461" s="441" t="s">
        <v>62</v>
      </c>
      <c r="F461" s="441"/>
      <c r="G461" s="441"/>
      <c r="H461" s="63" t="s">
        <v>41</v>
      </c>
      <c r="I461" s="452"/>
      <c r="J461" s="452"/>
      <c r="K461" s="61" t="s">
        <v>46</v>
      </c>
      <c r="L461" s="62"/>
      <c r="M461" s="440" t="s">
        <v>61</v>
      </c>
      <c r="N461" s="441"/>
      <c r="O461" s="56"/>
      <c r="P461" s="57" t="s">
        <v>50</v>
      </c>
      <c r="Q461" s="441" t="s">
        <v>62</v>
      </c>
      <c r="R461" s="441"/>
      <c r="S461" s="441"/>
      <c r="T461" s="63" t="s">
        <v>41</v>
      </c>
      <c r="U461" s="452"/>
      <c r="V461" s="452"/>
      <c r="W461" s="61" t="s">
        <v>46</v>
      </c>
      <c r="X461" s="62"/>
    </row>
    <row r="462" spans="1:24" ht="18.75" customHeight="1">
      <c r="A462" s="55" t="s">
        <v>63</v>
      </c>
      <c r="B462" s="52" t="s">
        <v>41</v>
      </c>
      <c r="C462" s="56"/>
      <c r="D462" s="57" t="s">
        <v>50</v>
      </c>
      <c r="E462" s="441" t="s">
        <v>64</v>
      </c>
      <c r="F462" s="441"/>
      <c r="G462" s="441"/>
      <c r="H462" s="52" t="s">
        <v>41</v>
      </c>
      <c r="I462" s="452"/>
      <c r="J462" s="452"/>
      <c r="K462" s="61" t="s">
        <v>46</v>
      </c>
      <c r="L462" s="62"/>
      <c r="M462" s="55" t="s">
        <v>63</v>
      </c>
      <c r="N462" s="52" t="s">
        <v>41</v>
      </c>
      <c r="O462" s="56"/>
      <c r="P462" s="57" t="s">
        <v>50</v>
      </c>
      <c r="Q462" s="441" t="s">
        <v>64</v>
      </c>
      <c r="R462" s="441"/>
      <c r="S462" s="441"/>
      <c r="T462" s="52" t="s">
        <v>41</v>
      </c>
      <c r="U462" s="452"/>
      <c r="V462" s="452"/>
      <c r="W462" s="61" t="s">
        <v>46</v>
      </c>
      <c r="X462" s="62"/>
    </row>
    <row r="463" spans="1:24" ht="18.75" customHeight="1">
      <c r="A463" s="64" t="s">
        <v>65</v>
      </c>
      <c r="B463" s="52"/>
      <c r="C463" s="56">
        <f>'LƯƠNG Tx'!M56</f>
        <v>0</v>
      </c>
      <c r="D463" s="57" t="s">
        <v>59</v>
      </c>
      <c r="E463" s="441" t="s">
        <v>66</v>
      </c>
      <c r="F463" s="441"/>
      <c r="G463" s="441"/>
      <c r="H463" s="52" t="s">
        <v>41</v>
      </c>
      <c r="I463" s="452">
        <f>$F$8*C463/8/$L$1</f>
        <v>0</v>
      </c>
      <c r="J463" s="452"/>
      <c r="K463" s="61" t="s">
        <v>46</v>
      </c>
      <c r="L463" s="62"/>
      <c r="M463" s="64" t="s">
        <v>65</v>
      </c>
      <c r="N463" s="52"/>
      <c r="O463" s="56">
        <f>'LƯƠNG Tx'!M58</f>
        <v>0</v>
      </c>
      <c r="P463" s="57" t="s">
        <v>59</v>
      </c>
      <c r="Q463" s="441" t="s">
        <v>66</v>
      </c>
      <c r="R463" s="441"/>
      <c r="S463" s="441"/>
      <c r="T463" s="52" t="s">
        <v>41</v>
      </c>
      <c r="U463" s="452">
        <f>$F$8*O463/8/$L$1</f>
        <v>0</v>
      </c>
      <c r="V463" s="452"/>
      <c r="W463" s="61" t="s">
        <v>46</v>
      </c>
      <c r="X463" s="62"/>
    </row>
    <row r="464" spans="1:24" ht="18.75" customHeight="1">
      <c r="A464" s="55" t="s">
        <v>167</v>
      </c>
      <c r="B464" s="52" t="s">
        <v>41</v>
      </c>
      <c r="C464" s="56"/>
      <c r="D464" s="57" t="s">
        <v>59</v>
      </c>
      <c r="E464" s="441" t="s">
        <v>73</v>
      </c>
      <c r="F464" s="441"/>
      <c r="G464" s="441"/>
      <c r="H464" s="52" t="s">
        <v>41</v>
      </c>
      <c r="I464" s="454"/>
      <c r="J464" s="454"/>
      <c r="K464" s="61" t="s">
        <v>46</v>
      </c>
      <c r="L464" s="62"/>
      <c r="M464" s="55" t="s">
        <v>167</v>
      </c>
      <c r="N464" s="52" t="s">
        <v>41</v>
      </c>
      <c r="O464" s="56"/>
      <c r="P464" s="57" t="s">
        <v>59</v>
      </c>
      <c r="Q464" s="441" t="s">
        <v>73</v>
      </c>
      <c r="R464" s="441"/>
      <c r="S464" s="441"/>
      <c r="T464" s="52" t="s">
        <v>41</v>
      </c>
      <c r="U464" s="454"/>
      <c r="V464" s="454"/>
      <c r="W464" s="61" t="s">
        <v>46</v>
      </c>
      <c r="X464" s="62"/>
    </row>
    <row r="465" spans="1:24" ht="18.75" customHeight="1">
      <c r="A465" s="55" t="s">
        <v>69</v>
      </c>
      <c r="B465" s="52" t="s">
        <v>41</v>
      </c>
      <c r="C465" s="56"/>
      <c r="D465" s="57" t="s">
        <v>70</v>
      </c>
      <c r="E465" s="53" t="s">
        <v>71</v>
      </c>
      <c r="F465" s="53"/>
      <c r="G465" s="53"/>
      <c r="H465" s="52" t="s">
        <v>41</v>
      </c>
      <c r="I465" s="452"/>
      <c r="J465" s="452"/>
      <c r="K465" s="61" t="s">
        <v>46</v>
      </c>
      <c r="L465" s="62">
        <f>+IF(L456-I456&lt;0,0,L456-I456)+IF(L460-I460&lt;0,0,L460-I460)</f>
        <v>0</v>
      </c>
      <c r="M465" s="55" t="s">
        <v>69</v>
      </c>
      <c r="N465" s="52" t="s">
        <v>41</v>
      </c>
      <c r="O465" s="56"/>
      <c r="P465" s="57" t="s">
        <v>70</v>
      </c>
      <c r="Q465" s="53" t="s">
        <v>71</v>
      </c>
      <c r="R465" s="53"/>
      <c r="S465" s="53"/>
      <c r="T465" s="52" t="s">
        <v>41</v>
      </c>
      <c r="U465" s="452"/>
      <c r="V465" s="452"/>
      <c r="W465" s="61" t="s">
        <v>46</v>
      </c>
      <c r="X465" s="62">
        <f>+IF(X456-U456&lt;0,0,X456-U456)+IF(X460-U460&lt;0,0,X460-U460)</f>
        <v>0</v>
      </c>
    </row>
    <row r="466" spans="1:24" ht="18.75" customHeight="1">
      <c r="A466" s="65" t="s">
        <v>164</v>
      </c>
      <c r="B466" s="66"/>
      <c r="C466" s="56"/>
      <c r="D466" s="57" t="s">
        <v>50</v>
      </c>
      <c r="E466" s="441" t="s">
        <v>165</v>
      </c>
      <c r="F466" s="441"/>
      <c r="G466" s="441"/>
      <c r="H466" s="52" t="s">
        <v>41</v>
      </c>
      <c r="I466" s="452"/>
      <c r="J466" s="452"/>
      <c r="K466" s="61" t="s">
        <v>46</v>
      </c>
      <c r="L466" s="62"/>
      <c r="M466" s="65" t="s">
        <v>164</v>
      </c>
      <c r="N466" s="66"/>
      <c r="O466" s="56"/>
      <c r="P466" s="57" t="s">
        <v>50</v>
      </c>
      <c r="Q466" s="441" t="s">
        <v>165</v>
      </c>
      <c r="R466" s="441"/>
      <c r="S466" s="441"/>
      <c r="T466" s="52" t="s">
        <v>41</v>
      </c>
      <c r="U466" s="452"/>
      <c r="V466" s="452"/>
      <c r="W466" s="61" t="s">
        <v>46</v>
      </c>
      <c r="X466" s="62"/>
    </row>
    <row r="467" spans="1:24" ht="18.75" customHeight="1">
      <c r="A467" s="460" t="s">
        <v>166</v>
      </c>
      <c r="B467" s="461"/>
      <c r="C467" s="56"/>
      <c r="D467" s="57"/>
      <c r="E467" s="58"/>
      <c r="F467" s="58"/>
      <c r="G467" s="58"/>
      <c r="H467" s="52" t="s">
        <v>41</v>
      </c>
      <c r="I467" s="452">
        <f>'LƯƠNG Tx'!P57</f>
        <v>0</v>
      </c>
      <c r="J467" s="452"/>
      <c r="K467" s="61" t="s">
        <v>46</v>
      </c>
      <c r="L467" s="62"/>
      <c r="M467" s="460" t="s">
        <v>166</v>
      </c>
      <c r="N467" s="461"/>
      <c r="O467" s="56"/>
      <c r="P467" s="57"/>
      <c r="Q467" s="58"/>
      <c r="R467" s="58"/>
      <c r="S467" s="58"/>
      <c r="T467" s="52" t="s">
        <v>41</v>
      </c>
      <c r="U467" s="452">
        <f>'LƯƠNG Tx'!P59</f>
        <v>0</v>
      </c>
      <c r="V467" s="452"/>
      <c r="W467" s="61" t="s">
        <v>46</v>
      </c>
      <c r="X467" s="62"/>
    </row>
    <row r="468" spans="1:24" ht="18.75" customHeight="1">
      <c r="A468" s="55" t="s">
        <v>75</v>
      </c>
      <c r="B468" s="52" t="s">
        <v>41</v>
      </c>
      <c r="C468" s="56"/>
      <c r="D468" s="57"/>
      <c r="E468" s="58" t="s">
        <v>76</v>
      </c>
      <c r="F468" s="58"/>
      <c r="G468" s="58"/>
      <c r="H468" s="52" t="s">
        <v>41</v>
      </c>
      <c r="I468" s="452">
        <f>L465</f>
        <v>0</v>
      </c>
      <c r="J468" s="452"/>
      <c r="K468" s="61" t="s">
        <v>46</v>
      </c>
      <c r="L468" s="62"/>
      <c r="M468" s="55" t="s">
        <v>75</v>
      </c>
      <c r="N468" s="52" t="s">
        <v>41</v>
      </c>
      <c r="O468" s="56"/>
      <c r="P468" s="57"/>
      <c r="Q468" s="58" t="s">
        <v>76</v>
      </c>
      <c r="R468" s="58"/>
      <c r="S468" s="58"/>
      <c r="T468" s="52" t="s">
        <v>41</v>
      </c>
      <c r="U468" s="452">
        <f>X465</f>
        <v>0</v>
      </c>
      <c r="V468" s="452"/>
      <c r="W468" s="61" t="s">
        <v>46</v>
      </c>
      <c r="X468" s="62"/>
    </row>
    <row r="469" spans="1:24" ht="18.75" customHeight="1">
      <c r="A469" s="456" t="s">
        <v>77</v>
      </c>
      <c r="B469" s="457"/>
      <c r="C469" s="457"/>
      <c r="D469" s="457"/>
      <c r="E469" s="457"/>
      <c r="F469" s="457"/>
      <c r="G469" s="52" t="s">
        <v>41</v>
      </c>
      <c r="H469" s="458">
        <f>I456+I457+I458+I459+I460+I463+I467+I468+I461+I462+I464+I465+I466+C467</f>
        <v>0</v>
      </c>
      <c r="I469" s="459"/>
      <c r="J469" s="459"/>
      <c r="K469" s="61" t="s">
        <v>46</v>
      </c>
      <c r="M469" s="456" t="s">
        <v>77</v>
      </c>
      <c r="N469" s="457"/>
      <c r="O469" s="457"/>
      <c r="P469" s="457"/>
      <c r="Q469" s="457"/>
      <c r="R469" s="457"/>
      <c r="S469" s="52" t="s">
        <v>41</v>
      </c>
      <c r="T469" s="458">
        <f>U456+U457+U458+U459+U460+U463+U467+U468+U461+U462+U464+U465+U466+O467</f>
        <v>0</v>
      </c>
      <c r="U469" s="459"/>
      <c r="V469" s="459"/>
      <c r="W469" s="61" t="s">
        <v>46</v>
      </c>
    </row>
    <row r="470" spans="1:24" ht="18.75" customHeight="1">
      <c r="A470" s="67"/>
      <c r="B470" s="68"/>
      <c r="C470" s="68"/>
      <c r="D470" s="68"/>
      <c r="E470" s="68"/>
      <c r="F470" s="68"/>
      <c r="G470" s="68"/>
      <c r="H470" s="68"/>
      <c r="I470" s="68"/>
      <c r="J470" s="68"/>
      <c r="K470" s="69"/>
      <c r="M470" s="67"/>
      <c r="N470" s="68"/>
      <c r="O470" s="68"/>
      <c r="P470" s="68"/>
      <c r="Q470" s="68"/>
      <c r="R470" s="68"/>
      <c r="S470" s="68"/>
      <c r="T470" s="68"/>
      <c r="U470" s="68"/>
      <c r="V470" s="68"/>
      <c r="W470" s="69"/>
    </row>
    <row r="471" spans="1:24" ht="18.75" customHeight="1">
      <c r="A471" s="468" t="s">
        <v>78</v>
      </c>
      <c r="B471" s="469"/>
      <c r="C471" s="469"/>
      <c r="D471" s="469"/>
      <c r="E471" s="469"/>
      <c r="F471" s="469"/>
      <c r="G471" s="52"/>
      <c r="H471" s="52"/>
      <c r="I471" s="52"/>
      <c r="J471" s="52"/>
      <c r="K471" s="61"/>
      <c r="M471" s="468" t="s">
        <v>78</v>
      </c>
      <c r="N471" s="469"/>
      <c r="O471" s="469"/>
      <c r="P471" s="469"/>
      <c r="Q471" s="469"/>
      <c r="R471" s="469"/>
      <c r="S471" s="52"/>
      <c r="T471" s="52"/>
      <c r="U471" s="52"/>
      <c r="V471" s="52"/>
      <c r="W471" s="61"/>
    </row>
    <row r="472" spans="1:24" ht="18.75" customHeight="1">
      <c r="A472" s="462" t="s">
        <v>79</v>
      </c>
      <c r="B472" s="463"/>
      <c r="C472" s="463"/>
      <c r="D472" s="463"/>
      <c r="E472" s="463"/>
      <c r="F472" s="463"/>
      <c r="G472" s="52" t="s">
        <v>41</v>
      </c>
      <c r="H472" s="470">
        <f>IF(($L$1-(C456+C457+C458+C459))&gt;12,0,F453*8%)</f>
        <v>0</v>
      </c>
      <c r="I472" s="470"/>
      <c r="J472" s="470"/>
      <c r="K472" s="61" t="s">
        <v>46</v>
      </c>
      <c r="M472" s="462" t="s">
        <v>79</v>
      </c>
      <c r="N472" s="463"/>
      <c r="O472" s="463"/>
      <c r="P472" s="463"/>
      <c r="Q472" s="463"/>
      <c r="R472" s="463"/>
      <c r="S472" s="52" t="s">
        <v>41</v>
      </c>
      <c r="T472" s="470">
        <f>IF(($L$1-(O456+O457+O458+O459))&gt;12,0,R453*8%)</f>
        <v>0</v>
      </c>
      <c r="U472" s="470"/>
      <c r="V472" s="470"/>
      <c r="W472" s="61" t="s">
        <v>46</v>
      </c>
    </row>
    <row r="473" spans="1:24" ht="18.75" customHeight="1">
      <c r="A473" s="462" t="s">
        <v>80</v>
      </c>
      <c r="B473" s="463"/>
      <c r="C473" s="463"/>
      <c r="D473" s="463"/>
      <c r="E473" s="463"/>
      <c r="F473" s="463"/>
      <c r="G473" s="52" t="s">
        <v>41</v>
      </c>
      <c r="H473" s="464">
        <f>IF(($L$1-(C456+C457+C458+C459))&gt;12,0,F453*1.5%)</f>
        <v>0</v>
      </c>
      <c r="I473" s="464"/>
      <c r="J473" s="464"/>
      <c r="K473" s="61" t="s">
        <v>46</v>
      </c>
      <c r="M473" s="462" t="s">
        <v>80</v>
      </c>
      <c r="N473" s="463"/>
      <c r="O473" s="463"/>
      <c r="P473" s="463"/>
      <c r="Q473" s="463"/>
      <c r="R473" s="463"/>
      <c r="S473" s="52" t="s">
        <v>41</v>
      </c>
      <c r="T473" s="464">
        <f>IF(($L$1-(O456+O457+O458+O459))&gt;12,0,R453*1.5%)</f>
        <v>0</v>
      </c>
      <c r="U473" s="464"/>
      <c r="V473" s="464"/>
      <c r="W473" s="61" t="s">
        <v>46</v>
      </c>
    </row>
    <row r="474" spans="1:24" ht="18.75" customHeight="1">
      <c r="A474" s="462" t="s">
        <v>81</v>
      </c>
      <c r="B474" s="463"/>
      <c r="C474" s="463"/>
      <c r="D474" s="463"/>
      <c r="E474" s="463"/>
      <c r="F474" s="463"/>
      <c r="G474" s="52" t="s">
        <v>41</v>
      </c>
      <c r="H474" s="464">
        <f>IF(($L$1-(C456+C457+C458+C459))&gt;12,0,F453*1%)</f>
        <v>0</v>
      </c>
      <c r="I474" s="464"/>
      <c r="J474" s="464"/>
      <c r="K474" s="61" t="s">
        <v>46</v>
      </c>
      <c r="M474" s="462" t="s">
        <v>81</v>
      </c>
      <c r="N474" s="463"/>
      <c r="O474" s="463"/>
      <c r="P474" s="463"/>
      <c r="Q474" s="463"/>
      <c r="R474" s="463"/>
      <c r="S474" s="52" t="s">
        <v>41</v>
      </c>
      <c r="T474" s="464">
        <f>IF(($L$1-(O456+O457+O458+O459))&gt;12,0,R453*1%)</f>
        <v>0</v>
      </c>
      <c r="U474" s="464"/>
      <c r="V474" s="464"/>
      <c r="W474" s="61" t="s">
        <v>46</v>
      </c>
    </row>
    <row r="475" spans="1:24" ht="18.75" customHeight="1">
      <c r="A475" s="462" t="s">
        <v>82</v>
      </c>
      <c r="B475" s="463"/>
      <c r="C475" s="463"/>
      <c r="D475" s="463"/>
      <c r="E475" s="463"/>
      <c r="F475" s="463"/>
      <c r="G475" s="52" t="s">
        <v>41</v>
      </c>
      <c r="H475" s="464">
        <v>0</v>
      </c>
      <c r="I475" s="464"/>
      <c r="J475" s="464"/>
      <c r="K475" s="61" t="s">
        <v>46</v>
      </c>
      <c r="M475" s="462" t="s">
        <v>82</v>
      </c>
      <c r="N475" s="463"/>
      <c r="O475" s="463"/>
      <c r="P475" s="463"/>
      <c r="Q475" s="463"/>
      <c r="R475" s="463"/>
      <c r="S475" s="52" t="s">
        <v>41</v>
      </c>
      <c r="T475" s="464">
        <v>0</v>
      </c>
      <c r="U475" s="464"/>
      <c r="V475" s="464"/>
      <c r="W475" s="61" t="s">
        <v>46</v>
      </c>
    </row>
    <row r="476" spans="1:24" ht="18.75" customHeight="1">
      <c r="A476" s="465" t="s">
        <v>83</v>
      </c>
      <c r="B476" s="466"/>
      <c r="C476" s="466"/>
      <c r="D476" s="466"/>
      <c r="E476" s="466"/>
      <c r="F476" s="466"/>
      <c r="G476" s="52" t="s">
        <v>41</v>
      </c>
      <c r="H476" s="467">
        <f>SUM(H472:J475)</f>
        <v>0</v>
      </c>
      <c r="I476" s="467"/>
      <c r="J476" s="467"/>
      <c r="K476" s="61" t="s">
        <v>46</v>
      </c>
      <c r="M476" s="465" t="s">
        <v>83</v>
      </c>
      <c r="N476" s="466"/>
      <c r="O476" s="466"/>
      <c r="P476" s="466"/>
      <c r="Q476" s="466"/>
      <c r="R476" s="466"/>
      <c r="S476" s="52" t="s">
        <v>41</v>
      </c>
      <c r="T476" s="467">
        <f>SUM(T472:V475)</f>
        <v>0</v>
      </c>
      <c r="U476" s="467"/>
      <c r="V476" s="467"/>
      <c r="W476" s="61" t="s">
        <v>46</v>
      </c>
    </row>
    <row r="477" spans="1:24" ht="18.75" customHeight="1">
      <c r="A477" s="462" t="s">
        <v>84</v>
      </c>
      <c r="B477" s="463"/>
      <c r="C477" s="463"/>
      <c r="D477" s="463"/>
      <c r="E477" s="463"/>
      <c r="F477" s="463"/>
      <c r="G477" s="52" t="s">
        <v>41</v>
      </c>
      <c r="H477" s="475">
        <f>ROUND(H469-H476,-2)</f>
        <v>0</v>
      </c>
      <c r="I477" s="475"/>
      <c r="J477" s="475"/>
      <c r="K477" s="61" t="s">
        <v>46</v>
      </c>
      <c r="M477" s="462" t="s">
        <v>84</v>
      </c>
      <c r="N477" s="463"/>
      <c r="O477" s="463"/>
      <c r="P477" s="463"/>
      <c r="Q477" s="463"/>
      <c r="R477" s="463"/>
      <c r="S477" s="52" t="s">
        <v>41</v>
      </c>
      <c r="T477" s="475">
        <f>ROUND(T469-T476,-2)</f>
        <v>0</v>
      </c>
      <c r="U477" s="475"/>
      <c r="V477" s="475"/>
      <c r="W477" s="61" t="s">
        <v>46</v>
      </c>
    </row>
    <row r="478" spans="1:24" ht="18.75" customHeight="1">
      <c r="A478" s="70"/>
      <c r="B478" s="71"/>
      <c r="C478" s="71"/>
      <c r="D478" s="71"/>
      <c r="E478" s="71"/>
      <c r="F478" s="71"/>
      <c r="G478" s="71"/>
      <c r="H478" s="71"/>
      <c r="I478" s="71"/>
      <c r="J478" s="71"/>
      <c r="K478" s="72"/>
      <c r="M478" s="70"/>
      <c r="N478" s="71"/>
      <c r="O478" s="71"/>
      <c r="P478" s="71"/>
      <c r="Q478" s="71"/>
      <c r="R478" s="71"/>
      <c r="S478" s="71"/>
      <c r="T478" s="71"/>
      <c r="U478" s="71"/>
      <c r="V478" s="71"/>
      <c r="W478" s="72"/>
    </row>
    <row r="479" spans="1:24" ht="18.75" customHeight="1">
      <c r="A479" s="73"/>
      <c r="B479" s="52"/>
      <c r="C479" s="52"/>
      <c r="D479" s="52"/>
      <c r="E479" s="52"/>
      <c r="F479" s="52"/>
      <c r="G479" s="52"/>
      <c r="H479" s="52"/>
      <c r="I479" s="472" t="s">
        <v>85</v>
      </c>
      <c r="J479" s="472"/>
      <c r="K479" s="476"/>
      <c r="M479" s="73"/>
      <c r="N479" s="52"/>
      <c r="O479" s="52"/>
      <c r="P479" s="52"/>
      <c r="Q479" s="52"/>
      <c r="R479" s="52"/>
      <c r="S479" s="52"/>
      <c r="T479" s="52"/>
      <c r="U479" s="472" t="s">
        <v>85</v>
      </c>
      <c r="V479" s="472"/>
      <c r="W479" s="476"/>
    </row>
    <row r="480" spans="1:24" ht="18.75" customHeight="1">
      <c r="A480" s="73"/>
      <c r="B480" s="471"/>
      <c r="C480" s="472"/>
      <c r="D480" s="472"/>
      <c r="E480" s="472"/>
      <c r="F480" s="52"/>
      <c r="G480" s="52"/>
      <c r="H480" s="52"/>
      <c r="I480" s="52"/>
      <c r="J480" s="52"/>
      <c r="K480" s="54"/>
      <c r="M480" s="73"/>
      <c r="N480" s="471"/>
      <c r="O480" s="472"/>
      <c r="P480" s="472"/>
      <c r="Q480" s="472"/>
      <c r="R480" s="52"/>
      <c r="S480" s="52"/>
      <c r="T480" s="52"/>
      <c r="U480" s="52"/>
      <c r="V480" s="52"/>
      <c r="W480" s="54"/>
    </row>
    <row r="481" spans="1:24" ht="18.75" customHeight="1" thickBot="1">
      <c r="A481" s="75"/>
      <c r="B481" s="76"/>
      <c r="C481" s="76"/>
      <c r="D481" s="76"/>
      <c r="E481" s="76"/>
      <c r="F481" s="76"/>
      <c r="G481" s="76"/>
      <c r="H481" s="76"/>
      <c r="I481" s="473" t="s">
        <v>86</v>
      </c>
      <c r="J481" s="473"/>
      <c r="K481" s="474"/>
      <c r="M481" s="75"/>
      <c r="N481" s="76"/>
      <c r="O481" s="76"/>
      <c r="P481" s="76"/>
      <c r="Q481" s="76"/>
      <c r="R481" s="76"/>
      <c r="S481" s="76"/>
      <c r="T481" s="76"/>
      <c r="U481" s="473" t="s">
        <v>86</v>
      </c>
      <c r="V481" s="473"/>
      <c r="W481" s="474"/>
    </row>
    <row r="482" spans="1:24" ht="18.75" customHeight="1" thickTop="1" thickBot="1"/>
    <row r="483" spans="1:24" ht="18.75" customHeight="1" thickTop="1">
      <c r="A483" s="445" t="s">
        <v>172</v>
      </c>
      <c r="B483" s="446"/>
      <c r="C483" s="446"/>
      <c r="D483" s="446"/>
      <c r="E483" s="446"/>
      <c r="F483" s="446"/>
      <c r="G483" s="446"/>
      <c r="H483" s="446"/>
      <c r="I483" s="446"/>
      <c r="J483" s="446"/>
      <c r="K483" s="447"/>
      <c r="L483" s="48">
        <v>26</v>
      </c>
      <c r="M483" s="445" t="s">
        <v>172</v>
      </c>
      <c r="N483" s="446"/>
      <c r="O483" s="446"/>
      <c r="P483" s="446"/>
      <c r="Q483" s="446"/>
      <c r="R483" s="446"/>
      <c r="S483" s="446"/>
      <c r="T483" s="446"/>
      <c r="U483" s="446"/>
      <c r="V483" s="446"/>
      <c r="W483" s="447"/>
      <c r="X483" s="48">
        <v>26</v>
      </c>
    </row>
    <row r="484" spans="1:24" ht="18.75" customHeight="1">
      <c r="A484" s="49" t="s">
        <v>113</v>
      </c>
      <c r="B484" s="50"/>
      <c r="C484" s="50"/>
      <c r="D484" s="50"/>
      <c r="E484" s="50"/>
      <c r="F484" s="50"/>
      <c r="G484" s="50"/>
      <c r="H484" s="50"/>
      <c r="I484" s="50"/>
      <c r="J484" s="50"/>
      <c r="K484" s="51"/>
      <c r="M484" s="49" t="s">
        <v>114</v>
      </c>
      <c r="N484" s="50"/>
      <c r="O484" s="50"/>
      <c r="P484" s="50"/>
      <c r="Q484" s="50"/>
      <c r="R484" s="50"/>
      <c r="S484" s="50"/>
      <c r="T484" s="50"/>
      <c r="U484" s="50"/>
      <c r="V484" s="50"/>
      <c r="W484" s="51"/>
    </row>
    <row r="485" spans="1:24" ht="18.75" customHeight="1">
      <c r="A485" s="448" t="s">
        <v>39</v>
      </c>
      <c r="B485" s="449"/>
      <c r="C485" s="449"/>
      <c r="D485" s="449"/>
      <c r="E485" s="449"/>
      <c r="F485" s="449"/>
      <c r="G485" s="449"/>
      <c r="H485" s="449"/>
      <c r="I485" s="449"/>
      <c r="J485" s="449"/>
      <c r="K485" s="450"/>
      <c r="M485" s="448" t="s">
        <v>39</v>
      </c>
      <c r="N485" s="449"/>
      <c r="O485" s="449"/>
      <c r="P485" s="449"/>
      <c r="Q485" s="449"/>
      <c r="R485" s="449"/>
      <c r="S485" s="449"/>
      <c r="T485" s="449"/>
      <c r="U485" s="449"/>
      <c r="V485" s="449"/>
      <c r="W485" s="450"/>
    </row>
    <row r="486" spans="1:24" ht="18.75" customHeight="1">
      <c r="A486" s="440" t="s">
        <v>40</v>
      </c>
      <c r="B486" s="441"/>
      <c r="C486" s="441"/>
      <c r="D486" s="441"/>
      <c r="E486" s="52" t="s">
        <v>41</v>
      </c>
      <c r="F486" s="442">
        <f>'Bang TH nop'!B61</f>
        <v>0</v>
      </c>
      <c r="G486" s="441"/>
      <c r="H486" s="441"/>
      <c r="I486" s="441"/>
      <c r="J486" s="441"/>
      <c r="K486" s="444"/>
      <c r="M486" s="440" t="s">
        <v>40</v>
      </c>
      <c r="N486" s="441"/>
      <c r="O486" s="441"/>
      <c r="P486" s="441"/>
      <c r="Q486" s="52" t="s">
        <v>41</v>
      </c>
      <c r="R486" s="442">
        <f>'Bang TH nop'!B63</f>
        <v>0</v>
      </c>
      <c r="S486" s="441"/>
      <c r="T486" s="441"/>
      <c r="U486" s="441"/>
      <c r="V486" s="441"/>
      <c r="W486" s="444"/>
    </row>
    <row r="487" spans="1:24" ht="18.75" customHeight="1">
      <c r="A487" s="440" t="s">
        <v>42</v>
      </c>
      <c r="B487" s="441"/>
      <c r="C487" s="441"/>
      <c r="D487" s="441"/>
      <c r="E487" s="52" t="s">
        <v>41</v>
      </c>
      <c r="F487" s="442">
        <f>'Bang TH nop'!C61</f>
        <v>0</v>
      </c>
      <c r="G487" s="442"/>
      <c r="H487" s="442"/>
      <c r="I487" s="442"/>
      <c r="J487" s="442"/>
      <c r="K487" s="443"/>
      <c r="M487" s="440" t="s">
        <v>42</v>
      </c>
      <c r="N487" s="441"/>
      <c r="O487" s="441"/>
      <c r="P487" s="441"/>
      <c r="Q487" s="52" t="s">
        <v>41</v>
      </c>
      <c r="R487" s="442">
        <f>'Bang TH nop'!C63</f>
        <v>0</v>
      </c>
      <c r="S487" s="442"/>
      <c r="T487" s="442"/>
      <c r="U487" s="442"/>
      <c r="V487" s="442"/>
      <c r="W487" s="443"/>
    </row>
    <row r="488" spans="1:24" ht="18.75" customHeight="1">
      <c r="A488" s="440" t="s">
        <v>43</v>
      </c>
      <c r="B488" s="441"/>
      <c r="C488" s="441"/>
      <c r="D488" s="441"/>
      <c r="E488" s="52" t="s">
        <v>41</v>
      </c>
      <c r="F488" s="441" t="str">
        <f>+$L$2</f>
        <v xml:space="preserve">Tổ  </v>
      </c>
      <c r="G488" s="441"/>
      <c r="H488" s="441"/>
      <c r="I488" s="441"/>
      <c r="J488" s="441"/>
      <c r="K488" s="444"/>
      <c r="M488" s="440" t="s">
        <v>43</v>
      </c>
      <c r="N488" s="441"/>
      <c r="O488" s="441"/>
      <c r="P488" s="441"/>
      <c r="Q488" s="52" t="s">
        <v>41</v>
      </c>
      <c r="R488" s="441" t="str">
        <f>+$L$2</f>
        <v xml:space="preserve">Tổ  </v>
      </c>
      <c r="S488" s="441"/>
      <c r="T488" s="441"/>
      <c r="U488" s="441"/>
      <c r="V488" s="441"/>
      <c r="W488" s="444"/>
    </row>
    <row r="489" spans="1:24" ht="18.75" customHeight="1">
      <c r="A489" s="448" t="s">
        <v>44</v>
      </c>
      <c r="B489" s="449"/>
      <c r="C489" s="449"/>
      <c r="D489" s="449"/>
      <c r="E489" s="449"/>
      <c r="F489" s="449"/>
      <c r="G489" s="449"/>
      <c r="H489" s="449"/>
      <c r="I489" s="449"/>
      <c r="J489" s="449"/>
      <c r="K489" s="450"/>
      <c r="M489" s="448" t="s">
        <v>44</v>
      </c>
      <c r="N489" s="449"/>
      <c r="O489" s="449"/>
      <c r="P489" s="449"/>
      <c r="Q489" s="449"/>
      <c r="R489" s="449"/>
      <c r="S489" s="449"/>
      <c r="T489" s="449"/>
      <c r="U489" s="449"/>
      <c r="V489" s="449"/>
      <c r="W489" s="450"/>
    </row>
    <row r="490" spans="1:24" ht="18.75" customHeight="1">
      <c r="A490" s="440" t="s">
        <v>45</v>
      </c>
      <c r="B490" s="441"/>
      <c r="C490" s="441"/>
      <c r="D490" s="441"/>
      <c r="E490" s="52" t="s">
        <v>41</v>
      </c>
      <c r="F490" s="455">
        <f>VLOOKUP(F487,'Bang TH nop'!$C$9:$AP$266,29,0)</f>
        <v>0</v>
      </c>
      <c r="G490" s="455"/>
      <c r="H490" s="455"/>
      <c r="I490" s="455"/>
      <c r="J490" s="52" t="s">
        <v>46</v>
      </c>
      <c r="K490" s="54"/>
      <c r="M490" s="440" t="s">
        <v>45</v>
      </c>
      <c r="N490" s="441"/>
      <c r="O490" s="441"/>
      <c r="P490" s="441"/>
      <c r="Q490" s="52" t="s">
        <v>41</v>
      </c>
      <c r="R490" s="455">
        <f>VLOOKUP(R487,'Bang TH nop'!$C$9:$AP$266,29,0)</f>
        <v>0</v>
      </c>
      <c r="S490" s="455"/>
      <c r="T490" s="455"/>
      <c r="U490" s="455"/>
      <c r="V490" s="52" t="s">
        <v>46</v>
      </c>
      <c r="W490" s="54"/>
    </row>
    <row r="491" spans="1:24" ht="18.75" customHeight="1">
      <c r="A491" s="55" t="s">
        <v>47</v>
      </c>
      <c r="B491" s="52"/>
      <c r="C491" s="56"/>
      <c r="D491" s="57"/>
      <c r="E491" s="58"/>
      <c r="F491" s="58"/>
      <c r="G491" s="58"/>
      <c r="H491" s="52"/>
      <c r="I491" s="59">
        <f>'LƯƠNG Tx'!F61</f>
        <v>0</v>
      </c>
      <c r="J491" s="60"/>
      <c r="K491" s="61"/>
      <c r="M491" s="55" t="s">
        <v>47</v>
      </c>
      <c r="N491" s="52"/>
      <c r="O491" s="56"/>
      <c r="P491" s="57"/>
      <c r="Q491" s="58"/>
      <c r="R491" s="58"/>
      <c r="S491" s="58"/>
      <c r="T491" s="52"/>
      <c r="U491" s="59">
        <f>'LƯƠNG Tx'!F63</f>
        <v>0</v>
      </c>
      <c r="V491" s="60"/>
      <c r="W491" s="61"/>
    </row>
    <row r="492" spans="1:24" ht="18.75" customHeight="1">
      <c r="A492" s="55" t="s">
        <v>48</v>
      </c>
      <c r="B492" s="52"/>
      <c r="C492" s="56"/>
      <c r="D492" s="57"/>
      <c r="E492" s="58"/>
      <c r="F492" s="58"/>
      <c r="G492" s="58"/>
      <c r="H492" s="52"/>
      <c r="I492" s="59" t="e">
        <f>I493/C493/8</f>
        <v>#DIV/0!</v>
      </c>
      <c r="J492" s="60"/>
      <c r="K492" s="61"/>
      <c r="M492" s="55" t="s">
        <v>48</v>
      </c>
      <c r="N492" s="52"/>
      <c r="O492" s="56"/>
      <c r="P492" s="57"/>
      <c r="Q492" s="58"/>
      <c r="R492" s="58"/>
      <c r="S492" s="58"/>
      <c r="T492" s="52"/>
      <c r="U492" s="59" t="e">
        <f>U493/O493/8</f>
        <v>#DIV/0!</v>
      </c>
      <c r="V492" s="60"/>
      <c r="W492" s="61"/>
    </row>
    <row r="493" spans="1:24" ht="18.75" customHeight="1">
      <c r="A493" s="55" t="s">
        <v>49</v>
      </c>
      <c r="B493" s="52" t="s">
        <v>41</v>
      </c>
      <c r="C493" s="56">
        <f>'LƯƠNG Tx'!I60</f>
        <v>0</v>
      </c>
      <c r="D493" s="57" t="s">
        <v>50</v>
      </c>
      <c r="E493" s="453" t="s">
        <v>51</v>
      </c>
      <c r="F493" s="453"/>
      <c r="G493" s="453"/>
      <c r="H493" s="52" t="s">
        <v>41</v>
      </c>
      <c r="I493" s="454">
        <f>'LƯƠNG Tx'!I61</f>
        <v>0</v>
      </c>
      <c r="J493" s="454"/>
      <c r="K493" s="61" t="s">
        <v>46</v>
      </c>
      <c r="L493" s="62">
        <f>F490/L483*C493</f>
        <v>0</v>
      </c>
      <c r="M493" s="55" t="s">
        <v>49</v>
      </c>
      <c r="N493" s="52" t="s">
        <v>41</v>
      </c>
      <c r="O493" s="56">
        <f>'LƯƠNG Tx'!I62</f>
        <v>0</v>
      </c>
      <c r="P493" s="57" t="s">
        <v>50</v>
      </c>
      <c r="Q493" s="453" t="s">
        <v>51</v>
      </c>
      <c r="R493" s="453"/>
      <c r="S493" s="453"/>
      <c r="T493" s="52" t="s">
        <v>41</v>
      </c>
      <c r="U493" s="454">
        <f>'LƯƠNG Tx'!I63</f>
        <v>0</v>
      </c>
      <c r="V493" s="454"/>
      <c r="W493" s="61" t="s">
        <v>46</v>
      </c>
      <c r="X493" s="62">
        <f>R490/X483*O493</f>
        <v>0</v>
      </c>
    </row>
    <row r="494" spans="1:24" ht="18.75" customHeight="1">
      <c r="A494" s="55" t="s">
        <v>52</v>
      </c>
      <c r="B494" s="52" t="s">
        <v>41</v>
      </c>
      <c r="C494" s="56">
        <f>'LƯƠNG Tx'!J60</f>
        <v>0</v>
      </c>
      <c r="D494" s="57" t="s">
        <v>50</v>
      </c>
      <c r="E494" s="441" t="s">
        <v>53</v>
      </c>
      <c r="F494" s="441"/>
      <c r="G494" s="441"/>
      <c r="H494" s="52" t="s">
        <v>41</v>
      </c>
      <c r="I494" s="452">
        <f>$F$8/$L$1*C494</f>
        <v>0</v>
      </c>
      <c r="J494" s="452"/>
      <c r="K494" s="61" t="s">
        <v>46</v>
      </c>
      <c r="L494" s="62"/>
      <c r="M494" s="55" t="s">
        <v>52</v>
      </c>
      <c r="N494" s="52" t="s">
        <v>41</v>
      </c>
      <c r="O494" s="56">
        <f>'LƯƠNG Tx'!J62</f>
        <v>0</v>
      </c>
      <c r="P494" s="57" t="s">
        <v>50</v>
      </c>
      <c r="Q494" s="441" t="s">
        <v>53</v>
      </c>
      <c r="R494" s="441"/>
      <c r="S494" s="441"/>
      <c r="T494" s="52" t="s">
        <v>41</v>
      </c>
      <c r="U494" s="452">
        <f>$F$8/$L$1*O494</f>
        <v>0</v>
      </c>
      <c r="V494" s="452"/>
      <c r="W494" s="61" t="s">
        <v>46</v>
      </c>
      <c r="X494" s="62"/>
    </row>
    <row r="495" spans="1:24" ht="18.75" customHeight="1">
      <c r="A495" s="55" t="s">
        <v>54</v>
      </c>
      <c r="B495" s="52" t="s">
        <v>41</v>
      </c>
      <c r="C495" s="56">
        <f>'LƯƠNG Tx'!K60</f>
        <v>0</v>
      </c>
      <c r="D495" s="57" t="s">
        <v>50</v>
      </c>
      <c r="E495" s="451" t="s">
        <v>55</v>
      </c>
      <c r="F495" s="451"/>
      <c r="G495" s="451"/>
      <c r="H495" s="52" t="s">
        <v>41</v>
      </c>
      <c r="I495" s="452">
        <f>$F$8/$L$1*C495</f>
        <v>0</v>
      </c>
      <c r="J495" s="452"/>
      <c r="K495" s="61" t="s">
        <v>46</v>
      </c>
      <c r="L495" s="62"/>
      <c r="M495" s="55" t="s">
        <v>54</v>
      </c>
      <c r="N495" s="52" t="s">
        <v>41</v>
      </c>
      <c r="O495" s="56">
        <f>'LƯƠNG Tx'!K62</f>
        <v>0</v>
      </c>
      <c r="P495" s="57" t="s">
        <v>50</v>
      </c>
      <c r="Q495" s="451" t="s">
        <v>55</v>
      </c>
      <c r="R495" s="451"/>
      <c r="S495" s="451"/>
      <c r="T495" s="52" t="s">
        <v>41</v>
      </c>
      <c r="U495" s="452">
        <f>$F$8/$L$1*O495</f>
        <v>0</v>
      </c>
      <c r="V495" s="452"/>
      <c r="W495" s="61" t="s">
        <v>46</v>
      </c>
      <c r="X495" s="62"/>
    </row>
    <row r="496" spans="1:24" ht="18.75" customHeight="1">
      <c r="A496" s="55" t="s">
        <v>56</v>
      </c>
      <c r="B496" s="52" t="s">
        <v>41</v>
      </c>
      <c r="C496" s="56">
        <f>'LƯƠNG Tx'!L60</f>
        <v>0</v>
      </c>
      <c r="D496" s="57" t="s">
        <v>50</v>
      </c>
      <c r="E496" s="451" t="s">
        <v>57</v>
      </c>
      <c r="F496" s="451"/>
      <c r="G496" s="451"/>
      <c r="H496" s="52" t="s">
        <v>41</v>
      </c>
      <c r="I496" s="452">
        <f>$F$8/$L$1*C496</f>
        <v>0</v>
      </c>
      <c r="J496" s="452"/>
      <c r="K496" s="61" t="s">
        <v>46</v>
      </c>
      <c r="L496" s="62"/>
      <c r="M496" s="55" t="s">
        <v>56</v>
      </c>
      <c r="N496" s="52" t="s">
        <v>41</v>
      </c>
      <c r="O496" s="56">
        <f>'LƯƠNG Tx'!L62</f>
        <v>0</v>
      </c>
      <c r="P496" s="57" t="s">
        <v>50</v>
      </c>
      <c r="Q496" s="451" t="s">
        <v>57</v>
      </c>
      <c r="R496" s="451"/>
      <c r="S496" s="451"/>
      <c r="T496" s="52" t="s">
        <v>41</v>
      </c>
      <c r="U496" s="452">
        <f>$F$8/$L$1*O496</f>
        <v>0</v>
      </c>
      <c r="V496" s="452"/>
      <c r="W496" s="61" t="s">
        <v>46</v>
      </c>
      <c r="X496" s="62"/>
    </row>
    <row r="497" spans="1:24" ht="18.75" customHeight="1">
      <c r="A497" s="55" t="s">
        <v>58</v>
      </c>
      <c r="B497" s="52" t="s">
        <v>41</v>
      </c>
      <c r="C497" s="56">
        <f>'LƯƠNG Tx'!Q60</f>
        <v>0</v>
      </c>
      <c r="D497" s="57" t="s">
        <v>59</v>
      </c>
      <c r="E497" s="441" t="s">
        <v>60</v>
      </c>
      <c r="F497" s="441"/>
      <c r="G497" s="441"/>
      <c r="H497" s="52" t="s">
        <v>41</v>
      </c>
      <c r="I497" s="452">
        <f>'LƯƠNG Tx'!Q61</f>
        <v>0</v>
      </c>
      <c r="J497" s="452"/>
      <c r="K497" s="61" t="s">
        <v>46</v>
      </c>
      <c r="L497" s="62">
        <f>F490*C497/L483/8*1.5</f>
        <v>0</v>
      </c>
      <c r="M497" s="55" t="s">
        <v>58</v>
      </c>
      <c r="N497" s="52" t="s">
        <v>41</v>
      </c>
      <c r="O497" s="56">
        <f>'LƯƠNG Tx'!Q62</f>
        <v>0</v>
      </c>
      <c r="P497" s="57" t="s">
        <v>59</v>
      </c>
      <c r="Q497" s="441" t="s">
        <v>60</v>
      </c>
      <c r="R497" s="441"/>
      <c r="S497" s="441"/>
      <c r="T497" s="52" t="s">
        <v>41</v>
      </c>
      <c r="U497" s="452">
        <f>'LƯƠNG Tx'!Q63</f>
        <v>0</v>
      </c>
      <c r="V497" s="452"/>
      <c r="W497" s="61" t="s">
        <v>46</v>
      </c>
      <c r="X497" s="62">
        <f>R490*O497/X483/8*1.5</f>
        <v>0</v>
      </c>
    </row>
    <row r="498" spans="1:24" ht="18.75" customHeight="1">
      <c r="A498" s="440" t="s">
        <v>61</v>
      </c>
      <c r="B498" s="441"/>
      <c r="C498" s="56"/>
      <c r="D498" s="57" t="s">
        <v>50</v>
      </c>
      <c r="E498" s="441" t="s">
        <v>62</v>
      </c>
      <c r="F498" s="441"/>
      <c r="G498" s="441"/>
      <c r="H498" s="63" t="s">
        <v>41</v>
      </c>
      <c r="I498" s="452"/>
      <c r="J498" s="452"/>
      <c r="K498" s="61" t="s">
        <v>46</v>
      </c>
      <c r="L498" s="62"/>
      <c r="M498" s="440" t="s">
        <v>61</v>
      </c>
      <c r="N498" s="441"/>
      <c r="O498" s="56"/>
      <c r="P498" s="57" t="s">
        <v>50</v>
      </c>
      <c r="Q498" s="441" t="s">
        <v>62</v>
      </c>
      <c r="R498" s="441"/>
      <c r="S498" s="441"/>
      <c r="T498" s="63" t="s">
        <v>41</v>
      </c>
      <c r="U498" s="452"/>
      <c r="V498" s="452"/>
      <c r="W498" s="61" t="s">
        <v>46</v>
      </c>
      <c r="X498" s="62"/>
    </row>
    <row r="499" spans="1:24" ht="18.75" customHeight="1">
      <c r="A499" s="55" t="s">
        <v>63</v>
      </c>
      <c r="B499" s="52" t="s">
        <v>41</v>
      </c>
      <c r="C499" s="56"/>
      <c r="D499" s="57" t="s">
        <v>50</v>
      </c>
      <c r="E499" s="441" t="s">
        <v>64</v>
      </c>
      <c r="F499" s="441"/>
      <c r="G499" s="441"/>
      <c r="H499" s="52" t="s">
        <v>41</v>
      </c>
      <c r="I499" s="452"/>
      <c r="J499" s="452"/>
      <c r="K499" s="61" t="s">
        <v>46</v>
      </c>
      <c r="L499" s="62"/>
      <c r="M499" s="55" t="s">
        <v>63</v>
      </c>
      <c r="N499" s="52" t="s">
        <v>41</v>
      </c>
      <c r="O499" s="56"/>
      <c r="P499" s="57" t="s">
        <v>50</v>
      </c>
      <c r="Q499" s="441" t="s">
        <v>64</v>
      </c>
      <c r="R499" s="441"/>
      <c r="S499" s="441"/>
      <c r="T499" s="52" t="s">
        <v>41</v>
      </c>
      <c r="U499" s="452"/>
      <c r="V499" s="452"/>
      <c r="W499" s="61" t="s">
        <v>46</v>
      </c>
      <c r="X499" s="62"/>
    </row>
    <row r="500" spans="1:24" ht="18.75" customHeight="1">
      <c r="A500" s="64" t="s">
        <v>65</v>
      </c>
      <c r="B500" s="52"/>
      <c r="C500" s="56">
        <f>'LƯƠNG Tx'!M60</f>
        <v>0</v>
      </c>
      <c r="D500" s="57" t="s">
        <v>59</v>
      </c>
      <c r="E500" s="441" t="s">
        <v>66</v>
      </c>
      <c r="F500" s="441"/>
      <c r="G500" s="441"/>
      <c r="H500" s="52" t="s">
        <v>41</v>
      </c>
      <c r="I500" s="452">
        <f>$F$8*C500/8/$L$1</f>
        <v>0</v>
      </c>
      <c r="J500" s="452"/>
      <c r="K500" s="61" t="s">
        <v>46</v>
      </c>
      <c r="L500" s="62"/>
      <c r="M500" s="64" t="s">
        <v>65</v>
      </c>
      <c r="N500" s="52"/>
      <c r="O500" s="56">
        <f>'LƯƠNG Tx'!M62</f>
        <v>0</v>
      </c>
      <c r="P500" s="57" t="s">
        <v>59</v>
      </c>
      <c r="Q500" s="441" t="s">
        <v>66</v>
      </c>
      <c r="R500" s="441"/>
      <c r="S500" s="441"/>
      <c r="T500" s="52" t="s">
        <v>41</v>
      </c>
      <c r="U500" s="452">
        <f>$F$8*O500/8/$L$1</f>
        <v>0</v>
      </c>
      <c r="V500" s="452"/>
      <c r="W500" s="61" t="s">
        <v>46</v>
      </c>
      <c r="X500" s="62"/>
    </row>
    <row r="501" spans="1:24" ht="18.75" customHeight="1">
      <c r="A501" s="55" t="s">
        <v>167</v>
      </c>
      <c r="B501" s="52" t="s">
        <v>41</v>
      </c>
      <c r="C501" s="56"/>
      <c r="D501" s="57" t="s">
        <v>59</v>
      </c>
      <c r="E501" s="441" t="s">
        <v>73</v>
      </c>
      <c r="F501" s="441"/>
      <c r="G501" s="441"/>
      <c r="H501" s="52" t="s">
        <v>41</v>
      </c>
      <c r="I501" s="454"/>
      <c r="J501" s="454"/>
      <c r="K501" s="61" t="s">
        <v>46</v>
      </c>
      <c r="L501" s="62"/>
      <c r="M501" s="55" t="s">
        <v>167</v>
      </c>
      <c r="N501" s="52" t="s">
        <v>41</v>
      </c>
      <c r="O501" s="56"/>
      <c r="P501" s="57" t="s">
        <v>59</v>
      </c>
      <c r="Q501" s="441" t="s">
        <v>73</v>
      </c>
      <c r="R501" s="441"/>
      <c r="S501" s="441"/>
      <c r="T501" s="52" t="s">
        <v>41</v>
      </c>
      <c r="U501" s="454"/>
      <c r="V501" s="454"/>
      <c r="W501" s="61" t="s">
        <v>46</v>
      </c>
      <c r="X501" s="62"/>
    </row>
    <row r="502" spans="1:24" ht="18.75" customHeight="1">
      <c r="A502" s="55" t="s">
        <v>69</v>
      </c>
      <c r="B502" s="52" t="s">
        <v>41</v>
      </c>
      <c r="C502" s="56"/>
      <c r="D502" s="57" t="s">
        <v>70</v>
      </c>
      <c r="E502" s="53" t="s">
        <v>71</v>
      </c>
      <c r="F502" s="53"/>
      <c r="G502" s="53"/>
      <c r="H502" s="52" t="s">
        <v>41</v>
      </c>
      <c r="I502" s="452"/>
      <c r="J502" s="452"/>
      <c r="K502" s="61" t="s">
        <v>46</v>
      </c>
      <c r="L502" s="62">
        <f>+IF(L493-I493&lt;0,0,L493-I493)+IF(L497-I497&lt;0,0,L497-I497)</f>
        <v>0</v>
      </c>
      <c r="M502" s="55" t="s">
        <v>69</v>
      </c>
      <c r="N502" s="52" t="s">
        <v>41</v>
      </c>
      <c r="O502" s="56"/>
      <c r="P502" s="57" t="s">
        <v>70</v>
      </c>
      <c r="Q502" s="53" t="s">
        <v>71</v>
      </c>
      <c r="R502" s="53"/>
      <c r="S502" s="53"/>
      <c r="T502" s="52" t="s">
        <v>41</v>
      </c>
      <c r="U502" s="452"/>
      <c r="V502" s="452"/>
      <c r="W502" s="61" t="s">
        <v>46</v>
      </c>
      <c r="X502" s="62">
        <f>+IF(X493-U493&lt;0,0,X493-U493)+IF(X497-U497&lt;0,0,X497-U497)</f>
        <v>0</v>
      </c>
    </row>
    <row r="503" spans="1:24" ht="18.75" customHeight="1">
      <c r="A503" s="65" t="s">
        <v>164</v>
      </c>
      <c r="B503" s="66"/>
      <c r="C503" s="56"/>
      <c r="D503" s="57" t="s">
        <v>50</v>
      </c>
      <c r="E503" s="441" t="s">
        <v>165</v>
      </c>
      <c r="F503" s="441"/>
      <c r="G503" s="441"/>
      <c r="H503" s="52" t="s">
        <v>41</v>
      </c>
      <c r="I503" s="452"/>
      <c r="J503" s="452"/>
      <c r="K503" s="61" t="s">
        <v>46</v>
      </c>
      <c r="L503" s="62"/>
      <c r="M503" s="65" t="s">
        <v>164</v>
      </c>
      <c r="N503" s="66"/>
      <c r="O503" s="56"/>
      <c r="P503" s="57" t="s">
        <v>50</v>
      </c>
      <c r="Q503" s="441" t="s">
        <v>165</v>
      </c>
      <c r="R503" s="441"/>
      <c r="S503" s="441"/>
      <c r="T503" s="52" t="s">
        <v>41</v>
      </c>
      <c r="U503" s="452"/>
      <c r="V503" s="452"/>
      <c r="W503" s="61" t="s">
        <v>46</v>
      </c>
      <c r="X503" s="62"/>
    </row>
    <row r="504" spans="1:24" ht="18.75" customHeight="1">
      <c r="A504" s="460" t="s">
        <v>166</v>
      </c>
      <c r="B504" s="461"/>
      <c r="C504" s="56"/>
      <c r="D504" s="57"/>
      <c r="E504" s="58"/>
      <c r="F504" s="58"/>
      <c r="G504" s="58"/>
      <c r="H504" s="52" t="s">
        <v>41</v>
      </c>
      <c r="I504" s="452">
        <f>'LƯƠNG Tx'!P61</f>
        <v>0</v>
      </c>
      <c r="J504" s="452"/>
      <c r="K504" s="61" t="s">
        <v>46</v>
      </c>
      <c r="L504" s="62"/>
      <c r="M504" s="460" t="s">
        <v>166</v>
      </c>
      <c r="N504" s="461"/>
      <c r="O504" s="56"/>
      <c r="P504" s="57"/>
      <c r="Q504" s="58"/>
      <c r="R504" s="58"/>
      <c r="S504" s="58"/>
      <c r="T504" s="52" t="s">
        <v>41</v>
      </c>
      <c r="U504" s="452">
        <f>'LƯƠNG Tx'!P63</f>
        <v>0</v>
      </c>
      <c r="V504" s="452"/>
      <c r="W504" s="61" t="s">
        <v>46</v>
      </c>
      <c r="X504" s="62"/>
    </row>
    <row r="505" spans="1:24" ht="18.75" customHeight="1">
      <c r="A505" s="55" t="s">
        <v>75</v>
      </c>
      <c r="B505" s="52" t="s">
        <v>41</v>
      </c>
      <c r="C505" s="56"/>
      <c r="D505" s="57"/>
      <c r="E505" s="58" t="s">
        <v>76</v>
      </c>
      <c r="F505" s="58"/>
      <c r="G505" s="58"/>
      <c r="H505" s="52" t="s">
        <v>41</v>
      </c>
      <c r="I505" s="452">
        <f>L502</f>
        <v>0</v>
      </c>
      <c r="J505" s="452"/>
      <c r="K505" s="61" t="s">
        <v>46</v>
      </c>
      <c r="L505" s="62"/>
      <c r="M505" s="55" t="s">
        <v>75</v>
      </c>
      <c r="N505" s="52" t="s">
        <v>41</v>
      </c>
      <c r="O505" s="56"/>
      <c r="P505" s="57"/>
      <c r="Q505" s="58" t="s">
        <v>76</v>
      </c>
      <c r="R505" s="58"/>
      <c r="S505" s="58"/>
      <c r="T505" s="52" t="s">
        <v>41</v>
      </c>
      <c r="U505" s="452">
        <f>X502</f>
        <v>0</v>
      </c>
      <c r="V505" s="452"/>
      <c r="W505" s="61" t="s">
        <v>46</v>
      </c>
      <c r="X505" s="62"/>
    </row>
    <row r="506" spans="1:24" ht="18.75" customHeight="1">
      <c r="A506" s="456" t="s">
        <v>77</v>
      </c>
      <c r="B506" s="457"/>
      <c r="C506" s="457"/>
      <c r="D506" s="457"/>
      <c r="E506" s="457"/>
      <c r="F506" s="457"/>
      <c r="G506" s="52" t="s">
        <v>41</v>
      </c>
      <c r="H506" s="458">
        <f>I493+I494+I495+I496+I497+I500+I504+I505+I498+I499+I501+I502+I503+C504</f>
        <v>0</v>
      </c>
      <c r="I506" s="459"/>
      <c r="J506" s="459"/>
      <c r="K506" s="61" t="s">
        <v>46</v>
      </c>
      <c r="M506" s="456" t="s">
        <v>77</v>
      </c>
      <c r="N506" s="457"/>
      <c r="O506" s="457"/>
      <c r="P506" s="457"/>
      <c r="Q506" s="457"/>
      <c r="R506" s="457"/>
      <c r="S506" s="52" t="s">
        <v>41</v>
      </c>
      <c r="T506" s="458">
        <f>U493+U494+U495+U496+U497+U500+U504+U505+U498+U499+U501+U502+U503+O504</f>
        <v>0</v>
      </c>
      <c r="U506" s="459"/>
      <c r="V506" s="459"/>
      <c r="W506" s="61" t="s">
        <v>46</v>
      </c>
    </row>
    <row r="507" spans="1:24" ht="18.75" customHeight="1">
      <c r="A507" s="67"/>
      <c r="B507" s="68"/>
      <c r="C507" s="68"/>
      <c r="D507" s="68"/>
      <c r="E507" s="68"/>
      <c r="F507" s="68"/>
      <c r="G507" s="68"/>
      <c r="H507" s="68"/>
      <c r="I507" s="68"/>
      <c r="J507" s="68"/>
      <c r="K507" s="69"/>
      <c r="M507" s="67"/>
      <c r="N507" s="68"/>
      <c r="O507" s="68"/>
      <c r="P507" s="68"/>
      <c r="Q507" s="68"/>
      <c r="R507" s="68"/>
      <c r="S507" s="68"/>
      <c r="T507" s="68"/>
      <c r="U507" s="68"/>
      <c r="V507" s="68"/>
      <c r="W507" s="69"/>
    </row>
    <row r="508" spans="1:24" ht="18.75" customHeight="1">
      <c r="A508" s="468" t="s">
        <v>78</v>
      </c>
      <c r="B508" s="469"/>
      <c r="C508" s="469"/>
      <c r="D508" s="469"/>
      <c r="E508" s="469"/>
      <c r="F508" s="469"/>
      <c r="G508" s="52"/>
      <c r="H508" s="52"/>
      <c r="I508" s="52"/>
      <c r="J508" s="52"/>
      <c r="K508" s="61"/>
      <c r="M508" s="468" t="s">
        <v>78</v>
      </c>
      <c r="N508" s="469"/>
      <c r="O508" s="469"/>
      <c r="P508" s="469"/>
      <c r="Q508" s="469"/>
      <c r="R508" s="469"/>
      <c r="S508" s="52"/>
      <c r="T508" s="52"/>
      <c r="U508" s="52"/>
      <c r="V508" s="52"/>
      <c r="W508" s="61"/>
    </row>
    <row r="509" spans="1:24" ht="18.75" customHeight="1">
      <c r="A509" s="462" t="s">
        <v>79</v>
      </c>
      <c r="B509" s="463"/>
      <c r="C509" s="463"/>
      <c r="D509" s="463"/>
      <c r="E509" s="463"/>
      <c r="F509" s="463"/>
      <c r="G509" s="52" t="s">
        <v>41</v>
      </c>
      <c r="H509" s="470">
        <f>IF(($L$1-(C493+C494+C495+C496))&gt;12,0,F490*8%)</f>
        <v>0</v>
      </c>
      <c r="I509" s="470"/>
      <c r="J509" s="470"/>
      <c r="K509" s="61" t="s">
        <v>46</v>
      </c>
      <c r="M509" s="462" t="s">
        <v>79</v>
      </c>
      <c r="N509" s="463"/>
      <c r="O509" s="463"/>
      <c r="P509" s="463"/>
      <c r="Q509" s="463"/>
      <c r="R509" s="463"/>
      <c r="S509" s="52" t="s">
        <v>41</v>
      </c>
      <c r="T509" s="470">
        <f>IF(($L$1-(O493+O494+O495+O496))&gt;12,0,R490*8%)</f>
        <v>0</v>
      </c>
      <c r="U509" s="470"/>
      <c r="V509" s="470"/>
      <c r="W509" s="61" t="s">
        <v>46</v>
      </c>
    </row>
    <row r="510" spans="1:24" ht="18.75" customHeight="1">
      <c r="A510" s="462" t="s">
        <v>80</v>
      </c>
      <c r="B510" s="463"/>
      <c r="C510" s="463"/>
      <c r="D510" s="463"/>
      <c r="E510" s="463"/>
      <c r="F510" s="463"/>
      <c r="G510" s="52" t="s">
        <v>41</v>
      </c>
      <c r="H510" s="464">
        <f>IF(($L$1-(C493+C494+C495+C496))&gt;12,0,F490*1.5%)</f>
        <v>0</v>
      </c>
      <c r="I510" s="464"/>
      <c r="J510" s="464"/>
      <c r="K510" s="61" t="s">
        <v>46</v>
      </c>
      <c r="M510" s="462" t="s">
        <v>80</v>
      </c>
      <c r="N510" s="463"/>
      <c r="O510" s="463"/>
      <c r="P510" s="463"/>
      <c r="Q510" s="463"/>
      <c r="R510" s="463"/>
      <c r="S510" s="52" t="s">
        <v>41</v>
      </c>
      <c r="T510" s="464">
        <f>IF(($L$1-(O493+O494+O495+O496))&gt;12,0,R490*1.5%)</f>
        <v>0</v>
      </c>
      <c r="U510" s="464"/>
      <c r="V510" s="464"/>
      <c r="W510" s="61" t="s">
        <v>46</v>
      </c>
    </row>
    <row r="511" spans="1:24" ht="18.75" customHeight="1">
      <c r="A511" s="462" t="s">
        <v>81</v>
      </c>
      <c r="B511" s="463"/>
      <c r="C511" s="463"/>
      <c r="D511" s="463"/>
      <c r="E511" s="463"/>
      <c r="F511" s="463"/>
      <c r="G511" s="52" t="s">
        <v>41</v>
      </c>
      <c r="H511" s="464">
        <f>IF(($L$1-(C493+C494+C495+C496))&gt;12,0,F490*1%)</f>
        <v>0</v>
      </c>
      <c r="I511" s="464"/>
      <c r="J511" s="464"/>
      <c r="K511" s="61" t="s">
        <v>46</v>
      </c>
      <c r="M511" s="462" t="s">
        <v>81</v>
      </c>
      <c r="N511" s="463"/>
      <c r="O511" s="463"/>
      <c r="P511" s="463"/>
      <c r="Q511" s="463"/>
      <c r="R511" s="463"/>
      <c r="S511" s="52" t="s">
        <v>41</v>
      </c>
      <c r="T511" s="464">
        <f>IF(($L$1-(O493+O494+O495+O496))&gt;12,0,R490*1%)</f>
        <v>0</v>
      </c>
      <c r="U511" s="464"/>
      <c r="V511" s="464"/>
      <c r="W511" s="61" t="s">
        <v>46</v>
      </c>
    </row>
    <row r="512" spans="1:24" ht="18.75" customHeight="1">
      <c r="A512" s="462" t="s">
        <v>82</v>
      </c>
      <c r="B512" s="463"/>
      <c r="C512" s="463"/>
      <c r="D512" s="463"/>
      <c r="E512" s="463"/>
      <c r="F512" s="463"/>
      <c r="G512" s="52" t="s">
        <v>41</v>
      </c>
      <c r="H512" s="464">
        <v>0</v>
      </c>
      <c r="I512" s="464"/>
      <c r="J512" s="464"/>
      <c r="K512" s="61" t="s">
        <v>46</v>
      </c>
      <c r="M512" s="462" t="s">
        <v>82</v>
      </c>
      <c r="N512" s="463"/>
      <c r="O512" s="463"/>
      <c r="P512" s="463"/>
      <c r="Q512" s="463"/>
      <c r="R512" s="463"/>
      <c r="S512" s="52" t="s">
        <v>41</v>
      </c>
      <c r="T512" s="464">
        <v>0</v>
      </c>
      <c r="U512" s="464"/>
      <c r="V512" s="464"/>
      <c r="W512" s="61" t="s">
        <v>46</v>
      </c>
    </row>
    <row r="513" spans="1:24" ht="18.75" customHeight="1">
      <c r="A513" s="465" t="s">
        <v>83</v>
      </c>
      <c r="B513" s="466"/>
      <c r="C513" s="466"/>
      <c r="D513" s="466"/>
      <c r="E513" s="466"/>
      <c r="F513" s="466"/>
      <c r="G513" s="52" t="s">
        <v>41</v>
      </c>
      <c r="H513" s="467">
        <f>SUM(H509:J512)</f>
        <v>0</v>
      </c>
      <c r="I513" s="467"/>
      <c r="J513" s="467"/>
      <c r="K513" s="61" t="s">
        <v>46</v>
      </c>
      <c r="M513" s="465" t="s">
        <v>83</v>
      </c>
      <c r="N513" s="466"/>
      <c r="O513" s="466"/>
      <c r="P513" s="466"/>
      <c r="Q513" s="466"/>
      <c r="R513" s="466"/>
      <c r="S513" s="52" t="s">
        <v>41</v>
      </c>
      <c r="T513" s="467">
        <f>SUM(T509:V512)</f>
        <v>0</v>
      </c>
      <c r="U513" s="467"/>
      <c r="V513" s="467"/>
      <c r="W513" s="61" t="s">
        <v>46</v>
      </c>
    </row>
    <row r="514" spans="1:24" ht="18.75" customHeight="1">
      <c r="A514" s="462" t="s">
        <v>84</v>
      </c>
      <c r="B514" s="463"/>
      <c r="C514" s="463"/>
      <c r="D514" s="463"/>
      <c r="E514" s="463"/>
      <c r="F514" s="463"/>
      <c r="G514" s="52" t="s">
        <v>41</v>
      </c>
      <c r="H514" s="475">
        <f>ROUND(H506-H513,-2)</f>
        <v>0</v>
      </c>
      <c r="I514" s="475"/>
      <c r="J514" s="475"/>
      <c r="K514" s="61" t="s">
        <v>46</v>
      </c>
      <c r="M514" s="462" t="s">
        <v>84</v>
      </c>
      <c r="N514" s="463"/>
      <c r="O514" s="463"/>
      <c r="P514" s="463"/>
      <c r="Q514" s="463"/>
      <c r="R514" s="463"/>
      <c r="S514" s="52" t="s">
        <v>41</v>
      </c>
      <c r="T514" s="475">
        <f>ROUND(T506-T513,-2)</f>
        <v>0</v>
      </c>
      <c r="U514" s="475"/>
      <c r="V514" s="475"/>
      <c r="W514" s="61" t="s">
        <v>46</v>
      </c>
    </row>
    <row r="515" spans="1:24" ht="18.75" customHeight="1">
      <c r="A515" s="70"/>
      <c r="B515" s="71"/>
      <c r="C515" s="71"/>
      <c r="D515" s="71"/>
      <c r="E515" s="71"/>
      <c r="F515" s="71"/>
      <c r="G515" s="71"/>
      <c r="H515" s="71"/>
      <c r="I515" s="71"/>
      <c r="J515" s="71"/>
      <c r="K515" s="72"/>
      <c r="M515" s="70"/>
      <c r="N515" s="71"/>
      <c r="O515" s="71"/>
      <c r="P515" s="71"/>
      <c r="Q515" s="71"/>
      <c r="R515" s="71"/>
      <c r="S515" s="71"/>
      <c r="T515" s="71"/>
      <c r="U515" s="71"/>
      <c r="V515" s="71"/>
      <c r="W515" s="72"/>
    </row>
    <row r="516" spans="1:24" ht="18.75" customHeight="1">
      <c r="A516" s="73"/>
      <c r="B516" s="52"/>
      <c r="C516" s="52"/>
      <c r="D516" s="52"/>
      <c r="E516" s="52"/>
      <c r="F516" s="52"/>
      <c r="G516" s="52"/>
      <c r="H516" s="52"/>
      <c r="I516" s="472" t="s">
        <v>85</v>
      </c>
      <c r="J516" s="472"/>
      <c r="K516" s="476"/>
      <c r="M516" s="73"/>
      <c r="N516" s="52"/>
      <c r="O516" s="52"/>
      <c r="P516" s="52"/>
      <c r="Q516" s="52"/>
      <c r="R516" s="52"/>
      <c r="S516" s="52"/>
      <c r="T516" s="52"/>
      <c r="U516" s="472" t="s">
        <v>85</v>
      </c>
      <c r="V516" s="472"/>
      <c r="W516" s="476"/>
    </row>
    <row r="517" spans="1:24" ht="18.75" customHeight="1">
      <c r="A517" s="73"/>
      <c r="B517" s="471"/>
      <c r="C517" s="472"/>
      <c r="D517" s="472"/>
      <c r="E517" s="472"/>
      <c r="F517" s="52"/>
      <c r="G517" s="52"/>
      <c r="H517" s="52"/>
      <c r="I517" s="52"/>
      <c r="J517" s="52"/>
      <c r="K517" s="54"/>
      <c r="M517" s="73"/>
      <c r="N517" s="471"/>
      <c r="O517" s="472"/>
      <c r="P517" s="472"/>
      <c r="Q517" s="472"/>
      <c r="R517" s="52"/>
      <c r="S517" s="52"/>
      <c r="T517" s="52"/>
      <c r="U517" s="52"/>
      <c r="V517" s="52"/>
      <c r="W517" s="54"/>
    </row>
    <row r="518" spans="1:24" ht="18.75" customHeight="1" thickBot="1">
      <c r="A518" s="75"/>
      <c r="B518" s="76"/>
      <c r="C518" s="76"/>
      <c r="D518" s="76"/>
      <c r="E518" s="76"/>
      <c r="F518" s="76"/>
      <c r="G518" s="76"/>
      <c r="H518" s="76"/>
      <c r="I518" s="473" t="s">
        <v>86</v>
      </c>
      <c r="J518" s="473"/>
      <c r="K518" s="474"/>
      <c r="M518" s="75"/>
      <c r="N518" s="76"/>
      <c r="O518" s="76"/>
      <c r="P518" s="76"/>
      <c r="Q518" s="76"/>
      <c r="R518" s="76"/>
      <c r="S518" s="76"/>
      <c r="T518" s="76"/>
      <c r="U518" s="473" t="s">
        <v>86</v>
      </c>
      <c r="V518" s="473"/>
      <c r="W518" s="474"/>
    </row>
    <row r="519" spans="1:24" ht="18.75" customHeight="1" thickTop="1" thickBot="1"/>
    <row r="520" spans="1:24" ht="18.75" customHeight="1" thickTop="1">
      <c r="A520" s="445" t="s">
        <v>172</v>
      </c>
      <c r="B520" s="446"/>
      <c r="C520" s="446"/>
      <c r="D520" s="446"/>
      <c r="E520" s="446"/>
      <c r="F520" s="446"/>
      <c r="G520" s="446"/>
      <c r="H520" s="446"/>
      <c r="I520" s="446"/>
      <c r="J520" s="446"/>
      <c r="K520" s="447"/>
      <c r="L520" s="48">
        <v>26</v>
      </c>
      <c r="M520" s="445" t="s">
        <v>172</v>
      </c>
      <c r="N520" s="446"/>
      <c r="O520" s="446"/>
      <c r="P520" s="446"/>
      <c r="Q520" s="446"/>
      <c r="R520" s="446"/>
      <c r="S520" s="446"/>
      <c r="T520" s="446"/>
      <c r="U520" s="446"/>
      <c r="V520" s="446"/>
      <c r="W520" s="447"/>
      <c r="X520" s="48">
        <v>26</v>
      </c>
    </row>
    <row r="521" spans="1:24" ht="18.75" customHeight="1">
      <c r="A521" s="49" t="s">
        <v>115</v>
      </c>
      <c r="B521" s="50"/>
      <c r="C521" s="50"/>
      <c r="D521" s="50"/>
      <c r="E521" s="50"/>
      <c r="F521" s="50"/>
      <c r="G521" s="50"/>
      <c r="H521" s="50"/>
      <c r="I521" s="50"/>
      <c r="J521" s="50"/>
      <c r="K521" s="51"/>
      <c r="M521" s="49" t="s">
        <v>116</v>
      </c>
      <c r="N521" s="50"/>
      <c r="O521" s="50"/>
      <c r="P521" s="50"/>
      <c r="Q521" s="50"/>
      <c r="R521" s="50"/>
      <c r="S521" s="50"/>
      <c r="T521" s="50"/>
      <c r="U521" s="50"/>
      <c r="V521" s="50"/>
      <c r="W521" s="51"/>
    </row>
    <row r="522" spans="1:24" ht="18.75" customHeight="1">
      <c r="A522" s="448" t="s">
        <v>39</v>
      </c>
      <c r="B522" s="449"/>
      <c r="C522" s="449"/>
      <c r="D522" s="449"/>
      <c r="E522" s="449"/>
      <c r="F522" s="449"/>
      <c r="G522" s="449"/>
      <c r="H522" s="449"/>
      <c r="I522" s="449"/>
      <c r="J522" s="449"/>
      <c r="K522" s="450"/>
      <c r="M522" s="448" t="s">
        <v>39</v>
      </c>
      <c r="N522" s="449"/>
      <c r="O522" s="449"/>
      <c r="P522" s="449"/>
      <c r="Q522" s="449"/>
      <c r="R522" s="449"/>
      <c r="S522" s="449"/>
      <c r="T522" s="449"/>
      <c r="U522" s="449"/>
      <c r="V522" s="449"/>
      <c r="W522" s="450"/>
    </row>
    <row r="523" spans="1:24" ht="18.75" customHeight="1">
      <c r="A523" s="440" t="s">
        <v>40</v>
      </c>
      <c r="B523" s="441"/>
      <c r="C523" s="441"/>
      <c r="D523" s="441"/>
      <c r="E523" s="52" t="s">
        <v>41</v>
      </c>
      <c r="F523" s="442">
        <f>'Bang TH nop'!B65</f>
        <v>0</v>
      </c>
      <c r="G523" s="441"/>
      <c r="H523" s="441"/>
      <c r="I523" s="441"/>
      <c r="J523" s="441"/>
      <c r="K523" s="444"/>
      <c r="M523" s="440" t="s">
        <v>40</v>
      </c>
      <c r="N523" s="441"/>
      <c r="O523" s="441"/>
      <c r="P523" s="441"/>
      <c r="Q523" s="52" t="s">
        <v>41</v>
      </c>
      <c r="R523" s="442">
        <f>'Bang TH nop'!B67</f>
        <v>0</v>
      </c>
      <c r="S523" s="441"/>
      <c r="T523" s="441"/>
      <c r="U523" s="441"/>
      <c r="V523" s="441"/>
      <c r="W523" s="444"/>
    </row>
    <row r="524" spans="1:24" ht="18.75" customHeight="1">
      <c r="A524" s="440" t="s">
        <v>42</v>
      </c>
      <c r="B524" s="441"/>
      <c r="C524" s="441"/>
      <c r="D524" s="441"/>
      <c r="E524" s="52" t="s">
        <v>41</v>
      </c>
      <c r="F524" s="442">
        <f>'Bang TH nop'!C65</f>
        <v>0</v>
      </c>
      <c r="G524" s="442"/>
      <c r="H524" s="442"/>
      <c r="I524" s="442"/>
      <c r="J524" s="442"/>
      <c r="K524" s="443"/>
      <c r="M524" s="440" t="s">
        <v>42</v>
      </c>
      <c r="N524" s="441"/>
      <c r="O524" s="441"/>
      <c r="P524" s="441"/>
      <c r="Q524" s="52" t="s">
        <v>41</v>
      </c>
      <c r="R524" s="442">
        <f>'Bang TH nop'!C67</f>
        <v>0</v>
      </c>
      <c r="S524" s="442"/>
      <c r="T524" s="442"/>
      <c r="U524" s="442"/>
      <c r="V524" s="442"/>
      <c r="W524" s="443"/>
    </row>
    <row r="525" spans="1:24" ht="18.75" customHeight="1">
      <c r="A525" s="440" t="s">
        <v>43</v>
      </c>
      <c r="B525" s="441"/>
      <c r="C525" s="441"/>
      <c r="D525" s="441"/>
      <c r="E525" s="52" t="s">
        <v>41</v>
      </c>
      <c r="F525" s="441" t="str">
        <f>+$L$2</f>
        <v xml:space="preserve">Tổ  </v>
      </c>
      <c r="G525" s="441"/>
      <c r="H525" s="441"/>
      <c r="I525" s="441"/>
      <c r="J525" s="441"/>
      <c r="K525" s="444"/>
      <c r="M525" s="440" t="s">
        <v>43</v>
      </c>
      <c r="N525" s="441"/>
      <c r="O525" s="441"/>
      <c r="P525" s="441"/>
      <c r="Q525" s="52" t="s">
        <v>41</v>
      </c>
      <c r="R525" s="441" t="str">
        <f>+$L$2</f>
        <v xml:space="preserve">Tổ  </v>
      </c>
      <c r="S525" s="441"/>
      <c r="T525" s="441"/>
      <c r="U525" s="441"/>
      <c r="V525" s="441"/>
      <c r="W525" s="444"/>
    </row>
    <row r="526" spans="1:24" ht="18.75" customHeight="1">
      <c r="A526" s="448" t="s">
        <v>44</v>
      </c>
      <c r="B526" s="449"/>
      <c r="C526" s="449"/>
      <c r="D526" s="449"/>
      <c r="E526" s="449"/>
      <c r="F526" s="449"/>
      <c r="G526" s="449"/>
      <c r="H526" s="449"/>
      <c r="I526" s="449"/>
      <c r="J526" s="449"/>
      <c r="K526" s="450"/>
      <c r="M526" s="448" t="s">
        <v>44</v>
      </c>
      <c r="N526" s="449"/>
      <c r="O526" s="449"/>
      <c r="P526" s="449"/>
      <c r="Q526" s="449"/>
      <c r="R526" s="449"/>
      <c r="S526" s="449"/>
      <c r="T526" s="449"/>
      <c r="U526" s="449"/>
      <c r="V526" s="449"/>
      <c r="W526" s="450"/>
    </row>
    <row r="527" spans="1:24" ht="18.75" customHeight="1">
      <c r="A527" s="440" t="s">
        <v>45</v>
      </c>
      <c r="B527" s="441"/>
      <c r="C527" s="441"/>
      <c r="D527" s="441"/>
      <c r="E527" s="52" t="s">
        <v>41</v>
      </c>
      <c r="F527" s="455">
        <f>VLOOKUP(F524,'Bang TH nop'!$C$9:$AP$266,29,0)</f>
        <v>0</v>
      </c>
      <c r="G527" s="455"/>
      <c r="H527" s="455"/>
      <c r="I527" s="455"/>
      <c r="J527" s="52" t="s">
        <v>46</v>
      </c>
      <c r="K527" s="54"/>
      <c r="M527" s="440" t="s">
        <v>45</v>
      </c>
      <c r="N527" s="441"/>
      <c r="O527" s="441"/>
      <c r="P527" s="441"/>
      <c r="Q527" s="52" t="s">
        <v>41</v>
      </c>
      <c r="R527" s="455">
        <f>VLOOKUP(R524,'Bang TH nop'!$C$9:$AP$266,29,0)</f>
        <v>0</v>
      </c>
      <c r="S527" s="455"/>
      <c r="T527" s="455"/>
      <c r="U527" s="455"/>
      <c r="V527" s="52" t="s">
        <v>46</v>
      </c>
      <c r="W527" s="54"/>
    </row>
    <row r="528" spans="1:24" ht="18.75" customHeight="1">
      <c r="A528" s="55" t="s">
        <v>47</v>
      </c>
      <c r="B528" s="52"/>
      <c r="C528" s="56"/>
      <c r="D528" s="57"/>
      <c r="E528" s="58"/>
      <c r="F528" s="58"/>
      <c r="G528" s="58"/>
      <c r="H528" s="52"/>
      <c r="I528" s="59">
        <f>'LƯƠNG Tx'!F65</f>
        <v>0</v>
      </c>
      <c r="J528" s="60"/>
      <c r="K528" s="61"/>
      <c r="M528" s="55" t="s">
        <v>47</v>
      </c>
      <c r="N528" s="52"/>
      <c r="O528" s="56"/>
      <c r="P528" s="57"/>
      <c r="Q528" s="58"/>
      <c r="R528" s="58"/>
      <c r="S528" s="58"/>
      <c r="T528" s="52"/>
      <c r="U528" s="59">
        <f>'LƯƠNG Tx'!F67</f>
        <v>0</v>
      </c>
      <c r="V528" s="60"/>
      <c r="W528" s="61"/>
    </row>
    <row r="529" spans="1:24" ht="18.75" customHeight="1">
      <c r="A529" s="55" t="s">
        <v>48</v>
      </c>
      <c r="B529" s="52"/>
      <c r="C529" s="56"/>
      <c r="D529" s="57"/>
      <c r="E529" s="58"/>
      <c r="F529" s="58"/>
      <c r="G529" s="58"/>
      <c r="H529" s="52"/>
      <c r="I529" s="59" t="e">
        <f>I530/C530/8</f>
        <v>#DIV/0!</v>
      </c>
      <c r="J529" s="60"/>
      <c r="K529" s="61"/>
      <c r="M529" s="55" t="s">
        <v>48</v>
      </c>
      <c r="N529" s="52"/>
      <c r="O529" s="56"/>
      <c r="P529" s="57"/>
      <c r="Q529" s="58"/>
      <c r="R529" s="58"/>
      <c r="S529" s="58"/>
      <c r="T529" s="52"/>
      <c r="U529" s="59" t="e">
        <f>U530/O530/8</f>
        <v>#DIV/0!</v>
      </c>
      <c r="V529" s="60"/>
      <c r="W529" s="61"/>
    </row>
    <row r="530" spans="1:24" ht="18.75" customHeight="1">
      <c r="A530" s="55" t="s">
        <v>49</v>
      </c>
      <c r="B530" s="52" t="s">
        <v>41</v>
      </c>
      <c r="C530" s="56">
        <f>'LƯƠNG Tx'!I64</f>
        <v>0</v>
      </c>
      <c r="D530" s="57" t="s">
        <v>50</v>
      </c>
      <c r="E530" s="453" t="s">
        <v>51</v>
      </c>
      <c r="F530" s="453"/>
      <c r="G530" s="453"/>
      <c r="H530" s="52" t="s">
        <v>41</v>
      </c>
      <c r="I530" s="454">
        <f>'LƯƠNG Tx'!I65</f>
        <v>0</v>
      </c>
      <c r="J530" s="454"/>
      <c r="K530" s="61" t="s">
        <v>46</v>
      </c>
      <c r="L530" s="62">
        <f>F527/L520*C530</f>
        <v>0</v>
      </c>
      <c r="M530" s="55" t="s">
        <v>49</v>
      </c>
      <c r="N530" s="52" t="s">
        <v>41</v>
      </c>
      <c r="O530" s="56">
        <f>'LƯƠNG Tx'!I66</f>
        <v>0</v>
      </c>
      <c r="P530" s="57" t="s">
        <v>50</v>
      </c>
      <c r="Q530" s="453" t="s">
        <v>51</v>
      </c>
      <c r="R530" s="453"/>
      <c r="S530" s="453"/>
      <c r="T530" s="52" t="s">
        <v>41</v>
      </c>
      <c r="U530" s="454">
        <f>'LƯƠNG Tx'!I67</f>
        <v>0</v>
      </c>
      <c r="V530" s="454"/>
      <c r="W530" s="61" t="s">
        <v>46</v>
      </c>
      <c r="X530" s="62">
        <f>R527/X520*O530</f>
        <v>0</v>
      </c>
    </row>
    <row r="531" spans="1:24" ht="18.75" customHeight="1">
      <c r="A531" s="55" t="s">
        <v>52</v>
      </c>
      <c r="B531" s="52" t="s">
        <v>41</v>
      </c>
      <c r="C531" s="56">
        <f>'LƯƠNG Tx'!J64</f>
        <v>0</v>
      </c>
      <c r="D531" s="57" t="s">
        <v>50</v>
      </c>
      <c r="E531" s="441" t="s">
        <v>53</v>
      </c>
      <c r="F531" s="441"/>
      <c r="G531" s="441"/>
      <c r="H531" s="52" t="s">
        <v>41</v>
      </c>
      <c r="I531" s="452">
        <f>$F$8/$L$1*C531</f>
        <v>0</v>
      </c>
      <c r="J531" s="452"/>
      <c r="K531" s="61" t="s">
        <v>46</v>
      </c>
      <c r="L531" s="62"/>
      <c r="M531" s="55" t="s">
        <v>52</v>
      </c>
      <c r="N531" s="52" t="s">
        <v>41</v>
      </c>
      <c r="O531" s="56">
        <f>'LƯƠNG Tx'!J66</f>
        <v>0</v>
      </c>
      <c r="P531" s="57" t="s">
        <v>50</v>
      </c>
      <c r="Q531" s="441" t="s">
        <v>53</v>
      </c>
      <c r="R531" s="441"/>
      <c r="S531" s="441"/>
      <c r="T531" s="52" t="s">
        <v>41</v>
      </c>
      <c r="U531" s="452">
        <f>$F$8/$L$1*O531</f>
        <v>0</v>
      </c>
      <c r="V531" s="452"/>
      <c r="W531" s="61" t="s">
        <v>46</v>
      </c>
      <c r="X531" s="62"/>
    </row>
    <row r="532" spans="1:24" ht="18.75" customHeight="1">
      <c r="A532" s="55" t="s">
        <v>54</v>
      </c>
      <c r="B532" s="52" t="s">
        <v>41</v>
      </c>
      <c r="C532" s="56">
        <f>'LƯƠNG Tx'!K64</f>
        <v>0</v>
      </c>
      <c r="D532" s="57" t="s">
        <v>50</v>
      </c>
      <c r="E532" s="451" t="s">
        <v>55</v>
      </c>
      <c r="F532" s="451"/>
      <c r="G532" s="451"/>
      <c r="H532" s="52" t="s">
        <v>41</v>
      </c>
      <c r="I532" s="452">
        <f>$F$8/$L$1*C532</f>
        <v>0</v>
      </c>
      <c r="J532" s="452"/>
      <c r="K532" s="61" t="s">
        <v>46</v>
      </c>
      <c r="L532" s="62"/>
      <c r="M532" s="55" t="s">
        <v>54</v>
      </c>
      <c r="N532" s="52" t="s">
        <v>41</v>
      </c>
      <c r="O532" s="56">
        <f>'LƯƠNG Tx'!K66</f>
        <v>0</v>
      </c>
      <c r="P532" s="57" t="s">
        <v>50</v>
      </c>
      <c r="Q532" s="451" t="s">
        <v>55</v>
      </c>
      <c r="R532" s="451"/>
      <c r="S532" s="451"/>
      <c r="T532" s="52" t="s">
        <v>41</v>
      </c>
      <c r="U532" s="452">
        <f>$F$8/$L$1*O532</f>
        <v>0</v>
      </c>
      <c r="V532" s="452"/>
      <c r="W532" s="61" t="s">
        <v>46</v>
      </c>
      <c r="X532" s="62"/>
    </row>
    <row r="533" spans="1:24" ht="18.75" customHeight="1">
      <c r="A533" s="55" t="s">
        <v>56</v>
      </c>
      <c r="B533" s="52" t="s">
        <v>41</v>
      </c>
      <c r="C533" s="56">
        <f>'LƯƠNG Tx'!L64</f>
        <v>0</v>
      </c>
      <c r="D533" s="57" t="s">
        <v>50</v>
      </c>
      <c r="E533" s="451" t="s">
        <v>57</v>
      </c>
      <c r="F533" s="451"/>
      <c r="G533" s="451"/>
      <c r="H533" s="52" t="s">
        <v>41</v>
      </c>
      <c r="I533" s="452">
        <f>$F$8/$L$1*C533</f>
        <v>0</v>
      </c>
      <c r="J533" s="452"/>
      <c r="K533" s="61" t="s">
        <v>46</v>
      </c>
      <c r="L533" s="62"/>
      <c r="M533" s="55" t="s">
        <v>56</v>
      </c>
      <c r="N533" s="52" t="s">
        <v>41</v>
      </c>
      <c r="O533" s="56">
        <f>'LƯƠNG Tx'!L66</f>
        <v>0</v>
      </c>
      <c r="P533" s="57" t="s">
        <v>50</v>
      </c>
      <c r="Q533" s="451" t="s">
        <v>57</v>
      </c>
      <c r="R533" s="451"/>
      <c r="S533" s="451"/>
      <c r="T533" s="52" t="s">
        <v>41</v>
      </c>
      <c r="U533" s="452">
        <f>$F$8/$L$1*O533</f>
        <v>0</v>
      </c>
      <c r="V533" s="452"/>
      <c r="W533" s="61" t="s">
        <v>46</v>
      </c>
      <c r="X533" s="62"/>
    </row>
    <row r="534" spans="1:24" ht="18.75" customHeight="1">
      <c r="A534" s="55" t="s">
        <v>58</v>
      </c>
      <c r="B534" s="52" t="s">
        <v>41</v>
      </c>
      <c r="C534" s="56">
        <f>'LƯƠNG Tx'!Q64</f>
        <v>0</v>
      </c>
      <c r="D534" s="57" t="s">
        <v>59</v>
      </c>
      <c r="E534" s="441" t="s">
        <v>60</v>
      </c>
      <c r="F534" s="441"/>
      <c r="G534" s="441"/>
      <c r="H534" s="52" t="s">
        <v>41</v>
      </c>
      <c r="I534" s="452">
        <f>'LƯƠNG Tx'!Q65</f>
        <v>0</v>
      </c>
      <c r="J534" s="452"/>
      <c r="K534" s="61" t="s">
        <v>46</v>
      </c>
      <c r="L534" s="62">
        <f>F527*C534/L520/8*1.5</f>
        <v>0</v>
      </c>
      <c r="M534" s="55" t="s">
        <v>58</v>
      </c>
      <c r="N534" s="52" t="s">
        <v>41</v>
      </c>
      <c r="O534" s="56">
        <f>'LƯƠNG Tx'!Q66</f>
        <v>0</v>
      </c>
      <c r="P534" s="57" t="s">
        <v>59</v>
      </c>
      <c r="Q534" s="441" t="s">
        <v>60</v>
      </c>
      <c r="R534" s="441"/>
      <c r="S534" s="441"/>
      <c r="T534" s="52" t="s">
        <v>41</v>
      </c>
      <c r="U534" s="452">
        <f>'LƯƠNG Tx'!Q67</f>
        <v>0</v>
      </c>
      <c r="V534" s="452"/>
      <c r="W534" s="61" t="s">
        <v>46</v>
      </c>
      <c r="X534" s="62">
        <f>R527*O534/X520/8*1.5</f>
        <v>0</v>
      </c>
    </row>
    <row r="535" spans="1:24" ht="18.75" customHeight="1">
      <c r="A535" s="440" t="s">
        <v>61</v>
      </c>
      <c r="B535" s="441"/>
      <c r="C535" s="56"/>
      <c r="D535" s="57" t="s">
        <v>50</v>
      </c>
      <c r="E535" s="441" t="s">
        <v>62</v>
      </c>
      <c r="F535" s="441"/>
      <c r="G535" s="441"/>
      <c r="H535" s="63" t="s">
        <v>41</v>
      </c>
      <c r="I535" s="452"/>
      <c r="J535" s="452"/>
      <c r="K535" s="61" t="s">
        <v>46</v>
      </c>
      <c r="L535" s="62"/>
      <c r="M535" s="440" t="s">
        <v>61</v>
      </c>
      <c r="N535" s="441"/>
      <c r="O535" s="56"/>
      <c r="P535" s="57" t="s">
        <v>50</v>
      </c>
      <c r="Q535" s="441" t="s">
        <v>62</v>
      </c>
      <c r="R535" s="441"/>
      <c r="S535" s="441"/>
      <c r="T535" s="63" t="s">
        <v>41</v>
      </c>
      <c r="U535" s="452"/>
      <c r="V535" s="452"/>
      <c r="W535" s="61" t="s">
        <v>46</v>
      </c>
      <c r="X535" s="62"/>
    </row>
    <row r="536" spans="1:24" ht="18.75" customHeight="1">
      <c r="A536" s="55" t="s">
        <v>63</v>
      </c>
      <c r="B536" s="52" t="s">
        <v>41</v>
      </c>
      <c r="C536" s="56"/>
      <c r="D536" s="57" t="s">
        <v>50</v>
      </c>
      <c r="E536" s="441" t="s">
        <v>64</v>
      </c>
      <c r="F536" s="441"/>
      <c r="G536" s="441"/>
      <c r="H536" s="52" t="s">
        <v>41</v>
      </c>
      <c r="I536" s="452"/>
      <c r="J536" s="452"/>
      <c r="K536" s="61" t="s">
        <v>46</v>
      </c>
      <c r="L536" s="62"/>
      <c r="M536" s="55" t="s">
        <v>63</v>
      </c>
      <c r="N536" s="52" t="s">
        <v>41</v>
      </c>
      <c r="O536" s="56"/>
      <c r="P536" s="57" t="s">
        <v>50</v>
      </c>
      <c r="Q536" s="441" t="s">
        <v>64</v>
      </c>
      <c r="R536" s="441"/>
      <c r="S536" s="441"/>
      <c r="T536" s="52" t="s">
        <v>41</v>
      </c>
      <c r="U536" s="452"/>
      <c r="V536" s="452"/>
      <c r="W536" s="61" t="s">
        <v>46</v>
      </c>
      <c r="X536" s="62"/>
    </row>
    <row r="537" spans="1:24" ht="18.75" customHeight="1">
      <c r="A537" s="64" t="s">
        <v>65</v>
      </c>
      <c r="B537" s="52"/>
      <c r="C537" s="56">
        <f>'LƯƠNG Tx'!M64</f>
        <v>0</v>
      </c>
      <c r="D537" s="57" t="s">
        <v>59</v>
      </c>
      <c r="E537" s="441" t="s">
        <v>66</v>
      </c>
      <c r="F537" s="441"/>
      <c r="G537" s="441"/>
      <c r="H537" s="52" t="s">
        <v>41</v>
      </c>
      <c r="I537" s="452">
        <f>$F$8*C537/8/$L$1</f>
        <v>0</v>
      </c>
      <c r="J537" s="452"/>
      <c r="K537" s="61" t="s">
        <v>46</v>
      </c>
      <c r="L537" s="62"/>
      <c r="M537" s="64" t="s">
        <v>65</v>
      </c>
      <c r="N537" s="52"/>
      <c r="O537" s="56">
        <f>'LƯƠNG Tx'!M66</f>
        <v>0</v>
      </c>
      <c r="P537" s="57" t="s">
        <v>59</v>
      </c>
      <c r="Q537" s="441" t="s">
        <v>66</v>
      </c>
      <c r="R537" s="441"/>
      <c r="S537" s="441"/>
      <c r="T537" s="52" t="s">
        <v>41</v>
      </c>
      <c r="U537" s="452">
        <f>$F$8*O537/8/$L$1</f>
        <v>0</v>
      </c>
      <c r="V537" s="452"/>
      <c r="W537" s="61" t="s">
        <v>46</v>
      </c>
      <c r="X537" s="62"/>
    </row>
    <row r="538" spans="1:24" ht="18.75" customHeight="1">
      <c r="A538" s="55" t="s">
        <v>167</v>
      </c>
      <c r="B538" s="52" t="s">
        <v>41</v>
      </c>
      <c r="C538" s="56"/>
      <c r="D538" s="57" t="s">
        <v>59</v>
      </c>
      <c r="E538" s="441" t="s">
        <v>73</v>
      </c>
      <c r="F538" s="441"/>
      <c r="G538" s="441"/>
      <c r="H538" s="52" t="s">
        <v>41</v>
      </c>
      <c r="I538" s="454"/>
      <c r="J538" s="454"/>
      <c r="K538" s="61" t="s">
        <v>46</v>
      </c>
      <c r="L538" s="62"/>
      <c r="M538" s="55" t="s">
        <v>167</v>
      </c>
      <c r="N538" s="52" t="s">
        <v>41</v>
      </c>
      <c r="O538" s="56"/>
      <c r="P538" s="57" t="s">
        <v>59</v>
      </c>
      <c r="Q538" s="441" t="s">
        <v>73</v>
      </c>
      <c r="R538" s="441"/>
      <c r="S538" s="441"/>
      <c r="T538" s="52" t="s">
        <v>41</v>
      </c>
      <c r="U538" s="454"/>
      <c r="V538" s="454"/>
      <c r="W538" s="61" t="s">
        <v>46</v>
      </c>
      <c r="X538" s="62"/>
    </row>
    <row r="539" spans="1:24" ht="18.75" customHeight="1">
      <c r="A539" s="55" t="s">
        <v>69</v>
      </c>
      <c r="B539" s="52" t="s">
        <v>41</v>
      </c>
      <c r="C539" s="56"/>
      <c r="D539" s="57" t="s">
        <v>70</v>
      </c>
      <c r="E539" s="53" t="s">
        <v>71</v>
      </c>
      <c r="F539" s="53"/>
      <c r="G539" s="53"/>
      <c r="H539" s="52" t="s">
        <v>41</v>
      </c>
      <c r="I539" s="452"/>
      <c r="J539" s="452"/>
      <c r="K539" s="61" t="s">
        <v>46</v>
      </c>
      <c r="L539" s="62">
        <f>+IF(L530-I530&lt;0,0,L530-I530)+IF(L534-I534&lt;0,0,L534-I534)</f>
        <v>0</v>
      </c>
      <c r="M539" s="55" t="s">
        <v>69</v>
      </c>
      <c r="N539" s="52" t="s">
        <v>41</v>
      </c>
      <c r="O539" s="56"/>
      <c r="P539" s="57" t="s">
        <v>70</v>
      </c>
      <c r="Q539" s="53" t="s">
        <v>71</v>
      </c>
      <c r="R539" s="53"/>
      <c r="S539" s="53"/>
      <c r="T539" s="52" t="s">
        <v>41</v>
      </c>
      <c r="U539" s="452"/>
      <c r="V539" s="452"/>
      <c r="W539" s="61" t="s">
        <v>46</v>
      </c>
      <c r="X539" s="62">
        <f>+IF(X530-U530&lt;0,0,X530-U530)+IF(X534-U534&lt;0,0,X534-U534)</f>
        <v>0</v>
      </c>
    </row>
    <row r="540" spans="1:24" ht="18.75" customHeight="1">
      <c r="A540" s="65" t="s">
        <v>164</v>
      </c>
      <c r="B540" s="66"/>
      <c r="C540" s="56"/>
      <c r="D540" s="57" t="s">
        <v>50</v>
      </c>
      <c r="E540" s="441" t="s">
        <v>165</v>
      </c>
      <c r="F540" s="441"/>
      <c r="G540" s="441"/>
      <c r="H540" s="52" t="s">
        <v>41</v>
      </c>
      <c r="I540" s="452"/>
      <c r="J540" s="452"/>
      <c r="K540" s="61" t="s">
        <v>46</v>
      </c>
      <c r="L540" s="62"/>
      <c r="M540" s="65" t="s">
        <v>164</v>
      </c>
      <c r="N540" s="66"/>
      <c r="O540" s="56"/>
      <c r="P540" s="57" t="s">
        <v>50</v>
      </c>
      <c r="Q540" s="441" t="s">
        <v>165</v>
      </c>
      <c r="R540" s="441"/>
      <c r="S540" s="441"/>
      <c r="T540" s="52" t="s">
        <v>41</v>
      </c>
      <c r="U540" s="452"/>
      <c r="V540" s="452"/>
      <c r="W540" s="61" t="s">
        <v>46</v>
      </c>
      <c r="X540" s="62"/>
    </row>
    <row r="541" spans="1:24" ht="18.75" customHeight="1">
      <c r="A541" s="460" t="s">
        <v>166</v>
      </c>
      <c r="B541" s="461"/>
      <c r="C541" s="56"/>
      <c r="D541" s="57"/>
      <c r="E541" s="58"/>
      <c r="F541" s="58"/>
      <c r="G541" s="58"/>
      <c r="H541" s="52" t="s">
        <v>41</v>
      </c>
      <c r="I541" s="452">
        <f>'LƯƠNG Tx'!P65</f>
        <v>0</v>
      </c>
      <c r="J541" s="452"/>
      <c r="K541" s="61" t="s">
        <v>46</v>
      </c>
      <c r="L541" s="62"/>
      <c r="M541" s="460" t="s">
        <v>166</v>
      </c>
      <c r="N541" s="461"/>
      <c r="O541" s="56"/>
      <c r="P541" s="57"/>
      <c r="Q541" s="58"/>
      <c r="R541" s="58"/>
      <c r="S541" s="58"/>
      <c r="T541" s="52" t="s">
        <v>41</v>
      </c>
      <c r="U541" s="452">
        <f>'LƯƠNG Tx'!P67</f>
        <v>0</v>
      </c>
      <c r="V541" s="452"/>
      <c r="W541" s="61" t="s">
        <v>46</v>
      </c>
      <c r="X541" s="62"/>
    </row>
    <row r="542" spans="1:24" ht="18.75" customHeight="1">
      <c r="A542" s="55" t="s">
        <v>75</v>
      </c>
      <c r="B542" s="52" t="s">
        <v>41</v>
      </c>
      <c r="C542" s="56"/>
      <c r="D542" s="57"/>
      <c r="E542" s="58" t="s">
        <v>76</v>
      </c>
      <c r="F542" s="58"/>
      <c r="G542" s="58"/>
      <c r="H542" s="52" t="s">
        <v>41</v>
      </c>
      <c r="I542" s="452">
        <f>L539</f>
        <v>0</v>
      </c>
      <c r="J542" s="452"/>
      <c r="K542" s="61" t="s">
        <v>46</v>
      </c>
      <c r="L542" s="62"/>
      <c r="M542" s="55" t="s">
        <v>75</v>
      </c>
      <c r="N542" s="52" t="s">
        <v>41</v>
      </c>
      <c r="O542" s="56"/>
      <c r="P542" s="57"/>
      <c r="Q542" s="58" t="s">
        <v>76</v>
      </c>
      <c r="R542" s="58"/>
      <c r="S542" s="58"/>
      <c r="T542" s="52" t="s">
        <v>41</v>
      </c>
      <c r="U542" s="452">
        <f>X539</f>
        <v>0</v>
      </c>
      <c r="V542" s="452"/>
      <c r="W542" s="61" t="s">
        <v>46</v>
      </c>
      <c r="X542" s="62"/>
    </row>
    <row r="543" spans="1:24" ht="18.75" customHeight="1">
      <c r="A543" s="456" t="s">
        <v>77</v>
      </c>
      <c r="B543" s="457"/>
      <c r="C543" s="457"/>
      <c r="D543" s="457"/>
      <c r="E543" s="457"/>
      <c r="F543" s="457"/>
      <c r="G543" s="52" t="s">
        <v>41</v>
      </c>
      <c r="H543" s="458">
        <f>I530+I531+I532+I533+I534+I537+I541+I542+I535+I536+I538+I539+I540+C541</f>
        <v>0</v>
      </c>
      <c r="I543" s="459"/>
      <c r="J543" s="459"/>
      <c r="K543" s="61" t="s">
        <v>46</v>
      </c>
      <c r="M543" s="456" t="s">
        <v>77</v>
      </c>
      <c r="N543" s="457"/>
      <c r="O543" s="457"/>
      <c r="P543" s="457"/>
      <c r="Q543" s="457"/>
      <c r="R543" s="457"/>
      <c r="S543" s="52" t="s">
        <v>41</v>
      </c>
      <c r="T543" s="458">
        <f>U530+U531+U532+U533+U534+U537+U541+U542+U535+U536+U538+U539+U540+O541</f>
        <v>0</v>
      </c>
      <c r="U543" s="459"/>
      <c r="V543" s="459"/>
      <c r="W543" s="61" t="s">
        <v>46</v>
      </c>
    </row>
    <row r="544" spans="1:24" ht="18.75" customHeight="1">
      <c r="A544" s="67"/>
      <c r="B544" s="68"/>
      <c r="C544" s="68"/>
      <c r="D544" s="68"/>
      <c r="E544" s="68"/>
      <c r="F544" s="68"/>
      <c r="G544" s="68"/>
      <c r="H544" s="68"/>
      <c r="I544" s="68"/>
      <c r="J544" s="68"/>
      <c r="K544" s="69"/>
      <c r="M544" s="67"/>
      <c r="N544" s="68"/>
      <c r="O544" s="68"/>
      <c r="P544" s="68"/>
      <c r="Q544" s="68"/>
      <c r="R544" s="68"/>
      <c r="S544" s="68"/>
      <c r="T544" s="68"/>
      <c r="U544" s="68"/>
      <c r="V544" s="68"/>
      <c r="W544" s="69"/>
    </row>
    <row r="545" spans="1:24" ht="18.75" customHeight="1">
      <c r="A545" s="468" t="s">
        <v>78</v>
      </c>
      <c r="B545" s="469"/>
      <c r="C545" s="469"/>
      <c r="D545" s="469"/>
      <c r="E545" s="469"/>
      <c r="F545" s="469"/>
      <c r="G545" s="52"/>
      <c r="H545" s="52"/>
      <c r="I545" s="52"/>
      <c r="J545" s="52"/>
      <c r="K545" s="61"/>
      <c r="M545" s="468" t="s">
        <v>78</v>
      </c>
      <c r="N545" s="469"/>
      <c r="O545" s="469"/>
      <c r="P545" s="469"/>
      <c r="Q545" s="469"/>
      <c r="R545" s="469"/>
      <c r="S545" s="52"/>
      <c r="T545" s="52"/>
      <c r="U545" s="52"/>
      <c r="V545" s="52"/>
      <c r="W545" s="61"/>
    </row>
    <row r="546" spans="1:24" ht="18.75" customHeight="1">
      <c r="A546" s="462" t="s">
        <v>79</v>
      </c>
      <c r="B546" s="463"/>
      <c r="C546" s="463"/>
      <c r="D546" s="463"/>
      <c r="E546" s="463"/>
      <c r="F546" s="463"/>
      <c r="G546" s="52" t="s">
        <v>41</v>
      </c>
      <c r="H546" s="470">
        <f>IF(($L$1-(C530+C531+C532+C533))&gt;12,0,F527*8%)</f>
        <v>0</v>
      </c>
      <c r="I546" s="470"/>
      <c r="J546" s="470"/>
      <c r="K546" s="61" t="s">
        <v>46</v>
      </c>
      <c r="M546" s="462" t="s">
        <v>79</v>
      </c>
      <c r="N546" s="463"/>
      <c r="O546" s="463"/>
      <c r="P546" s="463"/>
      <c r="Q546" s="463"/>
      <c r="R546" s="463"/>
      <c r="S546" s="52" t="s">
        <v>41</v>
      </c>
      <c r="T546" s="470">
        <f>IF(($L$1-(O530+O531+O532+O533))&gt;12,0,R527*8%)</f>
        <v>0</v>
      </c>
      <c r="U546" s="470"/>
      <c r="V546" s="470"/>
      <c r="W546" s="61" t="s">
        <v>46</v>
      </c>
    </row>
    <row r="547" spans="1:24" ht="18.75" customHeight="1">
      <c r="A547" s="462" t="s">
        <v>80</v>
      </c>
      <c r="B547" s="463"/>
      <c r="C547" s="463"/>
      <c r="D547" s="463"/>
      <c r="E547" s="463"/>
      <c r="F547" s="463"/>
      <c r="G547" s="52" t="s">
        <v>41</v>
      </c>
      <c r="H547" s="464">
        <f>IF(($L$1-(C530+C531+C532+C533))&gt;12,0,F527*1.5%)</f>
        <v>0</v>
      </c>
      <c r="I547" s="464"/>
      <c r="J547" s="464"/>
      <c r="K547" s="61" t="s">
        <v>46</v>
      </c>
      <c r="M547" s="462" t="s">
        <v>80</v>
      </c>
      <c r="N547" s="463"/>
      <c r="O547" s="463"/>
      <c r="P547" s="463"/>
      <c r="Q547" s="463"/>
      <c r="R547" s="463"/>
      <c r="S547" s="52" t="s">
        <v>41</v>
      </c>
      <c r="T547" s="464">
        <f>IF(($L$1-(O530+O531+O532+O533))&gt;12,0,R527*1.5%)</f>
        <v>0</v>
      </c>
      <c r="U547" s="464"/>
      <c r="V547" s="464"/>
      <c r="W547" s="61" t="s">
        <v>46</v>
      </c>
    </row>
    <row r="548" spans="1:24" ht="18.75" customHeight="1">
      <c r="A548" s="462" t="s">
        <v>81</v>
      </c>
      <c r="B548" s="463"/>
      <c r="C548" s="463"/>
      <c r="D548" s="463"/>
      <c r="E548" s="463"/>
      <c r="F548" s="463"/>
      <c r="G548" s="52" t="s">
        <v>41</v>
      </c>
      <c r="H548" s="464">
        <f>IF(($L$1-(C530+C531+C532+C533))&gt;12,0,F527*1%)</f>
        <v>0</v>
      </c>
      <c r="I548" s="464"/>
      <c r="J548" s="464"/>
      <c r="K548" s="61" t="s">
        <v>46</v>
      </c>
      <c r="M548" s="462" t="s">
        <v>81</v>
      </c>
      <c r="N548" s="463"/>
      <c r="O548" s="463"/>
      <c r="P548" s="463"/>
      <c r="Q548" s="463"/>
      <c r="R548" s="463"/>
      <c r="S548" s="52" t="s">
        <v>41</v>
      </c>
      <c r="T548" s="464">
        <f>IF(($L$1-(O530+O531+O532+O533))&gt;12,0,R527*1%)</f>
        <v>0</v>
      </c>
      <c r="U548" s="464"/>
      <c r="V548" s="464"/>
      <c r="W548" s="61" t="s">
        <v>46</v>
      </c>
    </row>
    <row r="549" spans="1:24" ht="18.75" customHeight="1">
      <c r="A549" s="462" t="s">
        <v>82</v>
      </c>
      <c r="B549" s="463"/>
      <c r="C549" s="463"/>
      <c r="D549" s="463"/>
      <c r="E549" s="463"/>
      <c r="F549" s="463"/>
      <c r="G549" s="52" t="s">
        <v>41</v>
      </c>
      <c r="H549" s="464">
        <v>0</v>
      </c>
      <c r="I549" s="464"/>
      <c r="J549" s="464"/>
      <c r="K549" s="61" t="s">
        <v>46</v>
      </c>
      <c r="M549" s="462" t="s">
        <v>82</v>
      </c>
      <c r="N549" s="463"/>
      <c r="O549" s="463"/>
      <c r="P549" s="463"/>
      <c r="Q549" s="463"/>
      <c r="R549" s="463"/>
      <c r="S549" s="52" t="s">
        <v>41</v>
      </c>
      <c r="T549" s="464">
        <v>0</v>
      </c>
      <c r="U549" s="464"/>
      <c r="V549" s="464"/>
      <c r="W549" s="61" t="s">
        <v>46</v>
      </c>
    </row>
    <row r="550" spans="1:24" ht="18.75" customHeight="1">
      <c r="A550" s="465" t="s">
        <v>83</v>
      </c>
      <c r="B550" s="466"/>
      <c r="C550" s="466"/>
      <c r="D550" s="466"/>
      <c r="E550" s="466"/>
      <c r="F550" s="466"/>
      <c r="G550" s="52" t="s">
        <v>41</v>
      </c>
      <c r="H550" s="467">
        <f>SUM(H546:J549)</f>
        <v>0</v>
      </c>
      <c r="I550" s="467"/>
      <c r="J550" s="467"/>
      <c r="K550" s="61" t="s">
        <v>46</v>
      </c>
      <c r="M550" s="465" t="s">
        <v>83</v>
      </c>
      <c r="N550" s="466"/>
      <c r="O550" s="466"/>
      <c r="P550" s="466"/>
      <c r="Q550" s="466"/>
      <c r="R550" s="466"/>
      <c r="S550" s="52" t="s">
        <v>41</v>
      </c>
      <c r="T550" s="467">
        <f>SUM(T546:V549)</f>
        <v>0</v>
      </c>
      <c r="U550" s="467"/>
      <c r="V550" s="467"/>
      <c r="W550" s="61" t="s">
        <v>46</v>
      </c>
    </row>
    <row r="551" spans="1:24" ht="18.75" customHeight="1">
      <c r="A551" s="462" t="s">
        <v>84</v>
      </c>
      <c r="B551" s="463"/>
      <c r="C551" s="463"/>
      <c r="D551" s="463"/>
      <c r="E551" s="463"/>
      <c r="F551" s="463"/>
      <c r="G551" s="52" t="s">
        <v>41</v>
      </c>
      <c r="H551" s="475">
        <f>ROUND(H543-H550,-2)</f>
        <v>0</v>
      </c>
      <c r="I551" s="475"/>
      <c r="J551" s="475"/>
      <c r="K551" s="61" t="s">
        <v>46</v>
      </c>
      <c r="M551" s="462" t="s">
        <v>84</v>
      </c>
      <c r="N551" s="463"/>
      <c r="O551" s="463"/>
      <c r="P551" s="463"/>
      <c r="Q551" s="463"/>
      <c r="R551" s="463"/>
      <c r="S551" s="52" t="s">
        <v>41</v>
      </c>
      <c r="T551" s="475">
        <f>ROUND(T543-T550,-2)</f>
        <v>0</v>
      </c>
      <c r="U551" s="475"/>
      <c r="V551" s="475"/>
      <c r="W551" s="61" t="s">
        <v>46</v>
      </c>
    </row>
    <row r="552" spans="1:24" ht="18.75" customHeight="1">
      <c r="A552" s="70"/>
      <c r="B552" s="71"/>
      <c r="C552" s="71"/>
      <c r="D552" s="71"/>
      <c r="E552" s="71"/>
      <c r="F552" s="71"/>
      <c r="G552" s="71"/>
      <c r="H552" s="71"/>
      <c r="I552" s="71"/>
      <c r="J552" s="71"/>
      <c r="K552" s="72"/>
      <c r="M552" s="70"/>
      <c r="N552" s="71"/>
      <c r="O552" s="71"/>
      <c r="P552" s="71"/>
      <c r="Q552" s="71"/>
      <c r="R552" s="71"/>
      <c r="S552" s="71"/>
      <c r="T552" s="71"/>
      <c r="U552" s="71"/>
      <c r="V552" s="71"/>
      <c r="W552" s="72"/>
    </row>
    <row r="553" spans="1:24" ht="18.75" customHeight="1">
      <c r="A553" s="73"/>
      <c r="B553" s="52"/>
      <c r="C553" s="52"/>
      <c r="D553" s="52"/>
      <c r="E553" s="52"/>
      <c r="F553" s="52"/>
      <c r="G553" s="52"/>
      <c r="H553" s="52"/>
      <c r="I553" s="472" t="s">
        <v>85</v>
      </c>
      <c r="J553" s="472"/>
      <c r="K553" s="476"/>
      <c r="M553" s="73"/>
      <c r="N553" s="52"/>
      <c r="O553" s="52"/>
      <c r="P553" s="52"/>
      <c r="Q553" s="52"/>
      <c r="R553" s="52"/>
      <c r="S553" s="52"/>
      <c r="T553" s="52"/>
      <c r="U553" s="472" t="s">
        <v>85</v>
      </c>
      <c r="V553" s="472"/>
      <c r="W553" s="476"/>
    </row>
    <row r="554" spans="1:24" ht="18.75" customHeight="1">
      <c r="A554" s="73"/>
      <c r="B554" s="471"/>
      <c r="C554" s="472"/>
      <c r="D554" s="472"/>
      <c r="E554" s="472"/>
      <c r="F554" s="52"/>
      <c r="G554" s="52"/>
      <c r="H554" s="52"/>
      <c r="I554" s="52"/>
      <c r="J554" s="52"/>
      <c r="K554" s="54"/>
      <c r="M554" s="73"/>
      <c r="N554" s="471"/>
      <c r="O554" s="472"/>
      <c r="P554" s="472"/>
      <c r="Q554" s="472"/>
      <c r="R554" s="52"/>
      <c r="S554" s="52"/>
      <c r="T554" s="52"/>
      <c r="U554" s="52"/>
      <c r="V554" s="52"/>
      <c r="W554" s="54"/>
    </row>
    <row r="555" spans="1:24" ht="18.75" customHeight="1" thickBot="1">
      <c r="A555" s="75"/>
      <c r="B555" s="76"/>
      <c r="C555" s="76"/>
      <c r="D555" s="76"/>
      <c r="E555" s="76"/>
      <c r="F555" s="76"/>
      <c r="G555" s="76"/>
      <c r="H555" s="76"/>
      <c r="I555" s="473" t="s">
        <v>86</v>
      </c>
      <c r="J555" s="473"/>
      <c r="K555" s="474"/>
      <c r="M555" s="75"/>
      <c r="N555" s="76"/>
      <c r="O555" s="76"/>
      <c r="P555" s="76"/>
      <c r="Q555" s="76"/>
      <c r="R555" s="76"/>
      <c r="S555" s="76"/>
      <c r="T555" s="76"/>
      <c r="U555" s="473" t="s">
        <v>86</v>
      </c>
      <c r="V555" s="473"/>
      <c r="W555" s="474"/>
    </row>
    <row r="556" spans="1:24" ht="18.75" customHeight="1" thickTop="1" thickBot="1"/>
    <row r="557" spans="1:24" ht="18.75" customHeight="1" thickTop="1">
      <c r="A557" s="445" t="s">
        <v>172</v>
      </c>
      <c r="B557" s="446"/>
      <c r="C557" s="446"/>
      <c r="D557" s="446"/>
      <c r="E557" s="446"/>
      <c r="F557" s="446"/>
      <c r="G557" s="446"/>
      <c r="H557" s="446"/>
      <c r="I557" s="446"/>
      <c r="J557" s="446"/>
      <c r="K557" s="447"/>
      <c r="L557" s="48">
        <v>26</v>
      </c>
      <c r="M557" s="445" t="s">
        <v>172</v>
      </c>
      <c r="N557" s="446"/>
      <c r="O557" s="446"/>
      <c r="P557" s="446"/>
      <c r="Q557" s="446"/>
      <c r="R557" s="446"/>
      <c r="S557" s="446"/>
      <c r="T557" s="446"/>
      <c r="U557" s="446"/>
      <c r="V557" s="446"/>
      <c r="W557" s="447"/>
      <c r="X557" s="48">
        <v>26</v>
      </c>
    </row>
    <row r="558" spans="1:24" ht="18.75" customHeight="1">
      <c r="A558" s="49" t="s">
        <v>117</v>
      </c>
      <c r="B558" s="50"/>
      <c r="C558" s="50"/>
      <c r="D558" s="50"/>
      <c r="E558" s="50"/>
      <c r="F558" s="50"/>
      <c r="G558" s="50"/>
      <c r="H558" s="50"/>
      <c r="I558" s="50"/>
      <c r="J558" s="50"/>
      <c r="K558" s="51"/>
      <c r="M558" s="49" t="s">
        <v>118</v>
      </c>
      <c r="N558" s="50"/>
      <c r="O558" s="50"/>
      <c r="P558" s="50"/>
      <c r="Q558" s="50"/>
      <c r="R558" s="50"/>
      <c r="S558" s="50"/>
      <c r="T558" s="50"/>
      <c r="U558" s="50"/>
      <c r="V558" s="50"/>
      <c r="W558" s="51"/>
    </row>
    <row r="559" spans="1:24" ht="18.75" customHeight="1">
      <c r="A559" s="448" t="s">
        <v>39</v>
      </c>
      <c r="B559" s="449"/>
      <c r="C559" s="449"/>
      <c r="D559" s="449"/>
      <c r="E559" s="449"/>
      <c r="F559" s="449"/>
      <c r="G559" s="449"/>
      <c r="H559" s="449"/>
      <c r="I559" s="449"/>
      <c r="J559" s="449"/>
      <c r="K559" s="450"/>
      <c r="M559" s="448" t="s">
        <v>39</v>
      </c>
      <c r="N559" s="449"/>
      <c r="O559" s="449"/>
      <c r="P559" s="449"/>
      <c r="Q559" s="449"/>
      <c r="R559" s="449"/>
      <c r="S559" s="449"/>
      <c r="T559" s="449"/>
      <c r="U559" s="449"/>
      <c r="V559" s="449"/>
      <c r="W559" s="450"/>
    </row>
    <row r="560" spans="1:24" ht="18.75" customHeight="1">
      <c r="A560" s="440" t="s">
        <v>40</v>
      </c>
      <c r="B560" s="441"/>
      <c r="C560" s="441"/>
      <c r="D560" s="441"/>
      <c r="E560" s="52" t="s">
        <v>41</v>
      </c>
      <c r="F560" s="442">
        <f>'Bang TH nop'!B69</f>
        <v>0</v>
      </c>
      <c r="G560" s="441"/>
      <c r="H560" s="441"/>
      <c r="I560" s="441"/>
      <c r="J560" s="441"/>
      <c r="K560" s="444"/>
      <c r="M560" s="440" t="s">
        <v>40</v>
      </c>
      <c r="N560" s="441"/>
      <c r="O560" s="441"/>
      <c r="P560" s="441"/>
      <c r="Q560" s="52" t="s">
        <v>41</v>
      </c>
      <c r="R560" s="442">
        <f>'Bang TH nop'!B71</f>
        <v>0</v>
      </c>
      <c r="S560" s="441"/>
      <c r="T560" s="441"/>
      <c r="U560" s="441"/>
      <c r="V560" s="441"/>
      <c r="W560" s="444"/>
    </row>
    <row r="561" spans="1:24" ht="18.75" customHeight="1">
      <c r="A561" s="440" t="s">
        <v>42</v>
      </c>
      <c r="B561" s="441"/>
      <c r="C561" s="441"/>
      <c r="D561" s="441"/>
      <c r="E561" s="52" t="s">
        <v>41</v>
      </c>
      <c r="F561" s="442">
        <f>'Bang TH nop'!C69</f>
        <v>0</v>
      </c>
      <c r="G561" s="442"/>
      <c r="H561" s="442"/>
      <c r="I561" s="442"/>
      <c r="J561" s="442"/>
      <c r="K561" s="443"/>
      <c r="M561" s="440" t="s">
        <v>42</v>
      </c>
      <c r="N561" s="441"/>
      <c r="O561" s="441"/>
      <c r="P561" s="441"/>
      <c r="Q561" s="52" t="s">
        <v>41</v>
      </c>
      <c r="R561" s="442">
        <f>'Bang TH nop'!C71</f>
        <v>0</v>
      </c>
      <c r="S561" s="442"/>
      <c r="T561" s="442"/>
      <c r="U561" s="442"/>
      <c r="V561" s="442"/>
      <c r="W561" s="443"/>
    </row>
    <row r="562" spans="1:24" ht="18.75" customHeight="1">
      <c r="A562" s="440" t="s">
        <v>43</v>
      </c>
      <c r="B562" s="441"/>
      <c r="C562" s="441"/>
      <c r="D562" s="441"/>
      <c r="E562" s="52" t="s">
        <v>41</v>
      </c>
      <c r="F562" s="441" t="str">
        <f>+$L$2</f>
        <v xml:space="preserve">Tổ  </v>
      </c>
      <c r="G562" s="441"/>
      <c r="H562" s="441"/>
      <c r="I562" s="441"/>
      <c r="J562" s="441"/>
      <c r="K562" s="444"/>
      <c r="M562" s="440" t="s">
        <v>43</v>
      </c>
      <c r="N562" s="441"/>
      <c r="O562" s="441"/>
      <c r="P562" s="441"/>
      <c r="Q562" s="52" t="s">
        <v>41</v>
      </c>
      <c r="R562" s="441" t="str">
        <f>+$L$2</f>
        <v xml:space="preserve">Tổ  </v>
      </c>
      <c r="S562" s="441"/>
      <c r="T562" s="441"/>
      <c r="U562" s="441"/>
      <c r="V562" s="441"/>
      <c r="W562" s="444"/>
    </row>
    <row r="563" spans="1:24" ht="18.75" customHeight="1">
      <c r="A563" s="448" t="s">
        <v>44</v>
      </c>
      <c r="B563" s="449"/>
      <c r="C563" s="449"/>
      <c r="D563" s="449"/>
      <c r="E563" s="449"/>
      <c r="F563" s="449"/>
      <c r="G563" s="449"/>
      <c r="H563" s="449"/>
      <c r="I563" s="449"/>
      <c r="J563" s="449"/>
      <c r="K563" s="450"/>
      <c r="M563" s="448" t="s">
        <v>44</v>
      </c>
      <c r="N563" s="449"/>
      <c r="O563" s="449"/>
      <c r="P563" s="449"/>
      <c r="Q563" s="449"/>
      <c r="R563" s="449"/>
      <c r="S563" s="449"/>
      <c r="T563" s="449"/>
      <c r="U563" s="449"/>
      <c r="V563" s="449"/>
      <c r="W563" s="450"/>
    </row>
    <row r="564" spans="1:24" ht="18.75" customHeight="1">
      <c r="A564" s="440" t="s">
        <v>45</v>
      </c>
      <c r="B564" s="441"/>
      <c r="C564" s="441"/>
      <c r="D564" s="441"/>
      <c r="E564" s="52" t="s">
        <v>41</v>
      </c>
      <c r="F564" s="455">
        <f>VLOOKUP(F561,'Bang TH nop'!$C$9:$AP$266,29,0)</f>
        <v>0</v>
      </c>
      <c r="G564" s="455"/>
      <c r="H564" s="455"/>
      <c r="I564" s="455"/>
      <c r="J564" s="52" t="s">
        <v>46</v>
      </c>
      <c r="K564" s="54"/>
      <c r="M564" s="440" t="s">
        <v>45</v>
      </c>
      <c r="N564" s="441"/>
      <c r="O564" s="441"/>
      <c r="P564" s="441"/>
      <c r="Q564" s="52" t="s">
        <v>41</v>
      </c>
      <c r="R564" s="455">
        <f>VLOOKUP(R561,'Bang TH nop'!$C$9:$AP$266,29,0)</f>
        <v>0</v>
      </c>
      <c r="S564" s="455"/>
      <c r="T564" s="455"/>
      <c r="U564" s="455"/>
      <c r="V564" s="52" t="s">
        <v>46</v>
      </c>
      <c r="W564" s="54"/>
    </row>
    <row r="565" spans="1:24" ht="18.75" customHeight="1">
      <c r="A565" s="55" t="s">
        <v>47</v>
      </c>
      <c r="B565" s="52"/>
      <c r="C565" s="56"/>
      <c r="D565" s="57"/>
      <c r="E565" s="58"/>
      <c r="F565" s="58"/>
      <c r="G565" s="58"/>
      <c r="H565" s="52"/>
      <c r="I565" s="59">
        <f>'LƯƠNG Tx'!F69</f>
        <v>0</v>
      </c>
      <c r="J565" s="60"/>
      <c r="K565" s="61"/>
      <c r="M565" s="55" t="s">
        <v>47</v>
      </c>
      <c r="N565" s="52"/>
      <c r="O565" s="56"/>
      <c r="P565" s="57"/>
      <c r="Q565" s="58"/>
      <c r="R565" s="58"/>
      <c r="S565" s="58"/>
      <c r="T565" s="52"/>
      <c r="U565" s="59">
        <f>'LƯƠNG Tx'!F71</f>
        <v>0</v>
      </c>
      <c r="V565" s="60"/>
      <c r="W565" s="61"/>
    </row>
    <row r="566" spans="1:24" ht="18.75" customHeight="1">
      <c r="A566" s="55" t="s">
        <v>48</v>
      </c>
      <c r="B566" s="52"/>
      <c r="C566" s="56"/>
      <c r="D566" s="57"/>
      <c r="E566" s="58"/>
      <c r="F566" s="58"/>
      <c r="G566" s="58"/>
      <c r="H566" s="52"/>
      <c r="I566" s="59" t="e">
        <f>I567/C567/8</f>
        <v>#DIV/0!</v>
      </c>
      <c r="J566" s="60"/>
      <c r="K566" s="61"/>
      <c r="M566" s="55" t="s">
        <v>48</v>
      </c>
      <c r="N566" s="52"/>
      <c r="O566" s="56"/>
      <c r="P566" s="57"/>
      <c r="Q566" s="58"/>
      <c r="R566" s="58"/>
      <c r="S566" s="58"/>
      <c r="T566" s="52"/>
      <c r="U566" s="59" t="e">
        <f>U567/O567/8</f>
        <v>#DIV/0!</v>
      </c>
      <c r="V566" s="60"/>
      <c r="W566" s="61"/>
    </row>
    <row r="567" spans="1:24" ht="18.75" customHeight="1">
      <c r="A567" s="55" t="s">
        <v>49</v>
      </c>
      <c r="B567" s="52" t="s">
        <v>41</v>
      </c>
      <c r="C567" s="56">
        <f>'LƯƠNG Tx'!I68</f>
        <v>0</v>
      </c>
      <c r="D567" s="57" t="s">
        <v>50</v>
      </c>
      <c r="E567" s="453" t="s">
        <v>51</v>
      </c>
      <c r="F567" s="453"/>
      <c r="G567" s="453"/>
      <c r="H567" s="52" t="s">
        <v>41</v>
      </c>
      <c r="I567" s="454">
        <f>'LƯƠNG Tx'!I69</f>
        <v>0</v>
      </c>
      <c r="J567" s="454"/>
      <c r="K567" s="61" t="s">
        <v>46</v>
      </c>
      <c r="L567" s="62">
        <f>F564/L557*C567</f>
        <v>0</v>
      </c>
      <c r="M567" s="55" t="s">
        <v>49</v>
      </c>
      <c r="N567" s="52" t="s">
        <v>41</v>
      </c>
      <c r="O567" s="56">
        <f>'LƯƠNG Tx'!I70</f>
        <v>0</v>
      </c>
      <c r="P567" s="57" t="s">
        <v>50</v>
      </c>
      <c r="Q567" s="453" t="s">
        <v>51</v>
      </c>
      <c r="R567" s="453"/>
      <c r="S567" s="453"/>
      <c r="T567" s="52" t="s">
        <v>41</v>
      </c>
      <c r="U567" s="454">
        <f>'LƯƠNG Tx'!I71</f>
        <v>0</v>
      </c>
      <c r="V567" s="454"/>
      <c r="W567" s="61" t="s">
        <v>46</v>
      </c>
      <c r="X567" s="62">
        <f>R564/X557*O567</f>
        <v>0</v>
      </c>
    </row>
    <row r="568" spans="1:24" ht="18.75" customHeight="1">
      <c r="A568" s="55" t="s">
        <v>52</v>
      </c>
      <c r="B568" s="52" t="s">
        <v>41</v>
      </c>
      <c r="C568" s="56">
        <f>'LƯƠNG Tx'!J68</f>
        <v>0</v>
      </c>
      <c r="D568" s="57" t="s">
        <v>50</v>
      </c>
      <c r="E568" s="441" t="s">
        <v>53</v>
      </c>
      <c r="F568" s="441"/>
      <c r="G568" s="441"/>
      <c r="H568" s="52" t="s">
        <v>41</v>
      </c>
      <c r="I568" s="452">
        <f>$F$8/$L$1*C568</f>
        <v>0</v>
      </c>
      <c r="J568" s="452"/>
      <c r="K568" s="61" t="s">
        <v>46</v>
      </c>
      <c r="L568" s="62"/>
      <c r="M568" s="55" t="s">
        <v>52</v>
      </c>
      <c r="N568" s="52" t="s">
        <v>41</v>
      </c>
      <c r="O568" s="56">
        <f>'LƯƠNG Tx'!J70</f>
        <v>0</v>
      </c>
      <c r="P568" s="57" t="s">
        <v>50</v>
      </c>
      <c r="Q568" s="441" t="s">
        <v>53</v>
      </c>
      <c r="R568" s="441"/>
      <c r="S568" s="441"/>
      <c r="T568" s="52" t="s">
        <v>41</v>
      </c>
      <c r="U568" s="452">
        <f>$F$8/$L$1*O568</f>
        <v>0</v>
      </c>
      <c r="V568" s="452"/>
      <c r="W568" s="61" t="s">
        <v>46</v>
      </c>
      <c r="X568" s="62"/>
    </row>
    <row r="569" spans="1:24" ht="18.75" customHeight="1">
      <c r="A569" s="55" t="s">
        <v>54</v>
      </c>
      <c r="B569" s="52" t="s">
        <v>41</v>
      </c>
      <c r="C569" s="56">
        <f>'LƯƠNG Tx'!K68</f>
        <v>0</v>
      </c>
      <c r="D569" s="57" t="s">
        <v>50</v>
      </c>
      <c r="E569" s="451" t="s">
        <v>55</v>
      </c>
      <c r="F569" s="451"/>
      <c r="G569" s="451"/>
      <c r="H569" s="52" t="s">
        <v>41</v>
      </c>
      <c r="I569" s="452">
        <f>$F$8/$L$1*C569</f>
        <v>0</v>
      </c>
      <c r="J569" s="452"/>
      <c r="K569" s="61" t="s">
        <v>46</v>
      </c>
      <c r="L569" s="62"/>
      <c r="M569" s="55" t="s">
        <v>54</v>
      </c>
      <c r="N569" s="52" t="s">
        <v>41</v>
      </c>
      <c r="O569" s="56">
        <f>'LƯƠNG Tx'!K70</f>
        <v>0</v>
      </c>
      <c r="P569" s="57" t="s">
        <v>50</v>
      </c>
      <c r="Q569" s="451" t="s">
        <v>55</v>
      </c>
      <c r="R569" s="451"/>
      <c r="S569" s="451"/>
      <c r="T569" s="52" t="s">
        <v>41</v>
      </c>
      <c r="U569" s="452">
        <f>$F$8/$L$1*O569</f>
        <v>0</v>
      </c>
      <c r="V569" s="452"/>
      <c r="W569" s="61" t="s">
        <v>46</v>
      </c>
      <c r="X569" s="62"/>
    </row>
    <row r="570" spans="1:24" ht="18.75" customHeight="1">
      <c r="A570" s="55" t="s">
        <v>56</v>
      </c>
      <c r="B570" s="52" t="s">
        <v>41</v>
      </c>
      <c r="C570" s="56">
        <f>'LƯƠNG Tx'!L68</f>
        <v>0</v>
      </c>
      <c r="D570" s="57" t="s">
        <v>50</v>
      </c>
      <c r="E570" s="451" t="s">
        <v>57</v>
      </c>
      <c r="F570" s="451"/>
      <c r="G570" s="451"/>
      <c r="H570" s="52" t="s">
        <v>41</v>
      </c>
      <c r="I570" s="452">
        <f>$F$8/$L$1*C570</f>
        <v>0</v>
      </c>
      <c r="J570" s="452"/>
      <c r="K570" s="61" t="s">
        <v>46</v>
      </c>
      <c r="L570" s="62"/>
      <c r="M570" s="55" t="s">
        <v>56</v>
      </c>
      <c r="N570" s="52" t="s">
        <v>41</v>
      </c>
      <c r="O570" s="56">
        <f>'LƯƠNG Tx'!L70</f>
        <v>0</v>
      </c>
      <c r="P570" s="57" t="s">
        <v>50</v>
      </c>
      <c r="Q570" s="451" t="s">
        <v>57</v>
      </c>
      <c r="R570" s="451"/>
      <c r="S570" s="451"/>
      <c r="T570" s="52" t="s">
        <v>41</v>
      </c>
      <c r="U570" s="452">
        <f>$F$8/$L$1*O570</f>
        <v>0</v>
      </c>
      <c r="V570" s="452"/>
      <c r="W570" s="61" t="s">
        <v>46</v>
      </c>
      <c r="X570" s="62"/>
    </row>
    <row r="571" spans="1:24" ht="18.75" customHeight="1">
      <c r="A571" s="55" t="s">
        <v>58</v>
      </c>
      <c r="B571" s="52" t="s">
        <v>41</v>
      </c>
      <c r="C571" s="56">
        <f>'LƯƠNG Tx'!Q68</f>
        <v>0</v>
      </c>
      <c r="D571" s="57" t="s">
        <v>59</v>
      </c>
      <c r="E571" s="441" t="s">
        <v>60</v>
      </c>
      <c r="F571" s="441"/>
      <c r="G571" s="441"/>
      <c r="H571" s="52" t="s">
        <v>41</v>
      </c>
      <c r="I571" s="452">
        <f>'LƯƠNG Tx'!Q69</f>
        <v>0</v>
      </c>
      <c r="J571" s="452"/>
      <c r="K571" s="61" t="s">
        <v>46</v>
      </c>
      <c r="L571" s="62">
        <f>F564*C571/L557/8*1.5</f>
        <v>0</v>
      </c>
      <c r="M571" s="55" t="s">
        <v>58</v>
      </c>
      <c r="N571" s="52" t="s">
        <v>41</v>
      </c>
      <c r="O571" s="56">
        <f>'LƯƠNG Tx'!Q70</f>
        <v>0</v>
      </c>
      <c r="P571" s="57" t="s">
        <v>59</v>
      </c>
      <c r="Q571" s="441" t="s">
        <v>60</v>
      </c>
      <c r="R571" s="441"/>
      <c r="S571" s="441"/>
      <c r="T571" s="52" t="s">
        <v>41</v>
      </c>
      <c r="U571" s="452">
        <f>'LƯƠNG Tx'!Q71</f>
        <v>0</v>
      </c>
      <c r="V571" s="452"/>
      <c r="W571" s="61" t="s">
        <v>46</v>
      </c>
      <c r="X571" s="62">
        <f>R564*O571/X557/8*1.5</f>
        <v>0</v>
      </c>
    </row>
    <row r="572" spans="1:24" ht="18.75" customHeight="1">
      <c r="A572" s="440" t="s">
        <v>61</v>
      </c>
      <c r="B572" s="441"/>
      <c r="C572" s="56"/>
      <c r="D572" s="57" t="s">
        <v>50</v>
      </c>
      <c r="E572" s="441" t="s">
        <v>62</v>
      </c>
      <c r="F572" s="441"/>
      <c r="G572" s="441"/>
      <c r="H572" s="63" t="s">
        <v>41</v>
      </c>
      <c r="I572" s="452"/>
      <c r="J572" s="452"/>
      <c r="K572" s="61" t="s">
        <v>46</v>
      </c>
      <c r="L572" s="62"/>
      <c r="M572" s="440" t="s">
        <v>61</v>
      </c>
      <c r="N572" s="441"/>
      <c r="O572" s="56"/>
      <c r="P572" s="57" t="s">
        <v>50</v>
      </c>
      <c r="Q572" s="441" t="s">
        <v>62</v>
      </c>
      <c r="R572" s="441"/>
      <c r="S572" s="441"/>
      <c r="T572" s="63" t="s">
        <v>41</v>
      </c>
      <c r="U572" s="452"/>
      <c r="V572" s="452"/>
      <c r="W572" s="61" t="s">
        <v>46</v>
      </c>
      <c r="X572" s="62"/>
    </row>
    <row r="573" spans="1:24" ht="18.75" customHeight="1">
      <c r="A573" s="55" t="s">
        <v>63</v>
      </c>
      <c r="B573" s="52" t="s">
        <v>41</v>
      </c>
      <c r="C573" s="56"/>
      <c r="D573" s="57" t="s">
        <v>50</v>
      </c>
      <c r="E573" s="441" t="s">
        <v>64</v>
      </c>
      <c r="F573" s="441"/>
      <c r="G573" s="441"/>
      <c r="H573" s="52" t="s">
        <v>41</v>
      </c>
      <c r="I573" s="452"/>
      <c r="J573" s="452"/>
      <c r="K573" s="61" t="s">
        <v>46</v>
      </c>
      <c r="L573" s="62"/>
      <c r="M573" s="55" t="s">
        <v>63</v>
      </c>
      <c r="N573" s="52" t="s">
        <v>41</v>
      </c>
      <c r="O573" s="56"/>
      <c r="P573" s="57" t="s">
        <v>50</v>
      </c>
      <c r="Q573" s="441" t="s">
        <v>64</v>
      </c>
      <c r="R573" s="441"/>
      <c r="S573" s="441"/>
      <c r="T573" s="52" t="s">
        <v>41</v>
      </c>
      <c r="U573" s="452"/>
      <c r="V573" s="452"/>
      <c r="W573" s="61" t="s">
        <v>46</v>
      </c>
      <c r="X573" s="62"/>
    </row>
    <row r="574" spans="1:24" ht="18.75" customHeight="1">
      <c r="A574" s="64" t="s">
        <v>65</v>
      </c>
      <c r="B574" s="52"/>
      <c r="C574" s="56">
        <f>'LƯƠNG Tx'!M68</f>
        <v>0</v>
      </c>
      <c r="D574" s="57" t="s">
        <v>59</v>
      </c>
      <c r="E574" s="441" t="s">
        <v>66</v>
      </c>
      <c r="F574" s="441"/>
      <c r="G574" s="441"/>
      <c r="H574" s="52" t="s">
        <v>41</v>
      </c>
      <c r="I574" s="452">
        <f>$F$8*C574/8/$L$1</f>
        <v>0</v>
      </c>
      <c r="J574" s="452"/>
      <c r="K574" s="61" t="s">
        <v>46</v>
      </c>
      <c r="L574" s="62"/>
      <c r="M574" s="64" t="s">
        <v>65</v>
      </c>
      <c r="N574" s="52"/>
      <c r="O574" s="56">
        <f>'LƯƠNG Tx'!M70</f>
        <v>0</v>
      </c>
      <c r="P574" s="57" t="s">
        <v>59</v>
      </c>
      <c r="Q574" s="441" t="s">
        <v>66</v>
      </c>
      <c r="R574" s="441"/>
      <c r="S574" s="441"/>
      <c r="T574" s="52" t="s">
        <v>41</v>
      </c>
      <c r="U574" s="452">
        <f>$F$8*O574/8/$L$1</f>
        <v>0</v>
      </c>
      <c r="V574" s="452"/>
      <c r="W574" s="61" t="s">
        <v>46</v>
      </c>
      <c r="X574" s="62"/>
    </row>
    <row r="575" spans="1:24" ht="18.75" customHeight="1">
      <c r="A575" s="55" t="s">
        <v>167</v>
      </c>
      <c r="B575" s="52" t="s">
        <v>41</v>
      </c>
      <c r="C575" s="56"/>
      <c r="D575" s="57" t="s">
        <v>59</v>
      </c>
      <c r="E575" s="441" t="s">
        <v>73</v>
      </c>
      <c r="F575" s="441"/>
      <c r="G575" s="441"/>
      <c r="H575" s="52" t="s">
        <v>41</v>
      </c>
      <c r="I575" s="454"/>
      <c r="J575" s="454"/>
      <c r="K575" s="61" t="s">
        <v>46</v>
      </c>
      <c r="L575" s="62"/>
      <c r="M575" s="55" t="s">
        <v>167</v>
      </c>
      <c r="N575" s="52" t="s">
        <v>41</v>
      </c>
      <c r="O575" s="56"/>
      <c r="P575" s="57" t="s">
        <v>59</v>
      </c>
      <c r="Q575" s="441" t="s">
        <v>73</v>
      </c>
      <c r="R575" s="441"/>
      <c r="S575" s="441"/>
      <c r="T575" s="52" t="s">
        <v>41</v>
      </c>
      <c r="U575" s="454"/>
      <c r="V575" s="454"/>
      <c r="W575" s="61" t="s">
        <v>46</v>
      </c>
      <c r="X575" s="62"/>
    </row>
    <row r="576" spans="1:24" ht="18.75" customHeight="1">
      <c r="A576" s="55" t="s">
        <v>69</v>
      </c>
      <c r="B576" s="52" t="s">
        <v>41</v>
      </c>
      <c r="C576" s="56"/>
      <c r="D576" s="57" t="s">
        <v>70</v>
      </c>
      <c r="E576" s="53" t="s">
        <v>71</v>
      </c>
      <c r="F576" s="53"/>
      <c r="G576" s="53"/>
      <c r="H576" s="52" t="s">
        <v>41</v>
      </c>
      <c r="I576" s="452"/>
      <c r="J576" s="452"/>
      <c r="K576" s="61" t="s">
        <v>46</v>
      </c>
      <c r="L576" s="62">
        <f>+IF(L567-I567&lt;0,0,L567-I567)+IF(L571-I571&lt;0,0,L571-I571)</f>
        <v>0</v>
      </c>
      <c r="M576" s="55" t="s">
        <v>69</v>
      </c>
      <c r="N576" s="52" t="s">
        <v>41</v>
      </c>
      <c r="O576" s="56"/>
      <c r="P576" s="57" t="s">
        <v>70</v>
      </c>
      <c r="Q576" s="53" t="s">
        <v>71</v>
      </c>
      <c r="R576" s="53"/>
      <c r="S576" s="53"/>
      <c r="T576" s="52" t="s">
        <v>41</v>
      </c>
      <c r="U576" s="452"/>
      <c r="V576" s="452"/>
      <c r="W576" s="61" t="s">
        <v>46</v>
      </c>
      <c r="X576" s="62">
        <f>+IF(X567-U567&lt;0,0,X567-U567)+IF(X571-U571&lt;0,0,X571-U571)</f>
        <v>0</v>
      </c>
    </row>
    <row r="577" spans="1:24" ht="18.75" customHeight="1">
      <c r="A577" s="65" t="s">
        <v>164</v>
      </c>
      <c r="B577" s="66"/>
      <c r="C577" s="56"/>
      <c r="D577" s="57" t="s">
        <v>50</v>
      </c>
      <c r="E577" s="441" t="s">
        <v>165</v>
      </c>
      <c r="F577" s="441"/>
      <c r="G577" s="441"/>
      <c r="H577" s="52" t="s">
        <v>41</v>
      </c>
      <c r="I577" s="452"/>
      <c r="J577" s="452"/>
      <c r="K577" s="61" t="s">
        <v>46</v>
      </c>
      <c r="L577" s="62"/>
      <c r="M577" s="65" t="s">
        <v>164</v>
      </c>
      <c r="N577" s="66"/>
      <c r="O577" s="56"/>
      <c r="P577" s="57" t="s">
        <v>50</v>
      </c>
      <c r="Q577" s="441" t="s">
        <v>165</v>
      </c>
      <c r="R577" s="441"/>
      <c r="S577" s="441"/>
      <c r="T577" s="52" t="s">
        <v>41</v>
      </c>
      <c r="U577" s="452"/>
      <c r="V577" s="452"/>
      <c r="W577" s="61" t="s">
        <v>46</v>
      </c>
      <c r="X577" s="62"/>
    </row>
    <row r="578" spans="1:24" ht="18.75" customHeight="1">
      <c r="A578" s="460" t="s">
        <v>166</v>
      </c>
      <c r="B578" s="461"/>
      <c r="C578" s="56"/>
      <c r="D578" s="57"/>
      <c r="E578" s="58"/>
      <c r="F578" s="58"/>
      <c r="G578" s="58"/>
      <c r="H578" s="52" t="s">
        <v>41</v>
      </c>
      <c r="I578" s="452">
        <f>'LƯƠNG Tx'!P69</f>
        <v>0</v>
      </c>
      <c r="J578" s="452"/>
      <c r="K578" s="61" t="s">
        <v>46</v>
      </c>
      <c r="L578" s="62"/>
      <c r="M578" s="460" t="s">
        <v>166</v>
      </c>
      <c r="N578" s="461"/>
      <c r="O578" s="56"/>
      <c r="P578" s="57"/>
      <c r="Q578" s="58"/>
      <c r="R578" s="58"/>
      <c r="S578" s="58"/>
      <c r="T578" s="52" t="s">
        <v>41</v>
      </c>
      <c r="U578" s="452">
        <f>'LƯƠNG Tx'!P71</f>
        <v>0</v>
      </c>
      <c r="V578" s="452"/>
      <c r="W578" s="61" t="s">
        <v>46</v>
      </c>
      <c r="X578" s="62"/>
    </row>
    <row r="579" spans="1:24" ht="18.75" customHeight="1">
      <c r="A579" s="55" t="s">
        <v>75</v>
      </c>
      <c r="B579" s="52" t="s">
        <v>41</v>
      </c>
      <c r="C579" s="56"/>
      <c r="D579" s="57"/>
      <c r="E579" s="58" t="s">
        <v>76</v>
      </c>
      <c r="F579" s="58"/>
      <c r="G579" s="58"/>
      <c r="H579" s="52" t="s">
        <v>41</v>
      </c>
      <c r="I579" s="452">
        <f>L576</f>
        <v>0</v>
      </c>
      <c r="J579" s="452"/>
      <c r="K579" s="61" t="s">
        <v>46</v>
      </c>
      <c r="L579" s="62"/>
      <c r="M579" s="55" t="s">
        <v>75</v>
      </c>
      <c r="N579" s="52" t="s">
        <v>41</v>
      </c>
      <c r="O579" s="56"/>
      <c r="P579" s="57"/>
      <c r="Q579" s="58" t="s">
        <v>76</v>
      </c>
      <c r="R579" s="58"/>
      <c r="S579" s="58"/>
      <c r="T579" s="52" t="s">
        <v>41</v>
      </c>
      <c r="U579" s="452">
        <f>X576</f>
        <v>0</v>
      </c>
      <c r="V579" s="452"/>
      <c r="W579" s="61" t="s">
        <v>46</v>
      </c>
      <c r="X579" s="62"/>
    </row>
    <row r="580" spans="1:24" ht="18.75" customHeight="1">
      <c r="A580" s="456" t="s">
        <v>77</v>
      </c>
      <c r="B580" s="457"/>
      <c r="C580" s="457"/>
      <c r="D580" s="457"/>
      <c r="E580" s="457"/>
      <c r="F580" s="457"/>
      <c r="G580" s="52" t="s">
        <v>41</v>
      </c>
      <c r="H580" s="458">
        <f>I567+I568+I569+I570+I571+I574+I578+I579+I572+I573+I575+I576+I577+C578</f>
        <v>0</v>
      </c>
      <c r="I580" s="459"/>
      <c r="J580" s="459"/>
      <c r="K580" s="61" t="s">
        <v>46</v>
      </c>
      <c r="M580" s="456" t="s">
        <v>77</v>
      </c>
      <c r="N580" s="457"/>
      <c r="O580" s="457"/>
      <c r="P580" s="457"/>
      <c r="Q580" s="457"/>
      <c r="R580" s="457"/>
      <c r="S580" s="52" t="s">
        <v>41</v>
      </c>
      <c r="T580" s="458">
        <f>U567+U568+U569+U570+U571+U574+U578+U579+U572+U573+U575+U576+U577+O578</f>
        <v>0</v>
      </c>
      <c r="U580" s="459"/>
      <c r="V580" s="459"/>
      <c r="W580" s="61" t="s">
        <v>46</v>
      </c>
    </row>
    <row r="581" spans="1:24" ht="18.75" customHeight="1">
      <c r="A581" s="67"/>
      <c r="B581" s="68"/>
      <c r="C581" s="68"/>
      <c r="D581" s="68"/>
      <c r="E581" s="68"/>
      <c r="F581" s="68"/>
      <c r="G581" s="68"/>
      <c r="H581" s="68"/>
      <c r="I581" s="68"/>
      <c r="J581" s="68"/>
      <c r="K581" s="69"/>
      <c r="M581" s="67"/>
      <c r="N581" s="68"/>
      <c r="O581" s="68"/>
      <c r="P581" s="68"/>
      <c r="Q581" s="68"/>
      <c r="R581" s="68"/>
      <c r="S581" s="68"/>
      <c r="T581" s="68"/>
      <c r="U581" s="68"/>
      <c r="V581" s="68"/>
      <c r="W581" s="69"/>
    </row>
    <row r="582" spans="1:24" ht="18.75" customHeight="1">
      <c r="A582" s="468" t="s">
        <v>78</v>
      </c>
      <c r="B582" s="469"/>
      <c r="C582" s="469"/>
      <c r="D582" s="469"/>
      <c r="E582" s="469"/>
      <c r="F582" s="469"/>
      <c r="G582" s="52"/>
      <c r="H582" s="52"/>
      <c r="I582" s="52"/>
      <c r="J582" s="52"/>
      <c r="K582" s="61"/>
      <c r="M582" s="468" t="s">
        <v>78</v>
      </c>
      <c r="N582" s="469"/>
      <c r="O582" s="469"/>
      <c r="P582" s="469"/>
      <c r="Q582" s="469"/>
      <c r="R582" s="469"/>
      <c r="S582" s="52"/>
      <c r="T582" s="52"/>
      <c r="U582" s="52"/>
      <c r="V582" s="52"/>
      <c r="W582" s="61"/>
    </row>
    <row r="583" spans="1:24" ht="18.75" customHeight="1">
      <c r="A583" s="462" t="s">
        <v>79</v>
      </c>
      <c r="B583" s="463"/>
      <c r="C583" s="463"/>
      <c r="D583" s="463"/>
      <c r="E583" s="463"/>
      <c r="F583" s="463"/>
      <c r="G583" s="52" t="s">
        <v>41</v>
      </c>
      <c r="H583" s="470">
        <f>IF(($L$1-(C567+C568+C569+C570))&gt;12,0,F564*8%)</f>
        <v>0</v>
      </c>
      <c r="I583" s="470"/>
      <c r="J583" s="470"/>
      <c r="K583" s="61" t="s">
        <v>46</v>
      </c>
      <c r="M583" s="462" t="s">
        <v>79</v>
      </c>
      <c r="N583" s="463"/>
      <c r="O583" s="463"/>
      <c r="P583" s="463"/>
      <c r="Q583" s="463"/>
      <c r="R583" s="463"/>
      <c r="S583" s="52" t="s">
        <v>41</v>
      </c>
      <c r="T583" s="470">
        <f>IF(($L$1-(O567+O568+O569+O570))&gt;12,0,R564*8%)</f>
        <v>0</v>
      </c>
      <c r="U583" s="470"/>
      <c r="V583" s="470"/>
      <c r="W583" s="61" t="s">
        <v>46</v>
      </c>
    </row>
    <row r="584" spans="1:24" ht="18.75" customHeight="1">
      <c r="A584" s="462" t="s">
        <v>80</v>
      </c>
      <c r="B584" s="463"/>
      <c r="C584" s="463"/>
      <c r="D584" s="463"/>
      <c r="E584" s="463"/>
      <c r="F584" s="463"/>
      <c r="G584" s="52" t="s">
        <v>41</v>
      </c>
      <c r="H584" s="464">
        <f>IF(($L$1-(C567+C568+C569+C570))&gt;12,0,F564*1.5%)</f>
        <v>0</v>
      </c>
      <c r="I584" s="464"/>
      <c r="J584" s="464"/>
      <c r="K584" s="61" t="s">
        <v>46</v>
      </c>
      <c r="M584" s="462" t="s">
        <v>80</v>
      </c>
      <c r="N584" s="463"/>
      <c r="O584" s="463"/>
      <c r="P584" s="463"/>
      <c r="Q584" s="463"/>
      <c r="R584" s="463"/>
      <c r="S584" s="52" t="s">
        <v>41</v>
      </c>
      <c r="T584" s="464">
        <f>IF(($L$1-(O567+O568+O569+O570))&gt;12,0,R564*1.5%)</f>
        <v>0</v>
      </c>
      <c r="U584" s="464"/>
      <c r="V584" s="464"/>
      <c r="W584" s="61" t="s">
        <v>46</v>
      </c>
    </row>
    <row r="585" spans="1:24" ht="18.75" customHeight="1">
      <c r="A585" s="462" t="s">
        <v>81</v>
      </c>
      <c r="B585" s="463"/>
      <c r="C585" s="463"/>
      <c r="D585" s="463"/>
      <c r="E585" s="463"/>
      <c r="F585" s="463"/>
      <c r="G585" s="52" t="s">
        <v>41</v>
      </c>
      <c r="H585" s="464">
        <f>IF(($L$1-(C567+C568+C569+C570))&gt;12,0,F564*1%)</f>
        <v>0</v>
      </c>
      <c r="I585" s="464"/>
      <c r="J585" s="464"/>
      <c r="K585" s="61" t="s">
        <v>46</v>
      </c>
      <c r="M585" s="462" t="s">
        <v>81</v>
      </c>
      <c r="N585" s="463"/>
      <c r="O585" s="463"/>
      <c r="P585" s="463"/>
      <c r="Q585" s="463"/>
      <c r="R585" s="463"/>
      <c r="S585" s="52" t="s">
        <v>41</v>
      </c>
      <c r="T585" s="464">
        <f>IF(($L$1-(O567+O568+O569+O570))&gt;12,0,R564*1%)</f>
        <v>0</v>
      </c>
      <c r="U585" s="464"/>
      <c r="V585" s="464"/>
      <c r="W585" s="61" t="s">
        <v>46</v>
      </c>
    </row>
    <row r="586" spans="1:24" ht="18.75" customHeight="1">
      <c r="A586" s="462" t="s">
        <v>82</v>
      </c>
      <c r="B586" s="463"/>
      <c r="C586" s="463"/>
      <c r="D586" s="463"/>
      <c r="E586" s="463"/>
      <c r="F586" s="463"/>
      <c r="G586" s="52" t="s">
        <v>41</v>
      </c>
      <c r="H586" s="464">
        <v>0</v>
      </c>
      <c r="I586" s="464"/>
      <c r="J586" s="464"/>
      <c r="K586" s="61" t="s">
        <v>46</v>
      </c>
      <c r="M586" s="462" t="s">
        <v>82</v>
      </c>
      <c r="N586" s="463"/>
      <c r="O586" s="463"/>
      <c r="P586" s="463"/>
      <c r="Q586" s="463"/>
      <c r="R586" s="463"/>
      <c r="S586" s="52" t="s">
        <v>41</v>
      </c>
      <c r="T586" s="464">
        <v>0</v>
      </c>
      <c r="U586" s="464"/>
      <c r="V586" s="464"/>
      <c r="W586" s="61" t="s">
        <v>46</v>
      </c>
    </row>
    <row r="587" spans="1:24" ht="18.75" customHeight="1">
      <c r="A587" s="465" t="s">
        <v>83</v>
      </c>
      <c r="B587" s="466"/>
      <c r="C587" s="466"/>
      <c r="D587" s="466"/>
      <c r="E587" s="466"/>
      <c r="F587" s="466"/>
      <c r="G587" s="52" t="s">
        <v>41</v>
      </c>
      <c r="H587" s="467">
        <f>SUM(H583:J586)</f>
        <v>0</v>
      </c>
      <c r="I587" s="467"/>
      <c r="J587" s="467"/>
      <c r="K587" s="61" t="s">
        <v>46</v>
      </c>
      <c r="M587" s="465" t="s">
        <v>83</v>
      </c>
      <c r="N587" s="466"/>
      <c r="O587" s="466"/>
      <c r="P587" s="466"/>
      <c r="Q587" s="466"/>
      <c r="R587" s="466"/>
      <c r="S587" s="52" t="s">
        <v>41</v>
      </c>
      <c r="T587" s="467">
        <f>SUM(T583:V586)</f>
        <v>0</v>
      </c>
      <c r="U587" s="467"/>
      <c r="V587" s="467"/>
      <c r="W587" s="61" t="s">
        <v>46</v>
      </c>
    </row>
    <row r="588" spans="1:24" ht="18.75" customHeight="1">
      <c r="A588" s="462" t="s">
        <v>84</v>
      </c>
      <c r="B588" s="463"/>
      <c r="C588" s="463"/>
      <c r="D588" s="463"/>
      <c r="E588" s="463"/>
      <c r="F588" s="463"/>
      <c r="G588" s="52" t="s">
        <v>41</v>
      </c>
      <c r="H588" s="475">
        <f>ROUND(H580-H587,-2)</f>
        <v>0</v>
      </c>
      <c r="I588" s="475"/>
      <c r="J588" s="475"/>
      <c r="K588" s="61" t="s">
        <v>46</v>
      </c>
      <c r="M588" s="462" t="s">
        <v>84</v>
      </c>
      <c r="N588" s="463"/>
      <c r="O588" s="463"/>
      <c r="P588" s="463"/>
      <c r="Q588" s="463"/>
      <c r="R588" s="463"/>
      <c r="S588" s="52" t="s">
        <v>41</v>
      </c>
      <c r="T588" s="475">
        <f>ROUND(T580-T587,-2)</f>
        <v>0</v>
      </c>
      <c r="U588" s="475"/>
      <c r="V588" s="475"/>
      <c r="W588" s="61" t="s">
        <v>46</v>
      </c>
    </row>
    <row r="589" spans="1:24" ht="18.75" customHeight="1">
      <c r="A589" s="70"/>
      <c r="B589" s="71"/>
      <c r="C589" s="71"/>
      <c r="D589" s="71"/>
      <c r="E589" s="71"/>
      <c r="F589" s="71"/>
      <c r="G589" s="71"/>
      <c r="H589" s="71"/>
      <c r="I589" s="71"/>
      <c r="J589" s="71"/>
      <c r="K589" s="72"/>
      <c r="M589" s="70"/>
      <c r="N589" s="71"/>
      <c r="O589" s="71"/>
      <c r="P589" s="71"/>
      <c r="Q589" s="71"/>
      <c r="R589" s="71"/>
      <c r="S589" s="71"/>
      <c r="T589" s="71"/>
      <c r="U589" s="71"/>
      <c r="V589" s="71"/>
      <c r="W589" s="72"/>
    </row>
    <row r="590" spans="1:24" ht="18.75" customHeight="1">
      <c r="A590" s="73"/>
      <c r="B590" s="52"/>
      <c r="C590" s="52"/>
      <c r="D590" s="52"/>
      <c r="E590" s="52"/>
      <c r="F590" s="52"/>
      <c r="G590" s="52"/>
      <c r="H590" s="52"/>
      <c r="I590" s="472" t="s">
        <v>85</v>
      </c>
      <c r="J590" s="472"/>
      <c r="K590" s="476"/>
      <c r="M590" s="73"/>
      <c r="N590" s="52"/>
      <c r="O590" s="52"/>
      <c r="P590" s="52"/>
      <c r="Q590" s="52"/>
      <c r="R590" s="52"/>
      <c r="S590" s="52"/>
      <c r="T590" s="52"/>
      <c r="U590" s="472" t="s">
        <v>85</v>
      </c>
      <c r="V590" s="472"/>
      <c r="W590" s="476"/>
    </row>
    <row r="591" spans="1:24" ht="18.75" customHeight="1">
      <c r="A591" s="73"/>
      <c r="B591" s="471"/>
      <c r="C591" s="472"/>
      <c r="D591" s="472"/>
      <c r="E591" s="472"/>
      <c r="F591" s="52"/>
      <c r="G591" s="52"/>
      <c r="H591" s="52"/>
      <c r="I591" s="52"/>
      <c r="J591" s="52"/>
      <c r="K591" s="54"/>
      <c r="M591" s="73"/>
      <c r="N591" s="471"/>
      <c r="O591" s="472"/>
      <c r="P591" s="472"/>
      <c r="Q591" s="472"/>
      <c r="R591" s="52"/>
      <c r="S591" s="52"/>
      <c r="T591" s="52"/>
      <c r="U591" s="52"/>
      <c r="V591" s="52"/>
      <c r="W591" s="54"/>
    </row>
    <row r="592" spans="1:24" ht="18.75" customHeight="1" thickBot="1">
      <c r="A592" s="75"/>
      <c r="B592" s="76"/>
      <c r="C592" s="76"/>
      <c r="D592" s="76"/>
      <c r="E592" s="76"/>
      <c r="F592" s="76"/>
      <c r="G592" s="76"/>
      <c r="H592" s="76"/>
      <c r="I592" s="473" t="s">
        <v>86</v>
      </c>
      <c r="J592" s="473"/>
      <c r="K592" s="474"/>
      <c r="M592" s="75"/>
      <c r="N592" s="76"/>
      <c r="O592" s="76"/>
      <c r="P592" s="76"/>
      <c r="Q592" s="76"/>
      <c r="R592" s="76"/>
      <c r="S592" s="76"/>
      <c r="T592" s="76"/>
      <c r="U592" s="473" t="s">
        <v>86</v>
      </c>
      <c r="V592" s="473"/>
      <c r="W592" s="474"/>
    </row>
    <row r="593" spans="1:24" ht="18.75" customHeight="1" thickTop="1" thickBot="1"/>
    <row r="594" spans="1:24" ht="18.75" customHeight="1" thickTop="1">
      <c r="A594" s="445" t="s">
        <v>172</v>
      </c>
      <c r="B594" s="446"/>
      <c r="C594" s="446"/>
      <c r="D594" s="446"/>
      <c r="E594" s="446"/>
      <c r="F594" s="446"/>
      <c r="G594" s="446"/>
      <c r="H594" s="446"/>
      <c r="I594" s="446"/>
      <c r="J594" s="446"/>
      <c r="K594" s="447"/>
      <c r="L594" s="48">
        <v>26</v>
      </c>
      <c r="M594" s="445" t="s">
        <v>172</v>
      </c>
      <c r="N594" s="446"/>
      <c r="O594" s="446"/>
      <c r="P594" s="446"/>
      <c r="Q594" s="446"/>
      <c r="R594" s="446"/>
      <c r="S594" s="446"/>
      <c r="T594" s="446"/>
      <c r="U594" s="446"/>
      <c r="V594" s="446"/>
      <c r="W594" s="447"/>
      <c r="X594" s="48">
        <v>26</v>
      </c>
    </row>
    <row r="595" spans="1:24" ht="18.75" customHeight="1">
      <c r="A595" s="49" t="s">
        <v>119</v>
      </c>
      <c r="B595" s="50"/>
      <c r="C595" s="50"/>
      <c r="D595" s="50"/>
      <c r="E595" s="50"/>
      <c r="F595" s="50"/>
      <c r="G595" s="50"/>
      <c r="H595" s="50"/>
      <c r="I595" s="50"/>
      <c r="J595" s="50"/>
      <c r="K595" s="51"/>
      <c r="M595" s="49" t="s">
        <v>120</v>
      </c>
      <c r="N595" s="50"/>
      <c r="O595" s="50"/>
      <c r="P595" s="50"/>
      <c r="Q595" s="50"/>
      <c r="R595" s="50"/>
      <c r="S595" s="50"/>
      <c r="T595" s="50"/>
      <c r="U595" s="50"/>
      <c r="V595" s="50"/>
      <c r="W595" s="51"/>
    </row>
    <row r="596" spans="1:24" ht="18.75" customHeight="1">
      <c r="A596" s="448" t="s">
        <v>39</v>
      </c>
      <c r="B596" s="449"/>
      <c r="C596" s="449"/>
      <c r="D596" s="449"/>
      <c r="E596" s="449"/>
      <c r="F596" s="449"/>
      <c r="G596" s="449"/>
      <c r="H596" s="449"/>
      <c r="I596" s="449"/>
      <c r="J596" s="449"/>
      <c r="K596" s="450"/>
      <c r="M596" s="448" t="s">
        <v>39</v>
      </c>
      <c r="N596" s="449"/>
      <c r="O596" s="449"/>
      <c r="P596" s="449"/>
      <c r="Q596" s="449"/>
      <c r="R596" s="449"/>
      <c r="S596" s="449"/>
      <c r="T596" s="449"/>
      <c r="U596" s="449"/>
      <c r="V596" s="449"/>
      <c r="W596" s="450"/>
    </row>
    <row r="597" spans="1:24" ht="18.75" customHeight="1">
      <c r="A597" s="440" t="s">
        <v>40</v>
      </c>
      <c r="B597" s="441"/>
      <c r="C597" s="441"/>
      <c r="D597" s="441"/>
      <c r="E597" s="52" t="s">
        <v>41</v>
      </c>
      <c r="F597" s="442">
        <f>'Bang TH nop'!B73</f>
        <v>0</v>
      </c>
      <c r="G597" s="441"/>
      <c r="H597" s="441"/>
      <c r="I597" s="441"/>
      <c r="J597" s="441"/>
      <c r="K597" s="444"/>
      <c r="M597" s="440" t="s">
        <v>40</v>
      </c>
      <c r="N597" s="441"/>
      <c r="O597" s="441"/>
      <c r="P597" s="441"/>
      <c r="Q597" s="52" t="s">
        <v>41</v>
      </c>
      <c r="R597" s="442">
        <f>'Bang TH nop'!B75</f>
        <v>0</v>
      </c>
      <c r="S597" s="441"/>
      <c r="T597" s="441"/>
      <c r="U597" s="441"/>
      <c r="V597" s="441"/>
      <c r="W597" s="444"/>
    </row>
    <row r="598" spans="1:24" ht="18.75" customHeight="1">
      <c r="A598" s="440" t="s">
        <v>42</v>
      </c>
      <c r="B598" s="441"/>
      <c r="C598" s="441"/>
      <c r="D598" s="441"/>
      <c r="E598" s="52" t="s">
        <v>41</v>
      </c>
      <c r="F598" s="442">
        <f>'Bang TH nop'!C73</f>
        <v>0</v>
      </c>
      <c r="G598" s="442"/>
      <c r="H598" s="442"/>
      <c r="I598" s="442"/>
      <c r="J598" s="442"/>
      <c r="K598" s="443"/>
      <c r="M598" s="440" t="s">
        <v>42</v>
      </c>
      <c r="N598" s="441"/>
      <c r="O598" s="441"/>
      <c r="P598" s="441"/>
      <c r="Q598" s="52" t="s">
        <v>41</v>
      </c>
      <c r="R598" s="442">
        <f>'Bang TH nop'!C75</f>
        <v>0</v>
      </c>
      <c r="S598" s="442"/>
      <c r="T598" s="442"/>
      <c r="U598" s="442"/>
      <c r="V598" s="442"/>
      <c r="W598" s="443"/>
    </row>
    <row r="599" spans="1:24" ht="18.75" customHeight="1">
      <c r="A599" s="440" t="s">
        <v>43</v>
      </c>
      <c r="B599" s="441"/>
      <c r="C599" s="441"/>
      <c r="D599" s="441"/>
      <c r="E599" s="52" t="s">
        <v>41</v>
      </c>
      <c r="F599" s="441" t="str">
        <f>+$L$2</f>
        <v xml:space="preserve">Tổ  </v>
      </c>
      <c r="G599" s="441"/>
      <c r="H599" s="441"/>
      <c r="I599" s="441"/>
      <c r="J599" s="441"/>
      <c r="K599" s="444"/>
      <c r="M599" s="440" t="s">
        <v>43</v>
      </c>
      <c r="N599" s="441"/>
      <c r="O599" s="441"/>
      <c r="P599" s="441"/>
      <c r="Q599" s="52" t="s">
        <v>41</v>
      </c>
      <c r="R599" s="441" t="str">
        <f>+$L$2</f>
        <v xml:space="preserve">Tổ  </v>
      </c>
      <c r="S599" s="441"/>
      <c r="T599" s="441"/>
      <c r="U599" s="441"/>
      <c r="V599" s="441"/>
      <c r="W599" s="444"/>
    </row>
    <row r="600" spans="1:24" ht="18.75" customHeight="1">
      <c r="A600" s="448" t="s">
        <v>44</v>
      </c>
      <c r="B600" s="449"/>
      <c r="C600" s="449"/>
      <c r="D600" s="449"/>
      <c r="E600" s="449"/>
      <c r="F600" s="449"/>
      <c r="G600" s="449"/>
      <c r="H600" s="449"/>
      <c r="I600" s="449"/>
      <c r="J600" s="449"/>
      <c r="K600" s="450"/>
      <c r="M600" s="448" t="s">
        <v>44</v>
      </c>
      <c r="N600" s="449"/>
      <c r="O600" s="449"/>
      <c r="P600" s="449"/>
      <c r="Q600" s="449"/>
      <c r="R600" s="449"/>
      <c r="S600" s="449"/>
      <c r="T600" s="449"/>
      <c r="U600" s="449"/>
      <c r="V600" s="449"/>
      <c r="W600" s="450"/>
    </row>
    <row r="601" spans="1:24" ht="18.75" customHeight="1">
      <c r="A601" s="440" t="s">
        <v>45</v>
      </c>
      <c r="B601" s="441"/>
      <c r="C601" s="441"/>
      <c r="D601" s="441"/>
      <c r="E601" s="52" t="s">
        <v>41</v>
      </c>
      <c r="F601" s="455">
        <f>VLOOKUP(F598,'Bang TH nop'!$C$9:$AP$266,29,0)</f>
        <v>0</v>
      </c>
      <c r="G601" s="455"/>
      <c r="H601" s="455"/>
      <c r="I601" s="455"/>
      <c r="J601" s="52" t="s">
        <v>46</v>
      </c>
      <c r="K601" s="54"/>
      <c r="M601" s="440" t="s">
        <v>45</v>
      </c>
      <c r="N601" s="441"/>
      <c r="O601" s="441"/>
      <c r="P601" s="441"/>
      <c r="Q601" s="52" t="s">
        <v>41</v>
      </c>
      <c r="R601" s="455">
        <f>VLOOKUP(R598,'Bang TH nop'!$C$9:$AP$266,29,0)</f>
        <v>0</v>
      </c>
      <c r="S601" s="455"/>
      <c r="T601" s="455"/>
      <c r="U601" s="455"/>
      <c r="V601" s="52" t="s">
        <v>46</v>
      </c>
      <c r="W601" s="54"/>
    </row>
    <row r="602" spans="1:24" ht="18.75" customHeight="1">
      <c r="A602" s="55" t="s">
        <v>47</v>
      </c>
      <c r="B602" s="52"/>
      <c r="C602" s="56"/>
      <c r="D602" s="57"/>
      <c r="E602" s="58"/>
      <c r="F602" s="58"/>
      <c r="G602" s="58"/>
      <c r="H602" s="52"/>
      <c r="I602" s="59">
        <f>'LƯƠNG Tx'!F73</f>
        <v>0</v>
      </c>
      <c r="J602" s="60"/>
      <c r="K602" s="61"/>
      <c r="M602" s="55" t="s">
        <v>47</v>
      </c>
      <c r="N602" s="52"/>
      <c r="O602" s="56"/>
      <c r="P602" s="57"/>
      <c r="Q602" s="58"/>
      <c r="R602" s="58"/>
      <c r="S602" s="58"/>
      <c r="T602" s="52"/>
      <c r="U602" s="59">
        <f>'LƯƠNG Tx'!F75</f>
        <v>0</v>
      </c>
      <c r="V602" s="60"/>
      <c r="W602" s="61"/>
    </row>
    <row r="603" spans="1:24" ht="18.75" customHeight="1">
      <c r="A603" s="55" t="s">
        <v>48</v>
      </c>
      <c r="B603" s="52"/>
      <c r="C603" s="56"/>
      <c r="D603" s="57"/>
      <c r="E603" s="58"/>
      <c r="F603" s="58"/>
      <c r="G603" s="58"/>
      <c r="H603" s="52"/>
      <c r="I603" s="59" t="e">
        <f>I604/C604/8</f>
        <v>#DIV/0!</v>
      </c>
      <c r="J603" s="60"/>
      <c r="K603" s="61"/>
      <c r="M603" s="55" t="s">
        <v>48</v>
      </c>
      <c r="N603" s="52"/>
      <c r="O603" s="56"/>
      <c r="P603" s="57"/>
      <c r="Q603" s="58"/>
      <c r="R603" s="58"/>
      <c r="S603" s="58"/>
      <c r="T603" s="52"/>
      <c r="U603" s="59" t="e">
        <f>U604/O604/8</f>
        <v>#DIV/0!</v>
      </c>
      <c r="V603" s="60"/>
      <c r="W603" s="61"/>
    </row>
    <row r="604" spans="1:24" ht="18.75" customHeight="1">
      <c r="A604" s="55" t="s">
        <v>49</v>
      </c>
      <c r="B604" s="52" t="s">
        <v>41</v>
      </c>
      <c r="C604" s="56">
        <f>'LƯƠNG Tx'!I72</f>
        <v>0</v>
      </c>
      <c r="D604" s="57" t="s">
        <v>50</v>
      </c>
      <c r="E604" s="453" t="s">
        <v>51</v>
      </c>
      <c r="F604" s="453"/>
      <c r="G604" s="453"/>
      <c r="H604" s="52" t="s">
        <v>41</v>
      </c>
      <c r="I604" s="454">
        <f>'LƯƠNG Tx'!I73</f>
        <v>0</v>
      </c>
      <c r="J604" s="454"/>
      <c r="K604" s="61" t="s">
        <v>46</v>
      </c>
      <c r="L604" s="62">
        <f>F601/L594*C604</f>
        <v>0</v>
      </c>
      <c r="M604" s="55" t="s">
        <v>49</v>
      </c>
      <c r="N604" s="52" t="s">
        <v>41</v>
      </c>
      <c r="O604" s="56">
        <f>'LƯƠNG Tx'!I74</f>
        <v>0</v>
      </c>
      <c r="P604" s="57" t="s">
        <v>50</v>
      </c>
      <c r="Q604" s="453" t="s">
        <v>51</v>
      </c>
      <c r="R604" s="453"/>
      <c r="S604" s="453"/>
      <c r="T604" s="52" t="s">
        <v>41</v>
      </c>
      <c r="U604" s="454">
        <f>'LƯƠNG Tx'!I75</f>
        <v>0</v>
      </c>
      <c r="V604" s="454"/>
      <c r="W604" s="61" t="s">
        <v>46</v>
      </c>
      <c r="X604" s="62">
        <f>R601/X594*O604</f>
        <v>0</v>
      </c>
    </row>
    <row r="605" spans="1:24" ht="18.75" customHeight="1">
      <c r="A605" s="55" t="s">
        <v>52</v>
      </c>
      <c r="B605" s="52" t="s">
        <v>41</v>
      </c>
      <c r="C605" s="56">
        <f>'LƯƠNG Tx'!J72</f>
        <v>0</v>
      </c>
      <c r="D605" s="57" t="s">
        <v>50</v>
      </c>
      <c r="E605" s="441" t="s">
        <v>53</v>
      </c>
      <c r="F605" s="441"/>
      <c r="G605" s="441"/>
      <c r="H605" s="52" t="s">
        <v>41</v>
      </c>
      <c r="I605" s="452">
        <f>$F$8/$L$1*C605</f>
        <v>0</v>
      </c>
      <c r="J605" s="452"/>
      <c r="K605" s="61" t="s">
        <v>46</v>
      </c>
      <c r="L605" s="62"/>
      <c r="M605" s="55" t="s">
        <v>52</v>
      </c>
      <c r="N605" s="52" t="s">
        <v>41</v>
      </c>
      <c r="O605" s="56">
        <f>'LƯƠNG Tx'!J74</f>
        <v>0</v>
      </c>
      <c r="P605" s="57" t="s">
        <v>50</v>
      </c>
      <c r="Q605" s="441" t="s">
        <v>53</v>
      </c>
      <c r="R605" s="441"/>
      <c r="S605" s="441"/>
      <c r="T605" s="52" t="s">
        <v>41</v>
      </c>
      <c r="U605" s="452">
        <f>$F$8/$L$1*O605</f>
        <v>0</v>
      </c>
      <c r="V605" s="452"/>
      <c r="W605" s="61" t="s">
        <v>46</v>
      </c>
      <c r="X605" s="62"/>
    </row>
    <row r="606" spans="1:24" ht="18.75" customHeight="1">
      <c r="A606" s="55" t="s">
        <v>54</v>
      </c>
      <c r="B606" s="52" t="s">
        <v>41</v>
      </c>
      <c r="C606" s="56">
        <f>'LƯƠNG Tx'!K72</f>
        <v>0</v>
      </c>
      <c r="D606" s="57" t="s">
        <v>50</v>
      </c>
      <c r="E606" s="451" t="s">
        <v>55</v>
      </c>
      <c r="F606" s="451"/>
      <c r="G606" s="451"/>
      <c r="H606" s="52" t="s">
        <v>41</v>
      </c>
      <c r="I606" s="452">
        <f>$F$8/$L$1*C606</f>
        <v>0</v>
      </c>
      <c r="J606" s="452"/>
      <c r="K606" s="61" t="s">
        <v>46</v>
      </c>
      <c r="L606" s="62"/>
      <c r="M606" s="55" t="s">
        <v>54</v>
      </c>
      <c r="N606" s="52" t="s">
        <v>41</v>
      </c>
      <c r="O606" s="56">
        <f>'LƯƠNG Tx'!K74</f>
        <v>0</v>
      </c>
      <c r="P606" s="57" t="s">
        <v>50</v>
      </c>
      <c r="Q606" s="451" t="s">
        <v>55</v>
      </c>
      <c r="R606" s="451"/>
      <c r="S606" s="451"/>
      <c r="T606" s="52" t="s">
        <v>41</v>
      </c>
      <c r="U606" s="452">
        <f>$F$8/$L$1*O606</f>
        <v>0</v>
      </c>
      <c r="V606" s="452"/>
      <c r="W606" s="61" t="s">
        <v>46</v>
      </c>
      <c r="X606" s="62"/>
    </row>
    <row r="607" spans="1:24" ht="18.75" customHeight="1">
      <c r="A607" s="55" t="s">
        <v>56</v>
      </c>
      <c r="B607" s="52" t="s">
        <v>41</v>
      </c>
      <c r="C607" s="56">
        <f>'LƯƠNG Tx'!L72</f>
        <v>0</v>
      </c>
      <c r="D607" s="57" t="s">
        <v>50</v>
      </c>
      <c r="E607" s="451" t="s">
        <v>57</v>
      </c>
      <c r="F607" s="451"/>
      <c r="G607" s="451"/>
      <c r="H607" s="52" t="s">
        <v>41</v>
      </c>
      <c r="I607" s="452">
        <f>$F$8/$L$1*C607</f>
        <v>0</v>
      </c>
      <c r="J607" s="452"/>
      <c r="K607" s="61" t="s">
        <v>46</v>
      </c>
      <c r="L607" s="62"/>
      <c r="M607" s="55" t="s">
        <v>56</v>
      </c>
      <c r="N607" s="52" t="s">
        <v>41</v>
      </c>
      <c r="O607" s="56">
        <f>'LƯƠNG Tx'!L74</f>
        <v>0</v>
      </c>
      <c r="P607" s="57" t="s">
        <v>50</v>
      </c>
      <c r="Q607" s="451" t="s">
        <v>57</v>
      </c>
      <c r="R607" s="451"/>
      <c r="S607" s="451"/>
      <c r="T607" s="52" t="s">
        <v>41</v>
      </c>
      <c r="U607" s="452">
        <f>$F$8/$L$1*O607</f>
        <v>0</v>
      </c>
      <c r="V607" s="452"/>
      <c r="W607" s="61" t="s">
        <v>46</v>
      </c>
      <c r="X607" s="62"/>
    </row>
    <row r="608" spans="1:24" ht="18.75" customHeight="1">
      <c r="A608" s="55" t="s">
        <v>58</v>
      </c>
      <c r="B608" s="52" t="s">
        <v>41</v>
      </c>
      <c r="C608" s="56">
        <f>'LƯƠNG Tx'!Q72</f>
        <v>0</v>
      </c>
      <c r="D608" s="57" t="s">
        <v>59</v>
      </c>
      <c r="E608" s="441" t="s">
        <v>60</v>
      </c>
      <c r="F608" s="441"/>
      <c r="G608" s="441"/>
      <c r="H608" s="52" t="s">
        <v>41</v>
      </c>
      <c r="I608" s="452">
        <f>'LƯƠNG Tx'!Q73</f>
        <v>0</v>
      </c>
      <c r="J608" s="452"/>
      <c r="K608" s="61" t="s">
        <v>46</v>
      </c>
      <c r="L608" s="62">
        <f>F601*C608/L594/8*1.5</f>
        <v>0</v>
      </c>
      <c r="M608" s="55" t="s">
        <v>58</v>
      </c>
      <c r="N608" s="52" t="s">
        <v>41</v>
      </c>
      <c r="O608" s="56">
        <f>'LƯƠNG Tx'!Q74</f>
        <v>0</v>
      </c>
      <c r="P608" s="57" t="s">
        <v>59</v>
      </c>
      <c r="Q608" s="441" t="s">
        <v>60</v>
      </c>
      <c r="R608" s="441"/>
      <c r="S608" s="441"/>
      <c r="T608" s="52" t="s">
        <v>41</v>
      </c>
      <c r="U608" s="452">
        <f>'LƯƠNG Tx'!Q75</f>
        <v>0</v>
      </c>
      <c r="V608" s="452"/>
      <c r="W608" s="61" t="s">
        <v>46</v>
      </c>
      <c r="X608" s="62">
        <f>R601*O608/X594/8*1.5</f>
        <v>0</v>
      </c>
    </row>
    <row r="609" spans="1:24" ht="18.75" customHeight="1">
      <c r="A609" s="440" t="s">
        <v>61</v>
      </c>
      <c r="B609" s="441"/>
      <c r="C609" s="56"/>
      <c r="D609" s="57" t="s">
        <v>50</v>
      </c>
      <c r="E609" s="441" t="s">
        <v>62</v>
      </c>
      <c r="F609" s="441"/>
      <c r="G609" s="441"/>
      <c r="H609" s="63" t="s">
        <v>41</v>
      </c>
      <c r="I609" s="452"/>
      <c r="J609" s="452"/>
      <c r="K609" s="61" t="s">
        <v>46</v>
      </c>
      <c r="L609" s="62"/>
      <c r="M609" s="440" t="s">
        <v>61</v>
      </c>
      <c r="N609" s="441"/>
      <c r="O609" s="56"/>
      <c r="P609" s="57" t="s">
        <v>50</v>
      </c>
      <c r="Q609" s="441" t="s">
        <v>62</v>
      </c>
      <c r="R609" s="441"/>
      <c r="S609" s="441"/>
      <c r="T609" s="63" t="s">
        <v>41</v>
      </c>
      <c r="U609" s="452"/>
      <c r="V609" s="452"/>
      <c r="W609" s="61" t="s">
        <v>46</v>
      </c>
      <c r="X609" s="62"/>
    </row>
    <row r="610" spans="1:24" ht="18.75" customHeight="1">
      <c r="A610" s="55" t="s">
        <v>63</v>
      </c>
      <c r="B610" s="52" t="s">
        <v>41</v>
      </c>
      <c r="C610" s="56"/>
      <c r="D610" s="57" t="s">
        <v>50</v>
      </c>
      <c r="E610" s="441" t="s">
        <v>64</v>
      </c>
      <c r="F610" s="441"/>
      <c r="G610" s="441"/>
      <c r="H610" s="52" t="s">
        <v>41</v>
      </c>
      <c r="I610" s="452"/>
      <c r="J610" s="452"/>
      <c r="K610" s="61" t="s">
        <v>46</v>
      </c>
      <c r="L610" s="62"/>
      <c r="M610" s="55" t="s">
        <v>63</v>
      </c>
      <c r="N610" s="52" t="s">
        <v>41</v>
      </c>
      <c r="O610" s="56"/>
      <c r="P610" s="57" t="s">
        <v>50</v>
      </c>
      <c r="Q610" s="441" t="s">
        <v>64</v>
      </c>
      <c r="R610" s="441"/>
      <c r="S610" s="441"/>
      <c r="T610" s="52" t="s">
        <v>41</v>
      </c>
      <c r="U610" s="452"/>
      <c r="V610" s="452"/>
      <c r="W610" s="61" t="s">
        <v>46</v>
      </c>
      <c r="X610" s="62"/>
    </row>
    <row r="611" spans="1:24" ht="18.75" customHeight="1">
      <c r="A611" s="64" t="s">
        <v>65</v>
      </c>
      <c r="B611" s="52"/>
      <c r="C611" s="56">
        <f>'LƯƠNG Tx'!M72</f>
        <v>0</v>
      </c>
      <c r="D611" s="57" t="s">
        <v>59</v>
      </c>
      <c r="E611" s="441" t="s">
        <v>66</v>
      </c>
      <c r="F611" s="441"/>
      <c r="G611" s="441"/>
      <c r="H611" s="52" t="s">
        <v>41</v>
      </c>
      <c r="I611" s="452">
        <f>$F$8*C611/8/$L$1</f>
        <v>0</v>
      </c>
      <c r="J611" s="452"/>
      <c r="K611" s="61" t="s">
        <v>46</v>
      </c>
      <c r="L611" s="62"/>
      <c r="M611" s="64" t="s">
        <v>65</v>
      </c>
      <c r="N611" s="52"/>
      <c r="O611" s="56">
        <f>'LƯƠNG Tx'!M74</f>
        <v>0</v>
      </c>
      <c r="P611" s="57" t="s">
        <v>59</v>
      </c>
      <c r="Q611" s="441" t="s">
        <v>66</v>
      </c>
      <c r="R611" s="441"/>
      <c r="S611" s="441"/>
      <c r="T611" s="52" t="s">
        <v>41</v>
      </c>
      <c r="U611" s="452">
        <f>$F$8*O611/8/$L$1</f>
        <v>0</v>
      </c>
      <c r="V611" s="452"/>
      <c r="W611" s="61" t="s">
        <v>46</v>
      </c>
      <c r="X611" s="62"/>
    </row>
    <row r="612" spans="1:24" ht="18.75" customHeight="1">
      <c r="A612" s="55" t="s">
        <v>167</v>
      </c>
      <c r="B612" s="52" t="s">
        <v>41</v>
      </c>
      <c r="C612" s="56"/>
      <c r="D612" s="57" t="s">
        <v>59</v>
      </c>
      <c r="E612" s="441" t="s">
        <v>73</v>
      </c>
      <c r="F612" s="441"/>
      <c r="G612" s="441"/>
      <c r="H612" s="52" t="s">
        <v>41</v>
      </c>
      <c r="I612" s="454"/>
      <c r="J612" s="454"/>
      <c r="K612" s="61" t="s">
        <v>46</v>
      </c>
      <c r="L612" s="62"/>
      <c r="M612" s="55" t="s">
        <v>167</v>
      </c>
      <c r="N612" s="52" t="s">
        <v>41</v>
      </c>
      <c r="O612" s="56"/>
      <c r="P612" s="57" t="s">
        <v>59</v>
      </c>
      <c r="Q612" s="441" t="s">
        <v>73</v>
      </c>
      <c r="R612" s="441"/>
      <c r="S612" s="441"/>
      <c r="T612" s="52" t="s">
        <v>41</v>
      </c>
      <c r="U612" s="454"/>
      <c r="V612" s="454"/>
      <c r="W612" s="61" t="s">
        <v>46</v>
      </c>
      <c r="X612" s="62"/>
    </row>
    <row r="613" spans="1:24" ht="18.75" customHeight="1">
      <c r="A613" s="55" t="s">
        <v>69</v>
      </c>
      <c r="B613" s="52" t="s">
        <v>41</v>
      </c>
      <c r="C613" s="56"/>
      <c r="D613" s="57" t="s">
        <v>70</v>
      </c>
      <c r="E613" s="53" t="s">
        <v>71</v>
      </c>
      <c r="F613" s="53"/>
      <c r="G613" s="53"/>
      <c r="H613" s="52" t="s">
        <v>41</v>
      </c>
      <c r="I613" s="452"/>
      <c r="J613" s="452"/>
      <c r="K613" s="61" t="s">
        <v>46</v>
      </c>
      <c r="L613" s="62">
        <f>+IF(L604-I604&lt;0,0,L604-I604)+IF(L608-I608&lt;0,0,L608-I608)</f>
        <v>0</v>
      </c>
      <c r="M613" s="55" t="s">
        <v>69</v>
      </c>
      <c r="N613" s="52" t="s">
        <v>41</v>
      </c>
      <c r="O613" s="56"/>
      <c r="P613" s="57" t="s">
        <v>70</v>
      </c>
      <c r="Q613" s="53" t="s">
        <v>71</v>
      </c>
      <c r="R613" s="53"/>
      <c r="S613" s="53"/>
      <c r="T613" s="52" t="s">
        <v>41</v>
      </c>
      <c r="U613" s="452"/>
      <c r="V613" s="452"/>
      <c r="W613" s="61" t="s">
        <v>46</v>
      </c>
      <c r="X613" s="62">
        <f>+IF(X604-U604&lt;0,0,X604-U604)+IF(X608-U608&lt;0,0,X608-U608)</f>
        <v>0</v>
      </c>
    </row>
    <row r="614" spans="1:24" ht="18.75" customHeight="1">
      <c r="A614" s="65" t="s">
        <v>164</v>
      </c>
      <c r="B614" s="66"/>
      <c r="C614" s="56"/>
      <c r="D614" s="57" t="s">
        <v>50</v>
      </c>
      <c r="E614" s="441" t="s">
        <v>165</v>
      </c>
      <c r="F614" s="441"/>
      <c r="G614" s="441"/>
      <c r="H614" s="52" t="s">
        <v>41</v>
      </c>
      <c r="I614" s="452"/>
      <c r="J614" s="452"/>
      <c r="K614" s="61" t="s">
        <v>46</v>
      </c>
      <c r="L614" s="62"/>
      <c r="M614" s="65" t="s">
        <v>164</v>
      </c>
      <c r="N614" s="66"/>
      <c r="O614" s="56"/>
      <c r="P614" s="57" t="s">
        <v>50</v>
      </c>
      <c r="Q614" s="441" t="s">
        <v>165</v>
      </c>
      <c r="R614" s="441"/>
      <c r="S614" s="441"/>
      <c r="T614" s="52" t="s">
        <v>41</v>
      </c>
      <c r="U614" s="452"/>
      <c r="V614" s="452"/>
      <c r="W614" s="61" t="s">
        <v>46</v>
      </c>
      <c r="X614" s="62"/>
    </row>
    <row r="615" spans="1:24" ht="18.75" customHeight="1">
      <c r="A615" s="460" t="s">
        <v>166</v>
      </c>
      <c r="B615" s="461"/>
      <c r="C615" s="56"/>
      <c r="D615" s="57"/>
      <c r="E615" s="58"/>
      <c r="F615" s="58"/>
      <c r="G615" s="58"/>
      <c r="H615" s="52" t="s">
        <v>41</v>
      </c>
      <c r="I615" s="452">
        <f>'LƯƠNG Tx'!P73</f>
        <v>0</v>
      </c>
      <c r="J615" s="452"/>
      <c r="K615" s="61" t="s">
        <v>46</v>
      </c>
      <c r="L615" s="62"/>
      <c r="M615" s="460" t="s">
        <v>166</v>
      </c>
      <c r="N615" s="461"/>
      <c r="O615" s="56"/>
      <c r="P615" s="57"/>
      <c r="Q615" s="58"/>
      <c r="R615" s="58"/>
      <c r="S615" s="58"/>
      <c r="T615" s="52" t="s">
        <v>41</v>
      </c>
      <c r="U615" s="452">
        <f>'LƯƠNG Tx'!P75</f>
        <v>0</v>
      </c>
      <c r="V615" s="452"/>
      <c r="W615" s="61" t="s">
        <v>46</v>
      </c>
      <c r="X615" s="62"/>
    </row>
    <row r="616" spans="1:24" ht="18.75" customHeight="1">
      <c r="A616" s="55" t="s">
        <v>75</v>
      </c>
      <c r="B616" s="52" t="s">
        <v>41</v>
      </c>
      <c r="C616" s="56"/>
      <c r="D616" s="57"/>
      <c r="E616" s="58" t="s">
        <v>76</v>
      </c>
      <c r="F616" s="58"/>
      <c r="G616" s="58"/>
      <c r="H616" s="52" t="s">
        <v>41</v>
      </c>
      <c r="I616" s="452">
        <f>L613</f>
        <v>0</v>
      </c>
      <c r="J616" s="452"/>
      <c r="K616" s="61" t="s">
        <v>46</v>
      </c>
      <c r="L616" s="62"/>
      <c r="M616" s="55" t="s">
        <v>75</v>
      </c>
      <c r="N616" s="52" t="s">
        <v>41</v>
      </c>
      <c r="O616" s="56"/>
      <c r="P616" s="57"/>
      <c r="Q616" s="58" t="s">
        <v>76</v>
      </c>
      <c r="R616" s="58"/>
      <c r="S616" s="58"/>
      <c r="T616" s="52" t="s">
        <v>41</v>
      </c>
      <c r="U616" s="452">
        <f>X613</f>
        <v>0</v>
      </c>
      <c r="V616" s="452"/>
      <c r="W616" s="61" t="s">
        <v>46</v>
      </c>
      <c r="X616" s="62"/>
    </row>
    <row r="617" spans="1:24" ht="18.75" customHeight="1">
      <c r="A617" s="456" t="s">
        <v>77</v>
      </c>
      <c r="B617" s="457"/>
      <c r="C617" s="457"/>
      <c r="D617" s="457"/>
      <c r="E617" s="457"/>
      <c r="F617" s="457"/>
      <c r="G617" s="52" t="s">
        <v>41</v>
      </c>
      <c r="H617" s="458">
        <f>I604+I605+I606+I607+I608+I611+I615+I616+I609+I610+I612+I613+I614+C615</f>
        <v>0</v>
      </c>
      <c r="I617" s="459"/>
      <c r="J617" s="459"/>
      <c r="K617" s="61" t="s">
        <v>46</v>
      </c>
      <c r="M617" s="456" t="s">
        <v>77</v>
      </c>
      <c r="N617" s="457"/>
      <c r="O617" s="457"/>
      <c r="P617" s="457"/>
      <c r="Q617" s="457"/>
      <c r="R617" s="457"/>
      <c r="S617" s="52" t="s">
        <v>41</v>
      </c>
      <c r="T617" s="458">
        <f>U604+U605+U606+U607+U608+U611+U615+U616+U609+U610+U612+U613+U614+O615</f>
        <v>0</v>
      </c>
      <c r="U617" s="459"/>
      <c r="V617" s="459"/>
      <c r="W617" s="61" t="s">
        <v>46</v>
      </c>
    </row>
    <row r="618" spans="1:24" ht="18.75" customHeight="1">
      <c r="A618" s="67"/>
      <c r="B618" s="68"/>
      <c r="C618" s="68"/>
      <c r="D618" s="68"/>
      <c r="E618" s="68"/>
      <c r="F618" s="68"/>
      <c r="G618" s="68"/>
      <c r="H618" s="68"/>
      <c r="I618" s="68"/>
      <c r="J618" s="68"/>
      <c r="K618" s="69"/>
      <c r="M618" s="67"/>
      <c r="N618" s="68"/>
      <c r="O618" s="68"/>
      <c r="P618" s="68"/>
      <c r="Q618" s="68"/>
      <c r="R618" s="68"/>
      <c r="S618" s="68"/>
      <c r="T618" s="68"/>
      <c r="U618" s="68"/>
      <c r="V618" s="68"/>
      <c r="W618" s="69"/>
    </row>
    <row r="619" spans="1:24" ht="18.75" customHeight="1">
      <c r="A619" s="468" t="s">
        <v>78</v>
      </c>
      <c r="B619" s="469"/>
      <c r="C619" s="469"/>
      <c r="D619" s="469"/>
      <c r="E619" s="469"/>
      <c r="F619" s="469"/>
      <c r="G619" s="52"/>
      <c r="H619" s="52"/>
      <c r="I619" s="52"/>
      <c r="J619" s="52"/>
      <c r="K619" s="61"/>
      <c r="M619" s="468" t="s">
        <v>78</v>
      </c>
      <c r="N619" s="469"/>
      <c r="O619" s="469"/>
      <c r="P619" s="469"/>
      <c r="Q619" s="469"/>
      <c r="R619" s="469"/>
      <c r="S619" s="52"/>
      <c r="T619" s="52"/>
      <c r="U619" s="52"/>
      <c r="V619" s="52"/>
      <c r="W619" s="61"/>
    </row>
    <row r="620" spans="1:24" ht="18.75" customHeight="1">
      <c r="A620" s="462" t="s">
        <v>79</v>
      </c>
      <c r="B620" s="463"/>
      <c r="C620" s="463"/>
      <c r="D620" s="463"/>
      <c r="E620" s="463"/>
      <c r="F620" s="463"/>
      <c r="G620" s="52" t="s">
        <v>41</v>
      </c>
      <c r="H620" s="470">
        <f>IF(($L$1-(C604+C605+C606+C607))&gt;12,0,F601*8%)</f>
        <v>0</v>
      </c>
      <c r="I620" s="470"/>
      <c r="J620" s="470"/>
      <c r="K620" s="61" t="s">
        <v>46</v>
      </c>
      <c r="M620" s="462" t="s">
        <v>79</v>
      </c>
      <c r="N620" s="463"/>
      <c r="O620" s="463"/>
      <c r="P620" s="463"/>
      <c r="Q620" s="463"/>
      <c r="R620" s="463"/>
      <c r="S620" s="52" t="s">
        <v>41</v>
      </c>
      <c r="T620" s="470">
        <f>IF(($L$1-(O604+O605+O606+O607))&gt;12,0,R601*8%)</f>
        <v>0</v>
      </c>
      <c r="U620" s="470"/>
      <c r="V620" s="470"/>
      <c r="W620" s="61" t="s">
        <v>46</v>
      </c>
    </row>
    <row r="621" spans="1:24" ht="18.75" customHeight="1">
      <c r="A621" s="462" t="s">
        <v>80</v>
      </c>
      <c r="B621" s="463"/>
      <c r="C621" s="463"/>
      <c r="D621" s="463"/>
      <c r="E621" s="463"/>
      <c r="F621" s="463"/>
      <c r="G621" s="52" t="s">
        <v>41</v>
      </c>
      <c r="H621" s="464">
        <f>IF(($L$1-(C604+C605+C606+C607))&gt;12,0,F601*1.5%)</f>
        <v>0</v>
      </c>
      <c r="I621" s="464"/>
      <c r="J621" s="464"/>
      <c r="K621" s="61" t="s">
        <v>46</v>
      </c>
      <c r="M621" s="462" t="s">
        <v>80</v>
      </c>
      <c r="N621" s="463"/>
      <c r="O621" s="463"/>
      <c r="P621" s="463"/>
      <c r="Q621" s="463"/>
      <c r="R621" s="463"/>
      <c r="S621" s="52" t="s">
        <v>41</v>
      </c>
      <c r="T621" s="464">
        <f>IF(($L$1-(O604+O605+O606+O607))&gt;12,0,R601*1.5%)</f>
        <v>0</v>
      </c>
      <c r="U621" s="464"/>
      <c r="V621" s="464"/>
      <c r="W621" s="61" t="s">
        <v>46</v>
      </c>
    </row>
    <row r="622" spans="1:24" ht="18.75" customHeight="1">
      <c r="A622" s="462" t="s">
        <v>81</v>
      </c>
      <c r="B622" s="463"/>
      <c r="C622" s="463"/>
      <c r="D622" s="463"/>
      <c r="E622" s="463"/>
      <c r="F622" s="463"/>
      <c r="G622" s="52" t="s">
        <v>41</v>
      </c>
      <c r="H622" s="464">
        <f>IF(($L$1-(C604+C605+C606+C607))&gt;12,0,F601*1%)</f>
        <v>0</v>
      </c>
      <c r="I622" s="464"/>
      <c r="J622" s="464"/>
      <c r="K622" s="61" t="s">
        <v>46</v>
      </c>
      <c r="M622" s="462" t="s">
        <v>81</v>
      </c>
      <c r="N622" s="463"/>
      <c r="O622" s="463"/>
      <c r="P622" s="463"/>
      <c r="Q622" s="463"/>
      <c r="R622" s="463"/>
      <c r="S622" s="52" t="s">
        <v>41</v>
      </c>
      <c r="T622" s="464">
        <f>IF(($L$1-(O604+O605+O606+O607))&gt;12,0,R601*1%)</f>
        <v>0</v>
      </c>
      <c r="U622" s="464"/>
      <c r="V622" s="464"/>
      <c r="W622" s="61" t="s">
        <v>46</v>
      </c>
    </row>
    <row r="623" spans="1:24" ht="18.75" customHeight="1">
      <c r="A623" s="462" t="s">
        <v>82</v>
      </c>
      <c r="B623" s="463"/>
      <c r="C623" s="463"/>
      <c r="D623" s="463"/>
      <c r="E623" s="463"/>
      <c r="F623" s="463"/>
      <c r="G623" s="52" t="s">
        <v>41</v>
      </c>
      <c r="H623" s="464">
        <v>0</v>
      </c>
      <c r="I623" s="464"/>
      <c r="J623" s="464"/>
      <c r="K623" s="61" t="s">
        <v>46</v>
      </c>
      <c r="M623" s="462" t="s">
        <v>82</v>
      </c>
      <c r="N623" s="463"/>
      <c r="O623" s="463"/>
      <c r="P623" s="463"/>
      <c r="Q623" s="463"/>
      <c r="R623" s="463"/>
      <c r="S623" s="52" t="s">
        <v>41</v>
      </c>
      <c r="T623" s="464">
        <v>0</v>
      </c>
      <c r="U623" s="464"/>
      <c r="V623" s="464"/>
      <c r="W623" s="61" t="s">
        <v>46</v>
      </c>
    </row>
    <row r="624" spans="1:24" ht="18.75" customHeight="1">
      <c r="A624" s="465" t="s">
        <v>83</v>
      </c>
      <c r="B624" s="466"/>
      <c r="C624" s="466"/>
      <c r="D624" s="466"/>
      <c r="E624" s="466"/>
      <c r="F624" s="466"/>
      <c r="G624" s="52" t="s">
        <v>41</v>
      </c>
      <c r="H624" s="467">
        <f>SUM(H620:J623)</f>
        <v>0</v>
      </c>
      <c r="I624" s="467"/>
      <c r="J624" s="467"/>
      <c r="K624" s="61" t="s">
        <v>46</v>
      </c>
      <c r="M624" s="465" t="s">
        <v>83</v>
      </c>
      <c r="N624" s="466"/>
      <c r="O624" s="466"/>
      <c r="P624" s="466"/>
      <c r="Q624" s="466"/>
      <c r="R624" s="466"/>
      <c r="S624" s="52" t="s">
        <v>41</v>
      </c>
      <c r="T624" s="467">
        <f>SUM(T620:V623)</f>
        <v>0</v>
      </c>
      <c r="U624" s="467"/>
      <c r="V624" s="467"/>
      <c r="W624" s="61" t="s">
        <v>46</v>
      </c>
    </row>
    <row r="625" spans="1:24" ht="18.75" customHeight="1">
      <c r="A625" s="462" t="s">
        <v>84</v>
      </c>
      <c r="B625" s="463"/>
      <c r="C625" s="463"/>
      <c r="D625" s="463"/>
      <c r="E625" s="463"/>
      <c r="F625" s="463"/>
      <c r="G625" s="52" t="s">
        <v>41</v>
      </c>
      <c r="H625" s="478">
        <f>ROUND(H617-H624,-2)</f>
        <v>0</v>
      </c>
      <c r="I625" s="478"/>
      <c r="J625" s="478"/>
      <c r="K625" s="61" t="s">
        <v>46</v>
      </c>
      <c r="M625" s="462" t="s">
        <v>84</v>
      </c>
      <c r="N625" s="463"/>
      <c r="O625" s="463"/>
      <c r="P625" s="463"/>
      <c r="Q625" s="463"/>
      <c r="R625" s="463"/>
      <c r="S625" s="52" t="s">
        <v>41</v>
      </c>
      <c r="T625" s="475">
        <f>ROUND(T617-T624,-2)</f>
        <v>0</v>
      </c>
      <c r="U625" s="475"/>
      <c r="V625" s="475"/>
      <c r="W625" s="61" t="s">
        <v>46</v>
      </c>
    </row>
    <row r="626" spans="1:24" ht="18.75" customHeight="1">
      <c r="A626" s="70"/>
      <c r="B626" s="71"/>
      <c r="C626" s="71"/>
      <c r="D626" s="71"/>
      <c r="E626" s="71"/>
      <c r="F626" s="71"/>
      <c r="G626" s="71"/>
      <c r="H626" s="71"/>
      <c r="I626" s="71"/>
      <c r="J626" s="71"/>
      <c r="K626" s="72"/>
      <c r="M626" s="70"/>
      <c r="N626" s="71"/>
      <c r="O626" s="71"/>
      <c r="P626" s="71"/>
      <c r="Q626" s="71"/>
      <c r="R626" s="71"/>
      <c r="S626" s="71"/>
      <c r="T626" s="71"/>
      <c r="U626" s="71"/>
      <c r="V626" s="71"/>
      <c r="W626" s="72"/>
    </row>
    <row r="627" spans="1:24" ht="18.75" customHeight="1">
      <c r="A627" s="73"/>
      <c r="B627" s="52"/>
      <c r="C627" s="52"/>
      <c r="D627" s="52"/>
      <c r="E627" s="52"/>
      <c r="F627" s="52"/>
      <c r="G627" s="52"/>
      <c r="H627" s="52"/>
      <c r="I627" s="472" t="s">
        <v>85</v>
      </c>
      <c r="J627" s="472"/>
      <c r="K627" s="476"/>
      <c r="M627" s="73"/>
      <c r="N627" s="52"/>
      <c r="O627" s="52"/>
      <c r="P627" s="52"/>
      <c r="Q627" s="52"/>
      <c r="R627" s="52"/>
      <c r="S627" s="52"/>
      <c r="T627" s="52"/>
      <c r="U627" s="472" t="s">
        <v>85</v>
      </c>
      <c r="V627" s="472"/>
      <c r="W627" s="476"/>
    </row>
    <row r="628" spans="1:24" ht="18.75" customHeight="1">
      <c r="A628" s="73"/>
      <c r="B628" s="471"/>
      <c r="C628" s="472"/>
      <c r="D628" s="472"/>
      <c r="E628" s="472"/>
      <c r="F628" s="52"/>
      <c r="G628" s="52"/>
      <c r="H628" s="52"/>
      <c r="I628" s="52"/>
      <c r="J628" s="52"/>
      <c r="K628" s="54"/>
      <c r="M628" s="73"/>
      <c r="N628" s="471"/>
      <c r="O628" s="472"/>
      <c r="P628" s="472"/>
      <c r="Q628" s="472"/>
      <c r="R628" s="52"/>
      <c r="S628" s="52"/>
      <c r="T628" s="52"/>
      <c r="U628" s="52"/>
      <c r="V628" s="52"/>
      <c r="W628" s="54"/>
    </row>
    <row r="629" spans="1:24" ht="18.75" customHeight="1" thickBot="1">
      <c r="A629" s="75"/>
      <c r="B629" s="76"/>
      <c r="C629" s="76"/>
      <c r="D629" s="76"/>
      <c r="E629" s="76"/>
      <c r="F629" s="76"/>
      <c r="G629" s="76"/>
      <c r="H629" s="76"/>
      <c r="I629" s="473" t="s">
        <v>86</v>
      </c>
      <c r="J629" s="473"/>
      <c r="K629" s="474"/>
      <c r="M629" s="75"/>
      <c r="N629" s="76"/>
      <c r="O629" s="76"/>
      <c r="P629" s="76"/>
      <c r="Q629" s="76"/>
      <c r="R629" s="76"/>
      <c r="S629" s="76"/>
      <c r="T629" s="76"/>
      <c r="U629" s="473" t="s">
        <v>86</v>
      </c>
      <c r="V629" s="473"/>
      <c r="W629" s="474"/>
    </row>
    <row r="630" spans="1:24" ht="18.75" customHeight="1" thickTop="1" thickBot="1"/>
    <row r="631" spans="1:24" ht="18.75" customHeight="1" thickTop="1">
      <c r="A631" s="445" t="s">
        <v>172</v>
      </c>
      <c r="B631" s="446"/>
      <c r="C631" s="446"/>
      <c r="D631" s="446"/>
      <c r="E631" s="446"/>
      <c r="F631" s="446"/>
      <c r="G631" s="446"/>
      <c r="H631" s="446"/>
      <c r="I631" s="446"/>
      <c r="J631" s="446"/>
      <c r="K631" s="447"/>
      <c r="L631" s="48">
        <v>26</v>
      </c>
      <c r="M631" s="445" t="s">
        <v>172</v>
      </c>
      <c r="N631" s="446"/>
      <c r="O631" s="446"/>
      <c r="P631" s="446"/>
      <c r="Q631" s="446"/>
      <c r="R631" s="446"/>
      <c r="S631" s="446"/>
      <c r="T631" s="446"/>
      <c r="U631" s="446"/>
      <c r="V631" s="446"/>
      <c r="W631" s="447"/>
      <c r="X631" s="48">
        <v>26</v>
      </c>
    </row>
    <row r="632" spans="1:24" ht="18.75" customHeight="1">
      <c r="A632" s="49" t="s">
        <v>121</v>
      </c>
      <c r="B632" s="50"/>
      <c r="C632" s="50"/>
      <c r="D632" s="50"/>
      <c r="E632" s="50"/>
      <c r="F632" s="50"/>
      <c r="G632" s="50"/>
      <c r="H632" s="50"/>
      <c r="I632" s="50"/>
      <c r="J632" s="50"/>
      <c r="K632" s="51"/>
      <c r="M632" s="49" t="s">
        <v>122</v>
      </c>
      <c r="N632" s="50"/>
      <c r="O632" s="50"/>
      <c r="P632" s="50"/>
      <c r="Q632" s="50"/>
      <c r="R632" s="50"/>
      <c r="S632" s="50"/>
      <c r="T632" s="50"/>
      <c r="U632" s="50"/>
      <c r="V632" s="50"/>
      <c r="W632" s="51"/>
    </row>
    <row r="633" spans="1:24" ht="18.75" customHeight="1">
      <c r="A633" s="448" t="s">
        <v>39</v>
      </c>
      <c r="B633" s="449"/>
      <c r="C633" s="449"/>
      <c r="D633" s="449"/>
      <c r="E633" s="449"/>
      <c r="F633" s="449"/>
      <c r="G633" s="449"/>
      <c r="H633" s="449"/>
      <c r="I633" s="449"/>
      <c r="J633" s="449"/>
      <c r="K633" s="450"/>
      <c r="M633" s="448" t="s">
        <v>39</v>
      </c>
      <c r="N633" s="449"/>
      <c r="O633" s="449"/>
      <c r="P633" s="449"/>
      <c r="Q633" s="449"/>
      <c r="R633" s="449"/>
      <c r="S633" s="449"/>
      <c r="T633" s="449"/>
      <c r="U633" s="449"/>
      <c r="V633" s="449"/>
      <c r="W633" s="450"/>
    </row>
    <row r="634" spans="1:24" ht="18.75" customHeight="1">
      <c r="A634" s="440" t="s">
        <v>40</v>
      </c>
      <c r="B634" s="441"/>
      <c r="C634" s="441"/>
      <c r="D634" s="441"/>
      <c r="E634" s="52" t="s">
        <v>41</v>
      </c>
      <c r="F634" s="442">
        <f>'Bang TH nop'!B77</f>
        <v>0</v>
      </c>
      <c r="G634" s="441"/>
      <c r="H634" s="441"/>
      <c r="I634" s="441"/>
      <c r="J634" s="441"/>
      <c r="K634" s="444"/>
      <c r="M634" s="440" t="s">
        <v>40</v>
      </c>
      <c r="N634" s="441"/>
      <c r="O634" s="441"/>
      <c r="P634" s="441"/>
      <c r="Q634" s="52" t="s">
        <v>41</v>
      </c>
      <c r="R634" s="442">
        <f>'Bang TH nop'!B79</f>
        <v>0</v>
      </c>
      <c r="S634" s="441"/>
      <c r="T634" s="441"/>
      <c r="U634" s="441"/>
      <c r="V634" s="441"/>
      <c r="W634" s="444"/>
    </row>
    <row r="635" spans="1:24" ht="18.75" customHeight="1">
      <c r="A635" s="440" t="s">
        <v>42</v>
      </c>
      <c r="B635" s="441"/>
      <c r="C635" s="441"/>
      <c r="D635" s="441"/>
      <c r="E635" s="52" t="s">
        <v>41</v>
      </c>
      <c r="F635" s="442">
        <f>'Bang TH nop'!C77</f>
        <v>0</v>
      </c>
      <c r="G635" s="442"/>
      <c r="H635" s="442"/>
      <c r="I635" s="442"/>
      <c r="J635" s="442"/>
      <c r="K635" s="443"/>
      <c r="M635" s="440" t="s">
        <v>42</v>
      </c>
      <c r="N635" s="441"/>
      <c r="O635" s="441"/>
      <c r="P635" s="441"/>
      <c r="Q635" s="52" t="s">
        <v>41</v>
      </c>
      <c r="R635" s="442">
        <f>'Bang TH nop'!C79</f>
        <v>0</v>
      </c>
      <c r="S635" s="442"/>
      <c r="T635" s="442"/>
      <c r="U635" s="442"/>
      <c r="V635" s="442"/>
      <c r="W635" s="443"/>
    </row>
    <row r="636" spans="1:24" ht="18.75" customHeight="1">
      <c r="A636" s="440" t="s">
        <v>43</v>
      </c>
      <c r="B636" s="441"/>
      <c r="C636" s="441"/>
      <c r="D636" s="441"/>
      <c r="E636" s="52" t="s">
        <v>41</v>
      </c>
      <c r="F636" s="441" t="str">
        <f>+$L$2</f>
        <v xml:space="preserve">Tổ  </v>
      </c>
      <c r="G636" s="441"/>
      <c r="H636" s="441"/>
      <c r="I636" s="441"/>
      <c r="J636" s="441"/>
      <c r="K636" s="444"/>
      <c r="M636" s="440" t="s">
        <v>43</v>
      </c>
      <c r="N636" s="441"/>
      <c r="O636" s="441"/>
      <c r="P636" s="441"/>
      <c r="Q636" s="52" t="s">
        <v>41</v>
      </c>
      <c r="R636" s="441" t="str">
        <f>+$L$2</f>
        <v xml:space="preserve">Tổ  </v>
      </c>
      <c r="S636" s="441"/>
      <c r="T636" s="441"/>
      <c r="U636" s="441"/>
      <c r="V636" s="441"/>
      <c r="W636" s="444"/>
    </row>
    <row r="637" spans="1:24" ht="18.75" customHeight="1">
      <c r="A637" s="448" t="s">
        <v>44</v>
      </c>
      <c r="B637" s="449"/>
      <c r="C637" s="449"/>
      <c r="D637" s="449"/>
      <c r="E637" s="449"/>
      <c r="F637" s="449"/>
      <c r="G637" s="449"/>
      <c r="H637" s="449"/>
      <c r="I637" s="449"/>
      <c r="J637" s="449"/>
      <c r="K637" s="450"/>
      <c r="M637" s="448" t="s">
        <v>44</v>
      </c>
      <c r="N637" s="449"/>
      <c r="O637" s="449"/>
      <c r="P637" s="449"/>
      <c r="Q637" s="449"/>
      <c r="R637" s="449"/>
      <c r="S637" s="449"/>
      <c r="T637" s="449"/>
      <c r="U637" s="449"/>
      <c r="V637" s="449"/>
      <c r="W637" s="450"/>
    </row>
    <row r="638" spans="1:24" ht="18.75" customHeight="1">
      <c r="A638" s="440" t="s">
        <v>45</v>
      </c>
      <c r="B638" s="441"/>
      <c r="C638" s="441"/>
      <c r="D638" s="441"/>
      <c r="E638" s="52" t="s">
        <v>41</v>
      </c>
      <c r="F638" s="455">
        <f>VLOOKUP(F635,'Bang TH nop'!$C$9:$AP$266,29,0)</f>
        <v>0</v>
      </c>
      <c r="G638" s="455"/>
      <c r="H638" s="455"/>
      <c r="I638" s="455"/>
      <c r="J638" s="52" t="s">
        <v>46</v>
      </c>
      <c r="K638" s="54"/>
      <c r="M638" s="440" t="s">
        <v>45</v>
      </c>
      <c r="N638" s="441"/>
      <c r="O638" s="441"/>
      <c r="P638" s="441"/>
      <c r="Q638" s="52" t="s">
        <v>41</v>
      </c>
      <c r="R638" s="455">
        <f>VLOOKUP(R635,'Bang TH nop'!$C$9:$AP$266,29,0)</f>
        <v>0</v>
      </c>
      <c r="S638" s="455"/>
      <c r="T638" s="455"/>
      <c r="U638" s="455"/>
      <c r="V638" s="52" t="s">
        <v>46</v>
      </c>
      <c r="W638" s="54"/>
    </row>
    <row r="639" spans="1:24" ht="18.75" customHeight="1">
      <c r="A639" s="55" t="s">
        <v>47</v>
      </c>
      <c r="B639" s="52"/>
      <c r="C639" s="56"/>
      <c r="D639" s="57"/>
      <c r="E639" s="58"/>
      <c r="F639" s="58"/>
      <c r="G639" s="58"/>
      <c r="H639" s="52"/>
      <c r="I639" s="59">
        <f>'LƯƠNG Tx'!F77</f>
        <v>0</v>
      </c>
      <c r="J639" s="60"/>
      <c r="K639" s="61"/>
      <c r="M639" s="55" t="s">
        <v>47</v>
      </c>
      <c r="N639" s="52"/>
      <c r="O639" s="56"/>
      <c r="P639" s="57"/>
      <c r="Q639" s="58"/>
      <c r="R639" s="58"/>
      <c r="S639" s="58"/>
      <c r="T639" s="52"/>
      <c r="U639" s="59">
        <f>'LƯƠNG Tx'!F79</f>
        <v>0</v>
      </c>
      <c r="V639" s="60"/>
      <c r="W639" s="61"/>
    </row>
    <row r="640" spans="1:24" ht="18.75" customHeight="1">
      <c r="A640" s="55" t="s">
        <v>48</v>
      </c>
      <c r="B640" s="52"/>
      <c r="C640" s="56"/>
      <c r="D640" s="57"/>
      <c r="E640" s="58"/>
      <c r="F640" s="58"/>
      <c r="G640" s="58"/>
      <c r="H640" s="52"/>
      <c r="I640" s="59" t="e">
        <f>I641/C641/8</f>
        <v>#DIV/0!</v>
      </c>
      <c r="J640" s="60"/>
      <c r="K640" s="61"/>
      <c r="M640" s="55" t="s">
        <v>48</v>
      </c>
      <c r="N640" s="52"/>
      <c r="O640" s="56"/>
      <c r="P640" s="57"/>
      <c r="Q640" s="58"/>
      <c r="R640" s="58"/>
      <c r="S640" s="58"/>
      <c r="T640" s="52"/>
      <c r="U640" s="59" t="e">
        <f>U641/O641/8</f>
        <v>#DIV/0!</v>
      </c>
      <c r="V640" s="60"/>
      <c r="W640" s="61"/>
    </row>
    <row r="641" spans="1:24" ht="18.75" customHeight="1">
      <c r="A641" s="55" t="s">
        <v>49</v>
      </c>
      <c r="B641" s="52" t="s">
        <v>41</v>
      </c>
      <c r="C641" s="56">
        <f>'LƯƠNG Tx'!I76</f>
        <v>0</v>
      </c>
      <c r="D641" s="57" t="s">
        <v>50</v>
      </c>
      <c r="E641" s="453" t="s">
        <v>51</v>
      </c>
      <c r="F641" s="453"/>
      <c r="G641" s="453"/>
      <c r="H641" s="52" t="s">
        <v>41</v>
      </c>
      <c r="I641" s="454">
        <f>'LƯƠNG Tx'!I77</f>
        <v>0</v>
      </c>
      <c r="J641" s="454"/>
      <c r="K641" s="61" t="s">
        <v>46</v>
      </c>
      <c r="L641" s="62">
        <f>F638/L631*C641</f>
        <v>0</v>
      </c>
      <c r="M641" s="55" t="s">
        <v>49</v>
      </c>
      <c r="N641" s="52" t="s">
        <v>41</v>
      </c>
      <c r="O641" s="56">
        <f>'LƯƠNG Tx'!I78</f>
        <v>0</v>
      </c>
      <c r="P641" s="57" t="s">
        <v>50</v>
      </c>
      <c r="Q641" s="453" t="s">
        <v>51</v>
      </c>
      <c r="R641" s="453"/>
      <c r="S641" s="453"/>
      <c r="T641" s="52" t="s">
        <v>41</v>
      </c>
      <c r="U641" s="454">
        <f>'LƯƠNG Tx'!I79</f>
        <v>0</v>
      </c>
      <c r="V641" s="454"/>
      <c r="W641" s="61" t="s">
        <v>46</v>
      </c>
      <c r="X641" s="62">
        <f>R638/X631*O641</f>
        <v>0</v>
      </c>
    </row>
    <row r="642" spans="1:24" ht="18.75" customHeight="1">
      <c r="A642" s="55" t="s">
        <v>52</v>
      </c>
      <c r="B642" s="52" t="s">
        <v>41</v>
      </c>
      <c r="C642" s="56">
        <f>'LƯƠNG Tx'!J76</f>
        <v>0</v>
      </c>
      <c r="D642" s="57" t="s">
        <v>50</v>
      </c>
      <c r="E642" s="441" t="s">
        <v>53</v>
      </c>
      <c r="F642" s="441"/>
      <c r="G642" s="441"/>
      <c r="H642" s="52" t="s">
        <v>41</v>
      </c>
      <c r="I642" s="452">
        <f>$F$8/$L$1*C642</f>
        <v>0</v>
      </c>
      <c r="J642" s="452"/>
      <c r="K642" s="61" t="s">
        <v>46</v>
      </c>
      <c r="L642" s="62"/>
      <c r="M642" s="55" t="s">
        <v>52</v>
      </c>
      <c r="N642" s="52" t="s">
        <v>41</v>
      </c>
      <c r="O642" s="56">
        <f>'LƯƠNG Tx'!J78</f>
        <v>0</v>
      </c>
      <c r="P642" s="57" t="s">
        <v>50</v>
      </c>
      <c r="Q642" s="441" t="s">
        <v>53</v>
      </c>
      <c r="R642" s="441"/>
      <c r="S642" s="441"/>
      <c r="T642" s="52" t="s">
        <v>41</v>
      </c>
      <c r="U642" s="452">
        <f>$F$8/$L$1*O642</f>
        <v>0</v>
      </c>
      <c r="V642" s="452"/>
      <c r="W642" s="61" t="s">
        <v>46</v>
      </c>
      <c r="X642" s="62"/>
    </row>
    <row r="643" spans="1:24" ht="18.75" customHeight="1">
      <c r="A643" s="55" t="s">
        <v>54</v>
      </c>
      <c r="B643" s="52" t="s">
        <v>41</v>
      </c>
      <c r="C643" s="56">
        <f>'LƯƠNG Tx'!K76</f>
        <v>0</v>
      </c>
      <c r="D643" s="57" t="s">
        <v>50</v>
      </c>
      <c r="E643" s="451" t="s">
        <v>55</v>
      </c>
      <c r="F643" s="451"/>
      <c r="G643" s="451"/>
      <c r="H643" s="52" t="s">
        <v>41</v>
      </c>
      <c r="I643" s="452">
        <f>$F$8/$L$1*C643</f>
        <v>0</v>
      </c>
      <c r="J643" s="452"/>
      <c r="K643" s="61" t="s">
        <v>46</v>
      </c>
      <c r="L643" s="62"/>
      <c r="M643" s="55" t="s">
        <v>54</v>
      </c>
      <c r="N643" s="52" t="s">
        <v>41</v>
      </c>
      <c r="O643" s="56">
        <f>'LƯƠNG Tx'!K78</f>
        <v>0</v>
      </c>
      <c r="P643" s="57" t="s">
        <v>50</v>
      </c>
      <c r="Q643" s="451" t="s">
        <v>55</v>
      </c>
      <c r="R643" s="451"/>
      <c r="S643" s="451"/>
      <c r="T643" s="52" t="s">
        <v>41</v>
      </c>
      <c r="U643" s="452">
        <f>$F$8/$L$1*O643</f>
        <v>0</v>
      </c>
      <c r="V643" s="452"/>
      <c r="W643" s="61" t="s">
        <v>46</v>
      </c>
      <c r="X643" s="62"/>
    </row>
    <row r="644" spans="1:24" ht="18.75" customHeight="1">
      <c r="A644" s="55" t="s">
        <v>56</v>
      </c>
      <c r="B644" s="52" t="s">
        <v>41</v>
      </c>
      <c r="C644" s="56">
        <f>'LƯƠNG Tx'!L76</f>
        <v>0</v>
      </c>
      <c r="D644" s="57" t="s">
        <v>50</v>
      </c>
      <c r="E644" s="451" t="s">
        <v>57</v>
      </c>
      <c r="F644" s="451"/>
      <c r="G644" s="451"/>
      <c r="H644" s="52" t="s">
        <v>41</v>
      </c>
      <c r="I644" s="452">
        <f>$F$8/$L$1*C644</f>
        <v>0</v>
      </c>
      <c r="J644" s="452"/>
      <c r="K644" s="61" t="s">
        <v>46</v>
      </c>
      <c r="L644" s="62"/>
      <c r="M644" s="55" t="s">
        <v>56</v>
      </c>
      <c r="N644" s="52" t="s">
        <v>41</v>
      </c>
      <c r="O644" s="56">
        <f>'LƯƠNG Tx'!L78</f>
        <v>0</v>
      </c>
      <c r="P644" s="57" t="s">
        <v>50</v>
      </c>
      <c r="Q644" s="451" t="s">
        <v>57</v>
      </c>
      <c r="R644" s="451"/>
      <c r="S644" s="451"/>
      <c r="T644" s="52" t="s">
        <v>41</v>
      </c>
      <c r="U644" s="452">
        <f>$F$8/$L$1*O644</f>
        <v>0</v>
      </c>
      <c r="V644" s="452"/>
      <c r="W644" s="61" t="s">
        <v>46</v>
      </c>
      <c r="X644" s="62"/>
    </row>
    <row r="645" spans="1:24" ht="18.75" customHeight="1">
      <c r="A645" s="55" t="s">
        <v>58</v>
      </c>
      <c r="B645" s="52" t="s">
        <v>41</v>
      </c>
      <c r="C645" s="56">
        <f>'LƯƠNG Tx'!Q76</f>
        <v>0</v>
      </c>
      <c r="D645" s="57" t="s">
        <v>59</v>
      </c>
      <c r="E645" s="441" t="s">
        <v>60</v>
      </c>
      <c r="F645" s="441"/>
      <c r="G645" s="441"/>
      <c r="H645" s="52" t="s">
        <v>41</v>
      </c>
      <c r="I645" s="452">
        <f>'LƯƠNG Tx'!Q77</f>
        <v>0</v>
      </c>
      <c r="J645" s="452"/>
      <c r="K645" s="61" t="s">
        <v>46</v>
      </c>
      <c r="L645" s="62">
        <f>F638*C645/L631/8*1.5</f>
        <v>0</v>
      </c>
      <c r="M645" s="55" t="s">
        <v>58</v>
      </c>
      <c r="N645" s="52" t="s">
        <v>41</v>
      </c>
      <c r="O645" s="56">
        <f>'LƯƠNG Tx'!Q78</f>
        <v>0</v>
      </c>
      <c r="P645" s="57" t="s">
        <v>59</v>
      </c>
      <c r="Q645" s="441" t="s">
        <v>60</v>
      </c>
      <c r="R645" s="441"/>
      <c r="S645" s="441"/>
      <c r="T645" s="52" t="s">
        <v>41</v>
      </c>
      <c r="U645" s="452">
        <f>'LƯƠNG Tx'!Q79</f>
        <v>0</v>
      </c>
      <c r="V645" s="452"/>
      <c r="W645" s="61" t="s">
        <v>46</v>
      </c>
      <c r="X645" s="62">
        <f>R638*O645/X631/8*1.5</f>
        <v>0</v>
      </c>
    </row>
    <row r="646" spans="1:24" ht="18.75" customHeight="1">
      <c r="A646" s="440" t="s">
        <v>61</v>
      </c>
      <c r="B646" s="441"/>
      <c r="C646" s="56"/>
      <c r="D646" s="57" t="s">
        <v>50</v>
      </c>
      <c r="E646" s="441" t="s">
        <v>62</v>
      </c>
      <c r="F646" s="441"/>
      <c r="G646" s="441"/>
      <c r="H646" s="63" t="s">
        <v>41</v>
      </c>
      <c r="I646" s="452"/>
      <c r="J646" s="452"/>
      <c r="K646" s="61" t="s">
        <v>46</v>
      </c>
      <c r="L646" s="62"/>
      <c r="M646" s="440" t="s">
        <v>61</v>
      </c>
      <c r="N646" s="441"/>
      <c r="O646" s="56"/>
      <c r="P646" s="57" t="s">
        <v>50</v>
      </c>
      <c r="Q646" s="441" t="s">
        <v>62</v>
      </c>
      <c r="R646" s="441"/>
      <c r="S646" s="441"/>
      <c r="T646" s="63" t="s">
        <v>41</v>
      </c>
      <c r="U646" s="452"/>
      <c r="V646" s="452"/>
      <c r="W646" s="61" t="s">
        <v>46</v>
      </c>
      <c r="X646" s="62"/>
    </row>
    <row r="647" spans="1:24" ht="18.75" customHeight="1">
      <c r="A647" s="55" t="s">
        <v>63</v>
      </c>
      <c r="B647" s="52" t="s">
        <v>41</v>
      </c>
      <c r="C647" s="56"/>
      <c r="D647" s="57" t="s">
        <v>50</v>
      </c>
      <c r="E647" s="441" t="s">
        <v>64</v>
      </c>
      <c r="F647" s="441"/>
      <c r="G647" s="441"/>
      <c r="H647" s="52" t="s">
        <v>41</v>
      </c>
      <c r="I647" s="452"/>
      <c r="J647" s="452"/>
      <c r="K647" s="61" t="s">
        <v>46</v>
      </c>
      <c r="L647" s="62"/>
      <c r="M647" s="55" t="s">
        <v>63</v>
      </c>
      <c r="N647" s="52" t="s">
        <v>41</v>
      </c>
      <c r="O647" s="56"/>
      <c r="P647" s="57" t="s">
        <v>50</v>
      </c>
      <c r="Q647" s="441" t="s">
        <v>64</v>
      </c>
      <c r="R647" s="441"/>
      <c r="S647" s="441"/>
      <c r="T647" s="52" t="s">
        <v>41</v>
      </c>
      <c r="U647" s="452"/>
      <c r="V647" s="452"/>
      <c r="W647" s="61" t="s">
        <v>46</v>
      </c>
      <c r="X647" s="62"/>
    </row>
    <row r="648" spans="1:24" ht="18.75" customHeight="1">
      <c r="A648" s="64" t="s">
        <v>65</v>
      </c>
      <c r="B648" s="52"/>
      <c r="C648" s="56">
        <f>'LƯƠNG Tx'!M76</f>
        <v>0</v>
      </c>
      <c r="D648" s="57" t="s">
        <v>59</v>
      </c>
      <c r="E648" s="441" t="s">
        <v>66</v>
      </c>
      <c r="F648" s="441"/>
      <c r="G648" s="441"/>
      <c r="H648" s="52" t="s">
        <v>41</v>
      </c>
      <c r="I648" s="452">
        <f>$F$8*C648/8/$L$1</f>
        <v>0</v>
      </c>
      <c r="J648" s="452"/>
      <c r="K648" s="61" t="s">
        <v>46</v>
      </c>
      <c r="L648" s="62"/>
      <c r="M648" s="64" t="s">
        <v>65</v>
      </c>
      <c r="N648" s="52"/>
      <c r="O648" s="56">
        <f>'LƯƠNG Tx'!M78</f>
        <v>0</v>
      </c>
      <c r="P648" s="57" t="s">
        <v>59</v>
      </c>
      <c r="Q648" s="441" t="s">
        <v>66</v>
      </c>
      <c r="R648" s="441"/>
      <c r="S648" s="441"/>
      <c r="T648" s="52" t="s">
        <v>41</v>
      </c>
      <c r="U648" s="452">
        <f>$F$8*O648/8/$L$1</f>
        <v>0</v>
      </c>
      <c r="V648" s="452"/>
      <c r="W648" s="61" t="s">
        <v>46</v>
      </c>
      <c r="X648" s="62"/>
    </row>
    <row r="649" spans="1:24" ht="18.75" customHeight="1">
      <c r="A649" s="55" t="s">
        <v>167</v>
      </c>
      <c r="B649" s="52" t="s">
        <v>41</v>
      </c>
      <c r="C649" s="56"/>
      <c r="D649" s="57" t="s">
        <v>59</v>
      </c>
      <c r="E649" s="441" t="s">
        <v>73</v>
      </c>
      <c r="F649" s="441"/>
      <c r="G649" s="441"/>
      <c r="H649" s="52" t="s">
        <v>41</v>
      </c>
      <c r="I649" s="454"/>
      <c r="J649" s="454"/>
      <c r="K649" s="61" t="s">
        <v>46</v>
      </c>
      <c r="L649" s="62"/>
      <c r="M649" s="55" t="s">
        <v>167</v>
      </c>
      <c r="N649" s="52" t="s">
        <v>41</v>
      </c>
      <c r="O649" s="56"/>
      <c r="P649" s="57" t="s">
        <v>59</v>
      </c>
      <c r="Q649" s="441" t="s">
        <v>73</v>
      </c>
      <c r="R649" s="441"/>
      <c r="S649" s="441"/>
      <c r="T649" s="52" t="s">
        <v>41</v>
      </c>
      <c r="U649" s="454"/>
      <c r="V649" s="454"/>
      <c r="W649" s="61" t="s">
        <v>46</v>
      </c>
      <c r="X649" s="62"/>
    </row>
    <row r="650" spans="1:24" ht="18.75" customHeight="1">
      <c r="A650" s="55" t="s">
        <v>69</v>
      </c>
      <c r="B650" s="52" t="s">
        <v>41</v>
      </c>
      <c r="C650" s="56"/>
      <c r="D650" s="57" t="s">
        <v>70</v>
      </c>
      <c r="E650" s="53" t="s">
        <v>71</v>
      </c>
      <c r="F650" s="53"/>
      <c r="G650" s="53"/>
      <c r="H650" s="52" t="s">
        <v>41</v>
      </c>
      <c r="I650" s="452"/>
      <c r="J650" s="452"/>
      <c r="K650" s="61" t="s">
        <v>46</v>
      </c>
      <c r="L650" s="62">
        <f>+IF(L641-I641&lt;0,0,L641-I641)+IF(L645-I645&lt;0,0,L645-I645)</f>
        <v>0</v>
      </c>
      <c r="M650" s="55" t="s">
        <v>69</v>
      </c>
      <c r="N650" s="52" t="s">
        <v>41</v>
      </c>
      <c r="O650" s="56"/>
      <c r="P650" s="57" t="s">
        <v>70</v>
      </c>
      <c r="Q650" s="53" t="s">
        <v>71</v>
      </c>
      <c r="R650" s="53"/>
      <c r="S650" s="53"/>
      <c r="T650" s="52" t="s">
        <v>41</v>
      </c>
      <c r="U650" s="452"/>
      <c r="V650" s="452"/>
      <c r="W650" s="61" t="s">
        <v>46</v>
      </c>
      <c r="X650" s="62">
        <f>+IF(X641-U641&lt;0,0,X641-U641)+IF(X645-U645&lt;0,0,X645-U645)</f>
        <v>0</v>
      </c>
    </row>
    <row r="651" spans="1:24" ht="18.75" customHeight="1">
      <c r="A651" s="65" t="s">
        <v>164</v>
      </c>
      <c r="B651" s="66"/>
      <c r="C651" s="56"/>
      <c r="D651" s="57" t="s">
        <v>50</v>
      </c>
      <c r="E651" s="441" t="s">
        <v>165</v>
      </c>
      <c r="F651" s="441"/>
      <c r="G651" s="441"/>
      <c r="H651" s="52" t="s">
        <v>41</v>
      </c>
      <c r="I651" s="452"/>
      <c r="J651" s="452"/>
      <c r="K651" s="61" t="s">
        <v>46</v>
      </c>
      <c r="L651" s="62"/>
      <c r="M651" s="65" t="s">
        <v>164</v>
      </c>
      <c r="N651" s="66"/>
      <c r="O651" s="56"/>
      <c r="P651" s="57" t="s">
        <v>50</v>
      </c>
      <c r="Q651" s="441" t="s">
        <v>165</v>
      </c>
      <c r="R651" s="441"/>
      <c r="S651" s="441"/>
      <c r="T651" s="52" t="s">
        <v>41</v>
      </c>
      <c r="U651" s="452"/>
      <c r="V651" s="452"/>
      <c r="W651" s="61" t="s">
        <v>46</v>
      </c>
      <c r="X651" s="62"/>
    </row>
    <row r="652" spans="1:24" ht="18.75" customHeight="1">
      <c r="A652" s="460" t="s">
        <v>166</v>
      </c>
      <c r="B652" s="461"/>
      <c r="C652" s="56"/>
      <c r="D652" s="57"/>
      <c r="E652" s="58"/>
      <c r="F652" s="58"/>
      <c r="G652" s="58"/>
      <c r="H652" s="52" t="s">
        <v>41</v>
      </c>
      <c r="I652" s="452">
        <f>'LƯƠNG Tx'!P77</f>
        <v>0</v>
      </c>
      <c r="J652" s="452"/>
      <c r="K652" s="61" t="s">
        <v>46</v>
      </c>
      <c r="L652" s="62"/>
      <c r="M652" s="460" t="s">
        <v>166</v>
      </c>
      <c r="N652" s="461"/>
      <c r="O652" s="56"/>
      <c r="P652" s="57"/>
      <c r="Q652" s="58"/>
      <c r="R652" s="58"/>
      <c r="S652" s="58"/>
      <c r="T652" s="52" t="s">
        <v>41</v>
      </c>
      <c r="U652" s="452">
        <f>'LƯƠNG Tx'!P79</f>
        <v>0</v>
      </c>
      <c r="V652" s="452"/>
      <c r="W652" s="61" t="s">
        <v>46</v>
      </c>
      <c r="X652" s="62"/>
    </row>
    <row r="653" spans="1:24" ht="18.75" customHeight="1">
      <c r="A653" s="55" t="s">
        <v>75</v>
      </c>
      <c r="B653" s="52" t="s">
        <v>41</v>
      </c>
      <c r="C653" s="56"/>
      <c r="D653" s="57"/>
      <c r="E653" s="58" t="s">
        <v>76</v>
      </c>
      <c r="F653" s="58"/>
      <c r="G653" s="58"/>
      <c r="H653" s="52" t="s">
        <v>41</v>
      </c>
      <c r="I653" s="452">
        <f>L650</f>
        <v>0</v>
      </c>
      <c r="J653" s="452"/>
      <c r="K653" s="61" t="s">
        <v>46</v>
      </c>
      <c r="L653" s="62"/>
      <c r="M653" s="55" t="s">
        <v>75</v>
      </c>
      <c r="N653" s="52" t="s">
        <v>41</v>
      </c>
      <c r="O653" s="56"/>
      <c r="P653" s="57"/>
      <c r="Q653" s="58" t="s">
        <v>76</v>
      </c>
      <c r="R653" s="58"/>
      <c r="S653" s="58"/>
      <c r="T653" s="52" t="s">
        <v>41</v>
      </c>
      <c r="U653" s="452">
        <f>X650</f>
        <v>0</v>
      </c>
      <c r="V653" s="452"/>
      <c r="W653" s="61" t="s">
        <v>46</v>
      </c>
      <c r="X653" s="62"/>
    </row>
    <row r="654" spans="1:24" ht="18.75" customHeight="1">
      <c r="A654" s="456" t="s">
        <v>77</v>
      </c>
      <c r="B654" s="457"/>
      <c r="C654" s="457"/>
      <c r="D654" s="457"/>
      <c r="E654" s="457"/>
      <c r="F654" s="457"/>
      <c r="G654" s="52" t="s">
        <v>41</v>
      </c>
      <c r="H654" s="458">
        <f>I641+I642+I643+I644+I645+I648+I652+I653+I646+I647+I649+I650+I651+C652</f>
        <v>0</v>
      </c>
      <c r="I654" s="459"/>
      <c r="J654" s="459"/>
      <c r="K654" s="61" t="s">
        <v>46</v>
      </c>
      <c r="M654" s="456" t="s">
        <v>77</v>
      </c>
      <c r="N654" s="457"/>
      <c r="O654" s="457"/>
      <c r="P654" s="457"/>
      <c r="Q654" s="457"/>
      <c r="R654" s="457"/>
      <c r="S654" s="52" t="s">
        <v>41</v>
      </c>
      <c r="T654" s="458">
        <f>U641+U642+U643+U644+U645+U648+U652+U653+U646+U647+U649+U650+U651+O652</f>
        <v>0</v>
      </c>
      <c r="U654" s="459"/>
      <c r="V654" s="459"/>
      <c r="W654" s="61" t="s">
        <v>46</v>
      </c>
    </row>
    <row r="655" spans="1:24" ht="18.75" customHeight="1">
      <c r="A655" s="67"/>
      <c r="B655" s="68"/>
      <c r="C655" s="68"/>
      <c r="D655" s="68"/>
      <c r="E655" s="68"/>
      <c r="F655" s="68"/>
      <c r="G655" s="68"/>
      <c r="H655" s="68"/>
      <c r="I655" s="68"/>
      <c r="J655" s="68"/>
      <c r="K655" s="69"/>
      <c r="M655" s="67"/>
      <c r="N655" s="68"/>
      <c r="O655" s="68"/>
      <c r="P655" s="68"/>
      <c r="Q655" s="68"/>
      <c r="R655" s="68"/>
      <c r="S655" s="68"/>
      <c r="T655" s="68"/>
      <c r="U655" s="68"/>
      <c r="V655" s="68"/>
      <c r="W655" s="69"/>
    </row>
    <row r="656" spans="1:24" ht="18.75" customHeight="1">
      <c r="A656" s="468" t="s">
        <v>78</v>
      </c>
      <c r="B656" s="469"/>
      <c r="C656" s="469"/>
      <c r="D656" s="469"/>
      <c r="E656" s="469"/>
      <c r="F656" s="469"/>
      <c r="G656" s="52"/>
      <c r="H656" s="52"/>
      <c r="I656" s="52"/>
      <c r="J656" s="52"/>
      <c r="K656" s="61"/>
      <c r="M656" s="468" t="s">
        <v>78</v>
      </c>
      <c r="N656" s="469"/>
      <c r="O656" s="469"/>
      <c r="P656" s="469"/>
      <c r="Q656" s="469"/>
      <c r="R656" s="469"/>
      <c r="S656" s="52"/>
      <c r="T656" s="52"/>
      <c r="U656" s="52"/>
      <c r="V656" s="52"/>
      <c r="W656" s="61"/>
    </row>
    <row r="657" spans="1:24" ht="18.75" customHeight="1">
      <c r="A657" s="462" t="s">
        <v>79</v>
      </c>
      <c r="B657" s="463"/>
      <c r="C657" s="463"/>
      <c r="D657" s="463"/>
      <c r="E657" s="463"/>
      <c r="F657" s="463"/>
      <c r="G657" s="52" t="s">
        <v>41</v>
      </c>
      <c r="H657" s="470">
        <f>IF(($L$1-(C641+C642+C643+C644))&gt;12,0,F638*8%)</f>
        <v>0</v>
      </c>
      <c r="I657" s="470"/>
      <c r="J657" s="470"/>
      <c r="K657" s="61" t="s">
        <v>46</v>
      </c>
      <c r="M657" s="462" t="s">
        <v>79</v>
      </c>
      <c r="N657" s="463"/>
      <c r="O657" s="463"/>
      <c r="P657" s="463"/>
      <c r="Q657" s="463"/>
      <c r="R657" s="463"/>
      <c r="S657" s="52" t="s">
        <v>41</v>
      </c>
      <c r="T657" s="470">
        <f>IF(($L$1-(O641+O642+O643+O644))&gt;12,0,R638*8%)</f>
        <v>0</v>
      </c>
      <c r="U657" s="470"/>
      <c r="V657" s="470"/>
      <c r="W657" s="61" t="s">
        <v>46</v>
      </c>
    </row>
    <row r="658" spans="1:24" ht="18.75" customHeight="1">
      <c r="A658" s="462" t="s">
        <v>80</v>
      </c>
      <c r="B658" s="463"/>
      <c r="C658" s="463"/>
      <c r="D658" s="463"/>
      <c r="E658" s="463"/>
      <c r="F658" s="463"/>
      <c r="G658" s="52" t="s">
        <v>41</v>
      </c>
      <c r="H658" s="464">
        <f>IF(($L$1-(C641+C642+C643+C644))&gt;12,0,F638*1.5%)</f>
        <v>0</v>
      </c>
      <c r="I658" s="464"/>
      <c r="J658" s="464"/>
      <c r="K658" s="61" t="s">
        <v>46</v>
      </c>
      <c r="M658" s="462" t="s">
        <v>80</v>
      </c>
      <c r="N658" s="463"/>
      <c r="O658" s="463"/>
      <c r="P658" s="463"/>
      <c r="Q658" s="463"/>
      <c r="R658" s="463"/>
      <c r="S658" s="52" t="s">
        <v>41</v>
      </c>
      <c r="T658" s="464">
        <f>IF(($L$1-(O641+O642+O643+O644))&gt;12,0,R638*1.5%)</f>
        <v>0</v>
      </c>
      <c r="U658" s="464"/>
      <c r="V658" s="464"/>
      <c r="W658" s="61" t="s">
        <v>46</v>
      </c>
    </row>
    <row r="659" spans="1:24" ht="18.75" customHeight="1">
      <c r="A659" s="462" t="s">
        <v>81</v>
      </c>
      <c r="B659" s="463"/>
      <c r="C659" s="463"/>
      <c r="D659" s="463"/>
      <c r="E659" s="463"/>
      <c r="F659" s="463"/>
      <c r="G659" s="52" t="s">
        <v>41</v>
      </c>
      <c r="H659" s="464">
        <f>IF(($L$1-(C641+C642+C643+C644))&gt;12,0,F638*1%)</f>
        <v>0</v>
      </c>
      <c r="I659" s="464"/>
      <c r="J659" s="464"/>
      <c r="K659" s="61" t="s">
        <v>46</v>
      </c>
      <c r="M659" s="462" t="s">
        <v>81</v>
      </c>
      <c r="N659" s="463"/>
      <c r="O659" s="463"/>
      <c r="P659" s="463"/>
      <c r="Q659" s="463"/>
      <c r="R659" s="463"/>
      <c r="S659" s="52" t="s">
        <v>41</v>
      </c>
      <c r="T659" s="464">
        <f>IF(($L$1-(O641+O642+O643+O644))&gt;12,0,R638*1%)</f>
        <v>0</v>
      </c>
      <c r="U659" s="464"/>
      <c r="V659" s="464"/>
      <c r="W659" s="61" t="s">
        <v>46</v>
      </c>
    </row>
    <row r="660" spans="1:24" ht="18.75" customHeight="1">
      <c r="A660" s="462" t="s">
        <v>82</v>
      </c>
      <c r="B660" s="463"/>
      <c r="C660" s="463"/>
      <c r="D660" s="463"/>
      <c r="E660" s="463"/>
      <c r="F660" s="463"/>
      <c r="G660" s="52" t="s">
        <v>41</v>
      </c>
      <c r="H660" s="464">
        <v>0</v>
      </c>
      <c r="I660" s="464"/>
      <c r="J660" s="464"/>
      <c r="K660" s="61" t="s">
        <v>46</v>
      </c>
      <c r="M660" s="462" t="s">
        <v>82</v>
      </c>
      <c r="N660" s="463"/>
      <c r="O660" s="463"/>
      <c r="P660" s="463"/>
      <c r="Q660" s="463"/>
      <c r="R660" s="463"/>
      <c r="S660" s="52" t="s">
        <v>41</v>
      </c>
      <c r="T660" s="464">
        <v>0</v>
      </c>
      <c r="U660" s="464"/>
      <c r="V660" s="464"/>
      <c r="W660" s="61" t="s">
        <v>46</v>
      </c>
    </row>
    <row r="661" spans="1:24" ht="18.75" customHeight="1">
      <c r="A661" s="465" t="s">
        <v>83</v>
      </c>
      <c r="B661" s="466"/>
      <c r="C661" s="466"/>
      <c r="D661" s="466"/>
      <c r="E661" s="466"/>
      <c r="F661" s="466"/>
      <c r="G661" s="52" t="s">
        <v>41</v>
      </c>
      <c r="H661" s="467">
        <f>SUM(H657:J660)</f>
        <v>0</v>
      </c>
      <c r="I661" s="467"/>
      <c r="J661" s="467"/>
      <c r="K661" s="61" t="s">
        <v>46</v>
      </c>
      <c r="M661" s="465" t="s">
        <v>83</v>
      </c>
      <c r="N661" s="466"/>
      <c r="O661" s="466"/>
      <c r="P661" s="466"/>
      <c r="Q661" s="466"/>
      <c r="R661" s="466"/>
      <c r="S661" s="52" t="s">
        <v>41</v>
      </c>
      <c r="T661" s="467">
        <f>SUM(T657:V660)</f>
        <v>0</v>
      </c>
      <c r="U661" s="467"/>
      <c r="V661" s="467"/>
      <c r="W661" s="61" t="s">
        <v>46</v>
      </c>
    </row>
    <row r="662" spans="1:24" ht="18.75" customHeight="1">
      <c r="A662" s="462" t="s">
        <v>84</v>
      </c>
      <c r="B662" s="463"/>
      <c r="C662" s="463"/>
      <c r="D662" s="463"/>
      <c r="E662" s="463"/>
      <c r="F662" s="463"/>
      <c r="G662" s="52" t="s">
        <v>41</v>
      </c>
      <c r="H662" s="475">
        <f>ROUND(H654-H661,-2)</f>
        <v>0</v>
      </c>
      <c r="I662" s="475"/>
      <c r="J662" s="475"/>
      <c r="K662" s="61" t="s">
        <v>46</v>
      </c>
      <c r="M662" s="462" t="s">
        <v>84</v>
      </c>
      <c r="N662" s="463"/>
      <c r="O662" s="463"/>
      <c r="P662" s="463"/>
      <c r="Q662" s="463"/>
      <c r="R662" s="463"/>
      <c r="S662" s="52" t="s">
        <v>41</v>
      </c>
      <c r="T662" s="475">
        <f>ROUND(T654-T661,-2)</f>
        <v>0</v>
      </c>
      <c r="U662" s="475"/>
      <c r="V662" s="475"/>
      <c r="W662" s="61" t="s">
        <v>46</v>
      </c>
    </row>
    <row r="663" spans="1:24" ht="18.75" customHeight="1">
      <c r="A663" s="70"/>
      <c r="B663" s="71"/>
      <c r="C663" s="71"/>
      <c r="D663" s="71"/>
      <c r="E663" s="71"/>
      <c r="F663" s="71"/>
      <c r="G663" s="71"/>
      <c r="H663" s="71"/>
      <c r="I663" s="71"/>
      <c r="J663" s="71"/>
      <c r="K663" s="72"/>
      <c r="M663" s="70"/>
      <c r="N663" s="71"/>
      <c r="O663" s="71"/>
      <c r="P663" s="71"/>
      <c r="Q663" s="71"/>
      <c r="R663" s="71"/>
      <c r="S663" s="71"/>
      <c r="T663" s="71"/>
      <c r="U663" s="71"/>
      <c r="V663" s="71"/>
      <c r="W663" s="72"/>
    </row>
    <row r="664" spans="1:24" ht="18.75" customHeight="1">
      <c r="A664" s="73"/>
      <c r="B664" s="52"/>
      <c r="C664" s="52"/>
      <c r="D664" s="52"/>
      <c r="E664" s="52"/>
      <c r="F664" s="52"/>
      <c r="G664" s="52"/>
      <c r="H664" s="52"/>
      <c r="I664" s="472" t="s">
        <v>85</v>
      </c>
      <c r="J664" s="472"/>
      <c r="K664" s="476"/>
      <c r="M664" s="73"/>
      <c r="N664" s="52"/>
      <c r="O664" s="52"/>
      <c r="P664" s="52"/>
      <c r="Q664" s="52"/>
      <c r="R664" s="52"/>
      <c r="S664" s="52"/>
      <c r="T664" s="52"/>
      <c r="U664" s="472" t="s">
        <v>85</v>
      </c>
      <c r="V664" s="472"/>
      <c r="W664" s="476"/>
    </row>
    <row r="665" spans="1:24" ht="18.75" customHeight="1">
      <c r="A665" s="73"/>
      <c r="B665" s="471"/>
      <c r="C665" s="472"/>
      <c r="D665" s="472"/>
      <c r="E665" s="472"/>
      <c r="F665" s="52"/>
      <c r="G665" s="52"/>
      <c r="H665" s="52"/>
      <c r="I665" s="52"/>
      <c r="J665" s="52"/>
      <c r="K665" s="54"/>
      <c r="M665" s="73"/>
      <c r="N665" s="471"/>
      <c r="O665" s="472"/>
      <c r="P665" s="472"/>
      <c r="Q665" s="472"/>
      <c r="R665" s="52"/>
      <c r="S665" s="52"/>
      <c r="T665" s="52"/>
      <c r="U665" s="52"/>
      <c r="V665" s="52"/>
      <c r="W665" s="54"/>
    </row>
    <row r="666" spans="1:24" ht="18.75" customHeight="1" thickBot="1">
      <c r="A666" s="75"/>
      <c r="B666" s="76"/>
      <c r="C666" s="76"/>
      <c r="D666" s="76"/>
      <c r="E666" s="76"/>
      <c r="F666" s="76"/>
      <c r="G666" s="76"/>
      <c r="H666" s="76"/>
      <c r="I666" s="473" t="s">
        <v>86</v>
      </c>
      <c r="J666" s="473"/>
      <c r="K666" s="474"/>
      <c r="M666" s="75"/>
      <c r="N666" s="76"/>
      <c r="O666" s="76"/>
      <c r="P666" s="76"/>
      <c r="Q666" s="76"/>
      <c r="R666" s="76"/>
      <c r="S666" s="76"/>
      <c r="T666" s="76"/>
      <c r="U666" s="473" t="s">
        <v>86</v>
      </c>
      <c r="V666" s="473"/>
      <c r="W666" s="474"/>
    </row>
    <row r="667" spans="1:24" ht="18.75" customHeight="1" thickTop="1" thickBot="1"/>
    <row r="668" spans="1:24" ht="18.75" customHeight="1" thickTop="1">
      <c r="A668" s="445" t="s">
        <v>172</v>
      </c>
      <c r="B668" s="446"/>
      <c r="C668" s="446"/>
      <c r="D668" s="446"/>
      <c r="E668" s="446"/>
      <c r="F668" s="446"/>
      <c r="G668" s="446"/>
      <c r="H668" s="446"/>
      <c r="I668" s="446"/>
      <c r="J668" s="446"/>
      <c r="K668" s="447"/>
      <c r="L668" s="48">
        <v>26</v>
      </c>
      <c r="M668" s="445" t="s">
        <v>172</v>
      </c>
      <c r="N668" s="446"/>
      <c r="O668" s="446"/>
      <c r="P668" s="446"/>
      <c r="Q668" s="446"/>
      <c r="R668" s="446"/>
      <c r="S668" s="446"/>
      <c r="T668" s="446"/>
      <c r="U668" s="446"/>
      <c r="V668" s="446"/>
      <c r="W668" s="447"/>
      <c r="X668" s="48">
        <v>26</v>
      </c>
    </row>
    <row r="669" spans="1:24" ht="18.75" customHeight="1">
      <c r="A669" s="49" t="s">
        <v>123</v>
      </c>
      <c r="B669" s="50"/>
      <c r="C669" s="50"/>
      <c r="D669" s="50"/>
      <c r="E669" s="50"/>
      <c r="F669" s="50"/>
      <c r="G669" s="50"/>
      <c r="H669" s="50"/>
      <c r="I669" s="50"/>
      <c r="J669" s="50"/>
      <c r="K669" s="51"/>
      <c r="M669" s="49" t="s">
        <v>124</v>
      </c>
      <c r="N669" s="50"/>
      <c r="O669" s="50"/>
      <c r="P669" s="50"/>
      <c r="Q669" s="50"/>
      <c r="R669" s="50"/>
      <c r="S669" s="50"/>
      <c r="T669" s="50"/>
      <c r="U669" s="50"/>
      <c r="V669" s="50"/>
      <c r="W669" s="51"/>
    </row>
    <row r="670" spans="1:24" ht="18.75" customHeight="1">
      <c r="A670" s="448" t="s">
        <v>39</v>
      </c>
      <c r="B670" s="449"/>
      <c r="C670" s="449"/>
      <c r="D670" s="449"/>
      <c r="E670" s="449"/>
      <c r="F670" s="449"/>
      <c r="G670" s="449"/>
      <c r="H670" s="449"/>
      <c r="I670" s="449"/>
      <c r="J670" s="449"/>
      <c r="K670" s="450"/>
      <c r="M670" s="448" t="s">
        <v>39</v>
      </c>
      <c r="N670" s="449"/>
      <c r="O670" s="449"/>
      <c r="P670" s="449"/>
      <c r="Q670" s="449"/>
      <c r="R670" s="449"/>
      <c r="S670" s="449"/>
      <c r="T670" s="449"/>
      <c r="U670" s="449"/>
      <c r="V670" s="449"/>
      <c r="W670" s="450"/>
    </row>
    <row r="671" spans="1:24" ht="18.75" customHeight="1">
      <c r="A671" s="440" t="s">
        <v>40</v>
      </c>
      <c r="B671" s="441"/>
      <c r="C671" s="441"/>
      <c r="D671" s="441"/>
      <c r="E671" s="52" t="s">
        <v>41</v>
      </c>
      <c r="F671" s="442">
        <f>'Bang TH nop'!B81</f>
        <v>0</v>
      </c>
      <c r="G671" s="441"/>
      <c r="H671" s="441"/>
      <c r="I671" s="441"/>
      <c r="J671" s="441"/>
      <c r="K671" s="444"/>
      <c r="M671" s="440" t="s">
        <v>40</v>
      </c>
      <c r="N671" s="441"/>
      <c r="O671" s="441"/>
      <c r="P671" s="441"/>
      <c r="Q671" s="52" t="s">
        <v>41</v>
      </c>
      <c r="R671" s="442">
        <f>'Bang TH nop'!B83</f>
        <v>0</v>
      </c>
      <c r="S671" s="441"/>
      <c r="T671" s="441"/>
      <c r="U671" s="441"/>
      <c r="V671" s="441"/>
      <c r="W671" s="444"/>
    </row>
    <row r="672" spans="1:24" ht="18.75" customHeight="1">
      <c r="A672" s="440" t="s">
        <v>42</v>
      </c>
      <c r="B672" s="441"/>
      <c r="C672" s="441"/>
      <c r="D672" s="441"/>
      <c r="E672" s="52" t="s">
        <v>41</v>
      </c>
      <c r="F672" s="442">
        <f>'Bang TH nop'!C81</f>
        <v>0</v>
      </c>
      <c r="G672" s="442"/>
      <c r="H672" s="442"/>
      <c r="I672" s="442"/>
      <c r="J672" s="442"/>
      <c r="K672" s="443"/>
      <c r="M672" s="440" t="s">
        <v>42</v>
      </c>
      <c r="N672" s="441"/>
      <c r="O672" s="441"/>
      <c r="P672" s="441"/>
      <c r="Q672" s="52" t="s">
        <v>41</v>
      </c>
      <c r="R672" s="442">
        <f>'Bang TH nop'!C83</f>
        <v>0</v>
      </c>
      <c r="S672" s="442"/>
      <c r="T672" s="442"/>
      <c r="U672" s="442"/>
      <c r="V672" s="442"/>
      <c r="W672" s="443"/>
    </row>
    <row r="673" spans="1:24" ht="18.75" customHeight="1">
      <c r="A673" s="440" t="s">
        <v>43</v>
      </c>
      <c r="B673" s="441"/>
      <c r="C673" s="441"/>
      <c r="D673" s="441"/>
      <c r="E673" s="52" t="s">
        <v>41</v>
      </c>
      <c r="F673" s="441" t="str">
        <f>+$L$2</f>
        <v xml:space="preserve">Tổ  </v>
      </c>
      <c r="G673" s="441"/>
      <c r="H673" s="441"/>
      <c r="I673" s="441"/>
      <c r="J673" s="441"/>
      <c r="K673" s="444"/>
      <c r="M673" s="440" t="s">
        <v>43</v>
      </c>
      <c r="N673" s="441"/>
      <c r="O673" s="441"/>
      <c r="P673" s="441"/>
      <c r="Q673" s="52" t="s">
        <v>41</v>
      </c>
      <c r="R673" s="441" t="str">
        <f>+$L$2</f>
        <v xml:space="preserve">Tổ  </v>
      </c>
      <c r="S673" s="441"/>
      <c r="T673" s="441"/>
      <c r="U673" s="441"/>
      <c r="V673" s="441"/>
      <c r="W673" s="444"/>
    </row>
    <row r="674" spans="1:24" ht="18.75" customHeight="1">
      <c r="A674" s="448" t="s">
        <v>44</v>
      </c>
      <c r="B674" s="449"/>
      <c r="C674" s="449"/>
      <c r="D674" s="449"/>
      <c r="E674" s="449"/>
      <c r="F674" s="449"/>
      <c r="G674" s="449"/>
      <c r="H674" s="449"/>
      <c r="I674" s="449"/>
      <c r="J674" s="449"/>
      <c r="K674" s="450"/>
      <c r="M674" s="448" t="s">
        <v>44</v>
      </c>
      <c r="N674" s="449"/>
      <c r="O674" s="449"/>
      <c r="P674" s="449"/>
      <c r="Q674" s="449"/>
      <c r="R674" s="449"/>
      <c r="S674" s="449"/>
      <c r="T674" s="449"/>
      <c r="U674" s="449"/>
      <c r="V674" s="449"/>
      <c r="W674" s="450"/>
    </row>
    <row r="675" spans="1:24" ht="18.75" customHeight="1">
      <c r="A675" s="440" t="s">
        <v>45</v>
      </c>
      <c r="B675" s="441"/>
      <c r="C675" s="441"/>
      <c r="D675" s="441"/>
      <c r="E675" s="52" t="s">
        <v>41</v>
      </c>
      <c r="F675" s="455">
        <f>VLOOKUP(F672,'Bang TH nop'!$C$9:$AP$266,29,0)</f>
        <v>0</v>
      </c>
      <c r="G675" s="455"/>
      <c r="H675" s="455"/>
      <c r="I675" s="455"/>
      <c r="J675" s="52" t="s">
        <v>46</v>
      </c>
      <c r="K675" s="54"/>
      <c r="M675" s="440" t="s">
        <v>45</v>
      </c>
      <c r="N675" s="441"/>
      <c r="O675" s="441"/>
      <c r="P675" s="441"/>
      <c r="Q675" s="52" t="s">
        <v>41</v>
      </c>
      <c r="R675" s="455">
        <f>VLOOKUP(R672,'Bang TH nop'!$C$9:$AP$266,29,0)</f>
        <v>0</v>
      </c>
      <c r="S675" s="455"/>
      <c r="T675" s="455"/>
      <c r="U675" s="455"/>
      <c r="V675" s="52" t="s">
        <v>46</v>
      </c>
      <c r="W675" s="54"/>
    </row>
    <row r="676" spans="1:24" ht="18.75" customHeight="1">
      <c r="A676" s="55" t="s">
        <v>47</v>
      </c>
      <c r="B676" s="52"/>
      <c r="C676" s="56"/>
      <c r="D676" s="57"/>
      <c r="E676" s="58"/>
      <c r="F676" s="58"/>
      <c r="G676" s="58"/>
      <c r="H676" s="52"/>
      <c r="I676" s="59">
        <f>'LƯƠNG Tx'!F81</f>
        <v>0</v>
      </c>
      <c r="J676" s="60"/>
      <c r="K676" s="61"/>
      <c r="M676" s="55" t="s">
        <v>47</v>
      </c>
      <c r="N676" s="52"/>
      <c r="O676" s="56"/>
      <c r="P676" s="57"/>
      <c r="Q676" s="58"/>
      <c r="R676" s="58"/>
      <c r="S676" s="58"/>
      <c r="T676" s="52"/>
      <c r="U676" s="59">
        <f>'LƯƠNG Tx'!F83</f>
        <v>0</v>
      </c>
      <c r="V676" s="60"/>
      <c r="W676" s="61"/>
    </row>
    <row r="677" spans="1:24" ht="18.75" customHeight="1">
      <c r="A677" s="55" t="s">
        <v>48</v>
      </c>
      <c r="B677" s="52"/>
      <c r="C677" s="56"/>
      <c r="D677" s="57"/>
      <c r="E677" s="58"/>
      <c r="F677" s="58"/>
      <c r="G677" s="58"/>
      <c r="H677" s="52"/>
      <c r="I677" s="59" t="e">
        <f>I678/C678/8</f>
        <v>#DIV/0!</v>
      </c>
      <c r="J677" s="60"/>
      <c r="K677" s="61"/>
      <c r="M677" s="55" t="s">
        <v>48</v>
      </c>
      <c r="N677" s="52"/>
      <c r="O677" s="56"/>
      <c r="P677" s="57"/>
      <c r="Q677" s="58"/>
      <c r="R677" s="58"/>
      <c r="S677" s="58"/>
      <c r="T677" s="52"/>
      <c r="U677" s="59" t="e">
        <f>U678/O678/8</f>
        <v>#DIV/0!</v>
      </c>
      <c r="V677" s="60"/>
      <c r="W677" s="61"/>
    </row>
    <row r="678" spans="1:24" ht="18.75" customHeight="1">
      <c r="A678" s="55" t="s">
        <v>49</v>
      </c>
      <c r="B678" s="52" t="s">
        <v>41</v>
      </c>
      <c r="C678" s="56">
        <f>'LƯƠNG Tx'!I80</f>
        <v>0</v>
      </c>
      <c r="D678" s="57" t="s">
        <v>50</v>
      </c>
      <c r="E678" s="453" t="s">
        <v>51</v>
      </c>
      <c r="F678" s="453"/>
      <c r="G678" s="453"/>
      <c r="H678" s="52" t="s">
        <v>41</v>
      </c>
      <c r="I678" s="454">
        <f>'LƯƠNG Tx'!I81</f>
        <v>0</v>
      </c>
      <c r="J678" s="454"/>
      <c r="K678" s="61" t="s">
        <v>46</v>
      </c>
      <c r="L678" s="62">
        <f>F675/L668*C678</f>
        <v>0</v>
      </c>
      <c r="M678" s="55" t="s">
        <v>49</v>
      </c>
      <c r="N678" s="52" t="s">
        <v>41</v>
      </c>
      <c r="O678" s="56">
        <f>'LƯƠNG Tx'!I82</f>
        <v>0</v>
      </c>
      <c r="P678" s="57" t="s">
        <v>50</v>
      </c>
      <c r="Q678" s="453" t="s">
        <v>51</v>
      </c>
      <c r="R678" s="453"/>
      <c r="S678" s="453"/>
      <c r="T678" s="52" t="s">
        <v>41</v>
      </c>
      <c r="U678" s="454">
        <f>'LƯƠNG Tx'!I83</f>
        <v>0</v>
      </c>
      <c r="V678" s="454"/>
      <c r="W678" s="61" t="s">
        <v>46</v>
      </c>
      <c r="X678" s="62">
        <f>R675/X668*O678</f>
        <v>0</v>
      </c>
    </row>
    <row r="679" spans="1:24" ht="18.75" customHeight="1">
      <c r="A679" s="55" t="s">
        <v>52</v>
      </c>
      <c r="B679" s="52" t="s">
        <v>41</v>
      </c>
      <c r="C679" s="56">
        <f>'LƯƠNG Tx'!J80</f>
        <v>0</v>
      </c>
      <c r="D679" s="57" t="s">
        <v>50</v>
      </c>
      <c r="E679" s="441" t="s">
        <v>53</v>
      </c>
      <c r="F679" s="441"/>
      <c r="G679" s="441"/>
      <c r="H679" s="52" t="s">
        <v>41</v>
      </c>
      <c r="I679" s="452">
        <f>$F$8/$L$1*C679</f>
        <v>0</v>
      </c>
      <c r="J679" s="452"/>
      <c r="K679" s="61" t="s">
        <v>46</v>
      </c>
      <c r="L679" s="62"/>
      <c r="M679" s="55" t="s">
        <v>52</v>
      </c>
      <c r="N679" s="52" t="s">
        <v>41</v>
      </c>
      <c r="O679" s="56">
        <f>'LƯƠNG Tx'!J82</f>
        <v>0</v>
      </c>
      <c r="P679" s="57" t="s">
        <v>50</v>
      </c>
      <c r="Q679" s="441" t="s">
        <v>53</v>
      </c>
      <c r="R679" s="441"/>
      <c r="S679" s="441"/>
      <c r="T679" s="52" t="s">
        <v>41</v>
      </c>
      <c r="U679" s="452">
        <f>$F$8/$L$1*O679</f>
        <v>0</v>
      </c>
      <c r="V679" s="452"/>
      <c r="W679" s="61" t="s">
        <v>46</v>
      </c>
      <c r="X679" s="62"/>
    </row>
    <row r="680" spans="1:24" ht="18.75" customHeight="1">
      <c r="A680" s="55" t="s">
        <v>54</v>
      </c>
      <c r="B680" s="52" t="s">
        <v>41</v>
      </c>
      <c r="C680" s="56">
        <f>'LƯƠNG Tx'!K80</f>
        <v>0</v>
      </c>
      <c r="D680" s="57" t="s">
        <v>50</v>
      </c>
      <c r="E680" s="451" t="s">
        <v>55</v>
      </c>
      <c r="F680" s="451"/>
      <c r="G680" s="451"/>
      <c r="H680" s="52" t="s">
        <v>41</v>
      </c>
      <c r="I680" s="452">
        <f>$F$8/$L$1*C680</f>
        <v>0</v>
      </c>
      <c r="J680" s="452"/>
      <c r="K680" s="61" t="s">
        <v>46</v>
      </c>
      <c r="L680" s="62"/>
      <c r="M680" s="55" t="s">
        <v>54</v>
      </c>
      <c r="N680" s="52" t="s">
        <v>41</v>
      </c>
      <c r="O680" s="56">
        <f>'LƯƠNG Tx'!K82</f>
        <v>0</v>
      </c>
      <c r="P680" s="57" t="s">
        <v>50</v>
      </c>
      <c r="Q680" s="451" t="s">
        <v>55</v>
      </c>
      <c r="R680" s="451"/>
      <c r="S680" s="451"/>
      <c r="T680" s="52" t="s">
        <v>41</v>
      </c>
      <c r="U680" s="452">
        <f>$F$8/$L$1*O680</f>
        <v>0</v>
      </c>
      <c r="V680" s="452"/>
      <c r="W680" s="61" t="s">
        <v>46</v>
      </c>
      <c r="X680" s="62"/>
    </row>
    <row r="681" spans="1:24" ht="18.75" customHeight="1">
      <c r="A681" s="55" t="s">
        <v>56</v>
      </c>
      <c r="B681" s="52" t="s">
        <v>41</v>
      </c>
      <c r="C681" s="56">
        <f>'LƯƠNG Tx'!L80</f>
        <v>0</v>
      </c>
      <c r="D681" s="57" t="s">
        <v>50</v>
      </c>
      <c r="E681" s="451" t="s">
        <v>57</v>
      </c>
      <c r="F681" s="451"/>
      <c r="G681" s="451"/>
      <c r="H681" s="52" t="s">
        <v>41</v>
      </c>
      <c r="I681" s="452">
        <f>$F$8/$L$1*C681</f>
        <v>0</v>
      </c>
      <c r="J681" s="452"/>
      <c r="K681" s="61" t="s">
        <v>46</v>
      </c>
      <c r="L681" s="62"/>
      <c r="M681" s="55" t="s">
        <v>56</v>
      </c>
      <c r="N681" s="52" t="s">
        <v>41</v>
      </c>
      <c r="O681" s="56">
        <f>'LƯƠNG Tx'!L82</f>
        <v>0</v>
      </c>
      <c r="P681" s="57" t="s">
        <v>50</v>
      </c>
      <c r="Q681" s="451" t="s">
        <v>57</v>
      </c>
      <c r="R681" s="451"/>
      <c r="S681" s="451"/>
      <c r="T681" s="52" t="s">
        <v>41</v>
      </c>
      <c r="U681" s="452">
        <f>$F$8/$L$1*O681</f>
        <v>0</v>
      </c>
      <c r="V681" s="452"/>
      <c r="W681" s="61" t="s">
        <v>46</v>
      </c>
      <c r="X681" s="62"/>
    </row>
    <row r="682" spans="1:24" ht="18.75" customHeight="1">
      <c r="A682" s="55" t="s">
        <v>58</v>
      </c>
      <c r="B682" s="52" t="s">
        <v>41</v>
      </c>
      <c r="C682" s="56">
        <f>'LƯƠNG Tx'!Q80</f>
        <v>0</v>
      </c>
      <c r="D682" s="57" t="s">
        <v>59</v>
      </c>
      <c r="E682" s="441" t="s">
        <v>60</v>
      </c>
      <c r="F682" s="441"/>
      <c r="G682" s="441"/>
      <c r="H682" s="52" t="s">
        <v>41</v>
      </c>
      <c r="I682" s="452">
        <f>'LƯƠNG Tx'!Q81</f>
        <v>0</v>
      </c>
      <c r="J682" s="452"/>
      <c r="K682" s="61" t="s">
        <v>46</v>
      </c>
      <c r="L682" s="62">
        <f>F675*C682/L668/8*1.5</f>
        <v>0</v>
      </c>
      <c r="M682" s="55" t="s">
        <v>58</v>
      </c>
      <c r="N682" s="52" t="s">
        <v>41</v>
      </c>
      <c r="O682" s="56">
        <f>'LƯƠNG Tx'!Q82</f>
        <v>0</v>
      </c>
      <c r="P682" s="57" t="s">
        <v>59</v>
      </c>
      <c r="Q682" s="441" t="s">
        <v>60</v>
      </c>
      <c r="R682" s="441"/>
      <c r="S682" s="441"/>
      <c r="T682" s="52" t="s">
        <v>41</v>
      </c>
      <c r="U682" s="452">
        <f>'LƯƠNG Tx'!Q83</f>
        <v>0</v>
      </c>
      <c r="V682" s="452"/>
      <c r="W682" s="61" t="s">
        <v>46</v>
      </c>
      <c r="X682" s="62">
        <f>R675*O682/X668/8*1.5</f>
        <v>0</v>
      </c>
    </row>
    <row r="683" spans="1:24" ht="18.75" customHeight="1">
      <c r="A683" s="440" t="s">
        <v>61</v>
      </c>
      <c r="B683" s="441"/>
      <c r="C683" s="56"/>
      <c r="D683" s="57" t="s">
        <v>50</v>
      </c>
      <c r="E683" s="441" t="s">
        <v>62</v>
      </c>
      <c r="F683" s="441"/>
      <c r="G683" s="441"/>
      <c r="H683" s="63" t="s">
        <v>41</v>
      </c>
      <c r="I683" s="452"/>
      <c r="J683" s="452"/>
      <c r="K683" s="61" t="s">
        <v>46</v>
      </c>
      <c r="L683" s="62"/>
      <c r="M683" s="440" t="s">
        <v>61</v>
      </c>
      <c r="N683" s="441"/>
      <c r="O683" s="56"/>
      <c r="P683" s="57" t="s">
        <v>50</v>
      </c>
      <c r="Q683" s="441" t="s">
        <v>62</v>
      </c>
      <c r="R683" s="441"/>
      <c r="S683" s="441"/>
      <c r="T683" s="63" t="s">
        <v>41</v>
      </c>
      <c r="U683" s="452"/>
      <c r="V683" s="452"/>
      <c r="W683" s="61" t="s">
        <v>46</v>
      </c>
      <c r="X683" s="62"/>
    </row>
    <row r="684" spans="1:24" ht="18.75" customHeight="1">
      <c r="A684" s="55" t="s">
        <v>63</v>
      </c>
      <c r="B684" s="52" t="s">
        <v>41</v>
      </c>
      <c r="C684" s="56"/>
      <c r="D684" s="57" t="s">
        <v>50</v>
      </c>
      <c r="E684" s="441" t="s">
        <v>64</v>
      </c>
      <c r="F684" s="441"/>
      <c r="G684" s="441"/>
      <c r="H684" s="52" t="s">
        <v>41</v>
      </c>
      <c r="I684" s="452"/>
      <c r="J684" s="452"/>
      <c r="K684" s="61" t="s">
        <v>46</v>
      </c>
      <c r="L684" s="62"/>
      <c r="M684" s="55" t="s">
        <v>63</v>
      </c>
      <c r="N684" s="52" t="s">
        <v>41</v>
      </c>
      <c r="O684" s="56"/>
      <c r="P684" s="57" t="s">
        <v>50</v>
      </c>
      <c r="Q684" s="441" t="s">
        <v>64</v>
      </c>
      <c r="R684" s="441"/>
      <c r="S684" s="441"/>
      <c r="T684" s="52" t="s">
        <v>41</v>
      </c>
      <c r="U684" s="452"/>
      <c r="V684" s="452"/>
      <c r="W684" s="61" t="s">
        <v>46</v>
      </c>
      <c r="X684" s="62"/>
    </row>
    <row r="685" spans="1:24" ht="18.75" customHeight="1">
      <c r="A685" s="64" t="s">
        <v>65</v>
      </c>
      <c r="B685" s="52"/>
      <c r="C685" s="56">
        <f>'LƯƠNG Tx'!M80</f>
        <v>0</v>
      </c>
      <c r="D685" s="57" t="s">
        <v>59</v>
      </c>
      <c r="E685" s="441" t="s">
        <v>66</v>
      </c>
      <c r="F685" s="441"/>
      <c r="G685" s="441"/>
      <c r="H685" s="52" t="s">
        <v>41</v>
      </c>
      <c r="I685" s="452">
        <f>$F$8*C685/8/$L$1</f>
        <v>0</v>
      </c>
      <c r="J685" s="452"/>
      <c r="K685" s="61" t="s">
        <v>46</v>
      </c>
      <c r="L685" s="62"/>
      <c r="M685" s="64" t="s">
        <v>65</v>
      </c>
      <c r="N685" s="52"/>
      <c r="O685" s="56">
        <f>'LƯƠNG Tx'!M82</f>
        <v>0</v>
      </c>
      <c r="P685" s="57" t="s">
        <v>59</v>
      </c>
      <c r="Q685" s="441" t="s">
        <v>66</v>
      </c>
      <c r="R685" s="441"/>
      <c r="S685" s="441"/>
      <c r="T685" s="52" t="s">
        <v>41</v>
      </c>
      <c r="U685" s="452">
        <f>$F$8*O685/8/$L$1</f>
        <v>0</v>
      </c>
      <c r="V685" s="452"/>
      <c r="W685" s="61" t="s">
        <v>46</v>
      </c>
      <c r="X685" s="62"/>
    </row>
    <row r="686" spans="1:24" ht="18.75" customHeight="1">
      <c r="A686" s="55" t="s">
        <v>167</v>
      </c>
      <c r="B686" s="52" t="s">
        <v>41</v>
      </c>
      <c r="C686" s="56"/>
      <c r="D686" s="57" t="s">
        <v>59</v>
      </c>
      <c r="E686" s="441" t="s">
        <v>73</v>
      </c>
      <c r="F686" s="441"/>
      <c r="G686" s="441"/>
      <c r="H686" s="52" t="s">
        <v>41</v>
      </c>
      <c r="I686" s="454"/>
      <c r="J686" s="454"/>
      <c r="K686" s="61" t="s">
        <v>46</v>
      </c>
      <c r="L686" s="62"/>
      <c r="M686" s="55" t="s">
        <v>167</v>
      </c>
      <c r="N686" s="52" t="s">
        <v>41</v>
      </c>
      <c r="O686" s="56"/>
      <c r="P686" s="57" t="s">
        <v>59</v>
      </c>
      <c r="Q686" s="441" t="s">
        <v>73</v>
      </c>
      <c r="R686" s="441"/>
      <c r="S686" s="441"/>
      <c r="T686" s="52" t="s">
        <v>41</v>
      </c>
      <c r="U686" s="454"/>
      <c r="V686" s="454"/>
      <c r="W686" s="61" t="s">
        <v>46</v>
      </c>
      <c r="X686" s="62"/>
    </row>
    <row r="687" spans="1:24" ht="18.75" customHeight="1">
      <c r="A687" s="55" t="s">
        <v>69</v>
      </c>
      <c r="B687" s="52" t="s">
        <v>41</v>
      </c>
      <c r="C687" s="56"/>
      <c r="D687" s="57" t="s">
        <v>70</v>
      </c>
      <c r="E687" s="53" t="s">
        <v>71</v>
      </c>
      <c r="F687" s="53"/>
      <c r="G687" s="53"/>
      <c r="H687" s="52" t="s">
        <v>41</v>
      </c>
      <c r="I687" s="452"/>
      <c r="J687" s="452"/>
      <c r="K687" s="61" t="s">
        <v>46</v>
      </c>
      <c r="L687" s="62">
        <f>+IF(L678-I678&lt;0,0,L678-I678)+IF(L682-I682&lt;0,0,L682-I682)</f>
        <v>0</v>
      </c>
      <c r="M687" s="55" t="s">
        <v>69</v>
      </c>
      <c r="N687" s="52" t="s">
        <v>41</v>
      </c>
      <c r="O687" s="56"/>
      <c r="P687" s="57" t="s">
        <v>70</v>
      </c>
      <c r="Q687" s="53" t="s">
        <v>71</v>
      </c>
      <c r="R687" s="53"/>
      <c r="S687" s="53"/>
      <c r="T687" s="52" t="s">
        <v>41</v>
      </c>
      <c r="U687" s="452"/>
      <c r="V687" s="452"/>
      <c r="W687" s="61" t="s">
        <v>46</v>
      </c>
      <c r="X687" s="62">
        <f>+IF(X678-U678&lt;0,0,X678-U678)+IF(X682-U682&lt;0,0,X682-U682)</f>
        <v>0</v>
      </c>
    </row>
    <row r="688" spans="1:24" ht="18.75" customHeight="1">
      <c r="A688" s="65" t="s">
        <v>164</v>
      </c>
      <c r="B688" s="66"/>
      <c r="C688" s="56"/>
      <c r="D688" s="57" t="s">
        <v>50</v>
      </c>
      <c r="E688" s="441" t="s">
        <v>165</v>
      </c>
      <c r="F688" s="441"/>
      <c r="G688" s="441"/>
      <c r="H688" s="52" t="s">
        <v>41</v>
      </c>
      <c r="I688" s="452"/>
      <c r="J688" s="452"/>
      <c r="K688" s="61" t="s">
        <v>46</v>
      </c>
      <c r="L688" s="62"/>
      <c r="M688" s="65" t="s">
        <v>164</v>
      </c>
      <c r="N688" s="66"/>
      <c r="O688" s="56"/>
      <c r="P688" s="57" t="s">
        <v>50</v>
      </c>
      <c r="Q688" s="441" t="s">
        <v>165</v>
      </c>
      <c r="R688" s="441"/>
      <c r="S688" s="441"/>
      <c r="T688" s="52" t="s">
        <v>41</v>
      </c>
      <c r="U688" s="452"/>
      <c r="V688" s="452"/>
      <c r="W688" s="61" t="s">
        <v>46</v>
      </c>
      <c r="X688" s="62"/>
    </row>
    <row r="689" spans="1:24" ht="18.75" customHeight="1">
      <c r="A689" s="460" t="s">
        <v>166</v>
      </c>
      <c r="B689" s="461"/>
      <c r="C689" s="56"/>
      <c r="D689" s="57"/>
      <c r="E689" s="58"/>
      <c r="F689" s="58"/>
      <c r="G689" s="58"/>
      <c r="H689" s="52" t="s">
        <v>41</v>
      </c>
      <c r="I689" s="452">
        <f>'LƯƠNG Tx'!P81</f>
        <v>0</v>
      </c>
      <c r="J689" s="452"/>
      <c r="K689" s="61" t="s">
        <v>46</v>
      </c>
      <c r="L689" s="62"/>
      <c r="M689" s="460" t="s">
        <v>166</v>
      </c>
      <c r="N689" s="461"/>
      <c r="O689" s="56"/>
      <c r="P689" s="57"/>
      <c r="Q689" s="58"/>
      <c r="R689" s="58"/>
      <c r="S689" s="58"/>
      <c r="T689" s="52" t="s">
        <v>41</v>
      </c>
      <c r="U689" s="452">
        <f>'LƯƠNG Tx'!P83</f>
        <v>0</v>
      </c>
      <c r="V689" s="452"/>
      <c r="W689" s="61" t="s">
        <v>46</v>
      </c>
      <c r="X689" s="62"/>
    </row>
    <row r="690" spans="1:24" ht="18.75" customHeight="1">
      <c r="A690" s="55" t="s">
        <v>75</v>
      </c>
      <c r="B690" s="52" t="s">
        <v>41</v>
      </c>
      <c r="C690" s="56"/>
      <c r="D690" s="57"/>
      <c r="E690" s="58" t="s">
        <v>76</v>
      </c>
      <c r="F690" s="58"/>
      <c r="G690" s="58"/>
      <c r="H690" s="52" t="s">
        <v>41</v>
      </c>
      <c r="I690" s="452">
        <f>L687</f>
        <v>0</v>
      </c>
      <c r="J690" s="452"/>
      <c r="K690" s="61" t="s">
        <v>46</v>
      </c>
      <c r="L690" s="62"/>
      <c r="M690" s="55" t="s">
        <v>75</v>
      </c>
      <c r="N690" s="52" t="s">
        <v>41</v>
      </c>
      <c r="O690" s="56"/>
      <c r="P690" s="57"/>
      <c r="Q690" s="58" t="s">
        <v>76</v>
      </c>
      <c r="R690" s="58"/>
      <c r="S690" s="58"/>
      <c r="T690" s="52" t="s">
        <v>41</v>
      </c>
      <c r="U690" s="452">
        <f>X687</f>
        <v>0</v>
      </c>
      <c r="V690" s="452"/>
      <c r="W690" s="61" t="s">
        <v>46</v>
      </c>
      <c r="X690" s="62"/>
    </row>
    <row r="691" spans="1:24" ht="18.75" customHeight="1">
      <c r="A691" s="456" t="s">
        <v>77</v>
      </c>
      <c r="B691" s="457"/>
      <c r="C691" s="457"/>
      <c r="D691" s="457"/>
      <c r="E691" s="457"/>
      <c r="F691" s="457"/>
      <c r="G691" s="52" t="s">
        <v>41</v>
      </c>
      <c r="H691" s="458">
        <f>I678+I679+I680+I681+I682+I685+I689+I690+I683+I684+I686+I687+I688+C689</f>
        <v>0</v>
      </c>
      <c r="I691" s="459"/>
      <c r="J691" s="459"/>
      <c r="K691" s="61" t="s">
        <v>46</v>
      </c>
      <c r="M691" s="456" t="s">
        <v>77</v>
      </c>
      <c r="N691" s="457"/>
      <c r="O691" s="457"/>
      <c r="P691" s="457"/>
      <c r="Q691" s="457"/>
      <c r="R691" s="457"/>
      <c r="S691" s="52" t="s">
        <v>41</v>
      </c>
      <c r="T691" s="458">
        <f>U678+U679+U680+U681+U682+U685+U689+U690+U683+U684+U686+U687+U688+O689</f>
        <v>0</v>
      </c>
      <c r="U691" s="459"/>
      <c r="V691" s="459"/>
      <c r="W691" s="61" t="s">
        <v>46</v>
      </c>
    </row>
    <row r="692" spans="1:24" ht="18.75" customHeight="1">
      <c r="A692" s="67"/>
      <c r="B692" s="68"/>
      <c r="C692" s="68"/>
      <c r="D692" s="68"/>
      <c r="E692" s="68"/>
      <c r="F692" s="68"/>
      <c r="G692" s="68"/>
      <c r="H692" s="68"/>
      <c r="I692" s="68"/>
      <c r="J692" s="68"/>
      <c r="K692" s="69"/>
      <c r="M692" s="67"/>
      <c r="N692" s="68"/>
      <c r="O692" s="68"/>
      <c r="P692" s="68"/>
      <c r="Q692" s="68"/>
      <c r="R692" s="68"/>
      <c r="S692" s="68"/>
      <c r="T692" s="68"/>
      <c r="U692" s="68"/>
      <c r="V692" s="68"/>
      <c r="W692" s="69"/>
    </row>
    <row r="693" spans="1:24" ht="18.75" customHeight="1">
      <c r="A693" s="468" t="s">
        <v>78</v>
      </c>
      <c r="B693" s="469"/>
      <c r="C693" s="469"/>
      <c r="D693" s="469"/>
      <c r="E693" s="469"/>
      <c r="F693" s="469"/>
      <c r="G693" s="52"/>
      <c r="H693" s="52"/>
      <c r="I693" s="52"/>
      <c r="J693" s="52"/>
      <c r="K693" s="61"/>
      <c r="M693" s="468" t="s">
        <v>78</v>
      </c>
      <c r="N693" s="469"/>
      <c r="O693" s="469"/>
      <c r="P693" s="469"/>
      <c r="Q693" s="469"/>
      <c r="R693" s="469"/>
      <c r="S693" s="52"/>
      <c r="T693" s="52"/>
      <c r="U693" s="52"/>
      <c r="V693" s="52"/>
      <c r="W693" s="61"/>
    </row>
    <row r="694" spans="1:24" ht="18.75" customHeight="1">
      <c r="A694" s="462" t="s">
        <v>79</v>
      </c>
      <c r="B694" s="463"/>
      <c r="C694" s="463"/>
      <c r="D694" s="463"/>
      <c r="E694" s="463"/>
      <c r="F694" s="463"/>
      <c r="G694" s="52" t="s">
        <v>41</v>
      </c>
      <c r="H694" s="470">
        <f>IF(($L$1-(C678+C679+C680+C681))&gt;12,0,F675*8%)</f>
        <v>0</v>
      </c>
      <c r="I694" s="470"/>
      <c r="J694" s="470"/>
      <c r="K694" s="61" t="s">
        <v>46</v>
      </c>
      <c r="M694" s="462" t="s">
        <v>79</v>
      </c>
      <c r="N694" s="463"/>
      <c r="O694" s="463"/>
      <c r="P694" s="463"/>
      <c r="Q694" s="463"/>
      <c r="R694" s="463"/>
      <c r="S694" s="52" t="s">
        <v>41</v>
      </c>
      <c r="T694" s="470">
        <f>IF(($L$1-(O678+O679+O680+O681))&gt;12,0,R675*8%)</f>
        <v>0</v>
      </c>
      <c r="U694" s="470"/>
      <c r="V694" s="470"/>
      <c r="W694" s="61" t="s">
        <v>46</v>
      </c>
    </row>
    <row r="695" spans="1:24" ht="18.75" customHeight="1">
      <c r="A695" s="462" t="s">
        <v>80</v>
      </c>
      <c r="B695" s="463"/>
      <c r="C695" s="463"/>
      <c r="D695" s="463"/>
      <c r="E695" s="463"/>
      <c r="F695" s="463"/>
      <c r="G695" s="52" t="s">
        <v>41</v>
      </c>
      <c r="H695" s="464">
        <f>IF(($L$1-(C678+C679+C680+C681))&gt;12,0,F675*1.5%)</f>
        <v>0</v>
      </c>
      <c r="I695" s="464"/>
      <c r="J695" s="464"/>
      <c r="K695" s="61" t="s">
        <v>46</v>
      </c>
      <c r="M695" s="462" t="s">
        <v>80</v>
      </c>
      <c r="N695" s="463"/>
      <c r="O695" s="463"/>
      <c r="P695" s="463"/>
      <c r="Q695" s="463"/>
      <c r="R695" s="463"/>
      <c r="S695" s="52" t="s">
        <v>41</v>
      </c>
      <c r="T695" s="464">
        <f>IF(($L$1-(O678+O679+O680+O681))&gt;12,0,R675*1.5%)</f>
        <v>0</v>
      </c>
      <c r="U695" s="464"/>
      <c r="V695" s="464"/>
      <c r="W695" s="61" t="s">
        <v>46</v>
      </c>
    </row>
    <row r="696" spans="1:24" ht="18.75" customHeight="1">
      <c r="A696" s="462" t="s">
        <v>81</v>
      </c>
      <c r="B696" s="463"/>
      <c r="C696" s="463"/>
      <c r="D696" s="463"/>
      <c r="E696" s="463"/>
      <c r="F696" s="463"/>
      <c r="G696" s="52" t="s">
        <v>41</v>
      </c>
      <c r="H696" s="464">
        <f>IF(($L$1-(C678+C679+C680+C681))&gt;12,0,F675*1%)</f>
        <v>0</v>
      </c>
      <c r="I696" s="464"/>
      <c r="J696" s="464"/>
      <c r="K696" s="61" t="s">
        <v>46</v>
      </c>
      <c r="M696" s="462" t="s">
        <v>81</v>
      </c>
      <c r="N696" s="463"/>
      <c r="O696" s="463"/>
      <c r="P696" s="463"/>
      <c r="Q696" s="463"/>
      <c r="R696" s="463"/>
      <c r="S696" s="52" t="s">
        <v>41</v>
      </c>
      <c r="T696" s="464">
        <f>IF(($L$1-(O678+O679+O680+O681))&gt;12,0,R675*1%)</f>
        <v>0</v>
      </c>
      <c r="U696" s="464"/>
      <c r="V696" s="464"/>
      <c r="W696" s="61" t="s">
        <v>46</v>
      </c>
    </row>
    <row r="697" spans="1:24" ht="18.75" customHeight="1">
      <c r="A697" s="462" t="s">
        <v>82</v>
      </c>
      <c r="B697" s="463"/>
      <c r="C697" s="463"/>
      <c r="D697" s="463"/>
      <c r="E697" s="463"/>
      <c r="F697" s="463"/>
      <c r="G697" s="52" t="s">
        <v>41</v>
      </c>
      <c r="H697" s="464">
        <v>0</v>
      </c>
      <c r="I697" s="464"/>
      <c r="J697" s="464"/>
      <c r="K697" s="61" t="s">
        <v>46</v>
      </c>
      <c r="M697" s="462" t="s">
        <v>82</v>
      </c>
      <c r="N697" s="463"/>
      <c r="O697" s="463"/>
      <c r="P697" s="463"/>
      <c r="Q697" s="463"/>
      <c r="R697" s="463"/>
      <c r="S697" s="52" t="s">
        <v>41</v>
      </c>
      <c r="T697" s="464">
        <v>0</v>
      </c>
      <c r="U697" s="464"/>
      <c r="V697" s="464"/>
      <c r="W697" s="61" t="s">
        <v>46</v>
      </c>
    </row>
    <row r="698" spans="1:24" ht="18.75" customHeight="1">
      <c r="A698" s="465" t="s">
        <v>83</v>
      </c>
      <c r="B698" s="466"/>
      <c r="C698" s="466"/>
      <c r="D698" s="466"/>
      <c r="E698" s="466"/>
      <c r="F698" s="466"/>
      <c r="G698" s="52" t="s">
        <v>41</v>
      </c>
      <c r="H698" s="467">
        <f>SUM(H694:J697)</f>
        <v>0</v>
      </c>
      <c r="I698" s="467"/>
      <c r="J698" s="467"/>
      <c r="K698" s="61" t="s">
        <v>46</v>
      </c>
      <c r="M698" s="465" t="s">
        <v>83</v>
      </c>
      <c r="N698" s="466"/>
      <c r="O698" s="466"/>
      <c r="P698" s="466"/>
      <c r="Q698" s="466"/>
      <c r="R698" s="466"/>
      <c r="S698" s="52" t="s">
        <v>41</v>
      </c>
      <c r="T698" s="467">
        <f>SUM(T694:V697)</f>
        <v>0</v>
      </c>
      <c r="U698" s="467"/>
      <c r="V698" s="467"/>
      <c r="W698" s="61" t="s">
        <v>46</v>
      </c>
    </row>
    <row r="699" spans="1:24" ht="18.75" customHeight="1">
      <c r="A699" s="462" t="s">
        <v>84</v>
      </c>
      <c r="B699" s="463"/>
      <c r="C699" s="463"/>
      <c r="D699" s="463"/>
      <c r="E699" s="463"/>
      <c r="F699" s="463"/>
      <c r="G699" s="52" t="s">
        <v>41</v>
      </c>
      <c r="H699" s="475">
        <f>ROUND(H691-H698,-2)</f>
        <v>0</v>
      </c>
      <c r="I699" s="475"/>
      <c r="J699" s="475"/>
      <c r="K699" s="61" t="s">
        <v>46</v>
      </c>
      <c r="M699" s="462" t="s">
        <v>84</v>
      </c>
      <c r="N699" s="463"/>
      <c r="O699" s="463"/>
      <c r="P699" s="463"/>
      <c r="Q699" s="463"/>
      <c r="R699" s="463"/>
      <c r="S699" s="52" t="s">
        <v>41</v>
      </c>
      <c r="T699" s="475">
        <f>ROUND(T691-T698,-2)</f>
        <v>0</v>
      </c>
      <c r="U699" s="475"/>
      <c r="V699" s="475"/>
      <c r="W699" s="61" t="s">
        <v>46</v>
      </c>
    </row>
    <row r="700" spans="1:24" ht="18.75" customHeight="1">
      <c r="A700" s="70"/>
      <c r="B700" s="71"/>
      <c r="C700" s="71"/>
      <c r="D700" s="71"/>
      <c r="E700" s="71"/>
      <c r="F700" s="71"/>
      <c r="G700" s="71"/>
      <c r="H700" s="71"/>
      <c r="I700" s="71"/>
      <c r="J700" s="71"/>
      <c r="K700" s="72"/>
      <c r="M700" s="70"/>
      <c r="N700" s="71"/>
      <c r="O700" s="71"/>
      <c r="P700" s="71"/>
      <c r="Q700" s="71"/>
      <c r="R700" s="71"/>
      <c r="S700" s="71"/>
      <c r="T700" s="71"/>
      <c r="U700" s="71"/>
      <c r="V700" s="71"/>
      <c r="W700" s="72"/>
    </row>
    <row r="701" spans="1:24" ht="18.75" customHeight="1">
      <c r="A701" s="73"/>
      <c r="B701" s="52"/>
      <c r="C701" s="52"/>
      <c r="D701" s="52"/>
      <c r="E701" s="52"/>
      <c r="F701" s="52"/>
      <c r="G701" s="52"/>
      <c r="H701" s="52"/>
      <c r="I701" s="472" t="s">
        <v>85</v>
      </c>
      <c r="J701" s="472"/>
      <c r="K701" s="476"/>
      <c r="M701" s="73"/>
      <c r="N701" s="52"/>
      <c r="O701" s="52"/>
      <c r="P701" s="52"/>
      <c r="Q701" s="52"/>
      <c r="R701" s="52"/>
      <c r="S701" s="52"/>
      <c r="T701" s="52"/>
      <c r="U701" s="472" t="s">
        <v>85</v>
      </c>
      <c r="V701" s="472"/>
      <c r="W701" s="476"/>
    </row>
    <row r="702" spans="1:24" ht="18.75" customHeight="1">
      <c r="A702" s="73"/>
      <c r="B702" s="471"/>
      <c r="C702" s="472"/>
      <c r="D702" s="472"/>
      <c r="E702" s="472"/>
      <c r="F702" s="52"/>
      <c r="G702" s="52"/>
      <c r="H702" s="52"/>
      <c r="I702" s="52"/>
      <c r="J702" s="52"/>
      <c r="K702" s="54"/>
      <c r="M702" s="73"/>
      <c r="N702" s="471"/>
      <c r="O702" s="472"/>
      <c r="P702" s="472"/>
      <c r="Q702" s="472"/>
      <c r="R702" s="52"/>
      <c r="S702" s="52"/>
      <c r="T702" s="52"/>
      <c r="U702" s="52"/>
      <c r="V702" s="52"/>
      <c r="W702" s="54"/>
    </row>
    <row r="703" spans="1:24" ht="18.75" customHeight="1" thickBot="1">
      <c r="A703" s="75"/>
      <c r="B703" s="76"/>
      <c r="C703" s="76"/>
      <c r="D703" s="76"/>
      <c r="E703" s="76"/>
      <c r="F703" s="76"/>
      <c r="G703" s="76"/>
      <c r="H703" s="76"/>
      <c r="I703" s="473" t="s">
        <v>86</v>
      </c>
      <c r="J703" s="473"/>
      <c r="K703" s="474"/>
      <c r="M703" s="75"/>
      <c r="N703" s="76"/>
      <c r="O703" s="76"/>
      <c r="P703" s="76"/>
      <c r="Q703" s="76"/>
      <c r="R703" s="76"/>
      <c r="S703" s="76"/>
      <c r="T703" s="76"/>
      <c r="U703" s="473" t="s">
        <v>86</v>
      </c>
      <c r="V703" s="473"/>
      <c r="W703" s="474"/>
    </row>
    <row r="704" spans="1:24" ht="18.75" customHeight="1" thickTop="1" thickBot="1"/>
    <row r="705" spans="1:24" ht="18.75" customHeight="1" thickTop="1">
      <c r="A705" s="445" t="s">
        <v>172</v>
      </c>
      <c r="B705" s="446"/>
      <c r="C705" s="446"/>
      <c r="D705" s="446"/>
      <c r="E705" s="446"/>
      <c r="F705" s="446"/>
      <c r="G705" s="446"/>
      <c r="H705" s="446"/>
      <c r="I705" s="446"/>
      <c r="J705" s="446"/>
      <c r="K705" s="447"/>
      <c r="L705" s="48">
        <v>26</v>
      </c>
      <c r="M705" s="445" t="s">
        <v>172</v>
      </c>
      <c r="N705" s="446"/>
      <c r="O705" s="446"/>
      <c r="P705" s="446"/>
      <c r="Q705" s="446"/>
      <c r="R705" s="446"/>
      <c r="S705" s="446"/>
      <c r="T705" s="446"/>
      <c r="U705" s="446"/>
      <c r="V705" s="446"/>
      <c r="W705" s="447"/>
      <c r="X705" s="48">
        <v>26</v>
      </c>
    </row>
    <row r="706" spans="1:24" ht="18.75" customHeight="1">
      <c r="A706" s="49" t="s">
        <v>125</v>
      </c>
      <c r="B706" s="50"/>
      <c r="C706" s="50"/>
      <c r="D706" s="50"/>
      <c r="E706" s="50"/>
      <c r="F706" s="50"/>
      <c r="G706" s="50"/>
      <c r="H706" s="50"/>
      <c r="I706" s="50"/>
      <c r="J706" s="50"/>
      <c r="K706" s="51"/>
      <c r="M706" s="49" t="s">
        <v>126</v>
      </c>
      <c r="N706" s="50"/>
      <c r="O706" s="50"/>
      <c r="P706" s="50"/>
      <c r="Q706" s="50"/>
      <c r="R706" s="50"/>
      <c r="S706" s="50"/>
      <c r="T706" s="50"/>
      <c r="U706" s="50"/>
      <c r="V706" s="50"/>
      <c r="W706" s="51"/>
    </row>
    <row r="707" spans="1:24" ht="18.75" customHeight="1">
      <c r="A707" s="448" t="s">
        <v>39</v>
      </c>
      <c r="B707" s="449"/>
      <c r="C707" s="449"/>
      <c r="D707" s="449"/>
      <c r="E707" s="449"/>
      <c r="F707" s="449"/>
      <c r="G707" s="449"/>
      <c r="H707" s="449"/>
      <c r="I707" s="449"/>
      <c r="J707" s="449"/>
      <c r="K707" s="450"/>
      <c r="M707" s="448" t="s">
        <v>39</v>
      </c>
      <c r="N707" s="449"/>
      <c r="O707" s="449"/>
      <c r="P707" s="449"/>
      <c r="Q707" s="449"/>
      <c r="R707" s="449"/>
      <c r="S707" s="449"/>
      <c r="T707" s="449"/>
      <c r="U707" s="449"/>
      <c r="V707" s="449"/>
      <c r="W707" s="450"/>
    </row>
    <row r="708" spans="1:24" ht="18.75" customHeight="1">
      <c r="A708" s="440" t="s">
        <v>40</v>
      </c>
      <c r="B708" s="441"/>
      <c r="C708" s="441"/>
      <c r="D708" s="441"/>
      <c r="E708" s="52" t="s">
        <v>41</v>
      </c>
      <c r="F708" s="442">
        <f>'Bang TH nop'!B85</f>
        <v>0</v>
      </c>
      <c r="G708" s="441"/>
      <c r="H708" s="441"/>
      <c r="I708" s="441"/>
      <c r="J708" s="441"/>
      <c r="K708" s="444"/>
      <c r="M708" s="440" t="s">
        <v>40</v>
      </c>
      <c r="N708" s="441"/>
      <c r="O708" s="441"/>
      <c r="P708" s="441"/>
      <c r="Q708" s="52" t="s">
        <v>41</v>
      </c>
      <c r="R708" s="442">
        <f>'Bang TH nop'!B87</f>
        <v>0</v>
      </c>
      <c r="S708" s="441"/>
      <c r="T708" s="441"/>
      <c r="U708" s="441"/>
      <c r="V708" s="441"/>
      <c r="W708" s="444"/>
    </row>
    <row r="709" spans="1:24" ht="18.75" customHeight="1">
      <c r="A709" s="440" t="s">
        <v>42</v>
      </c>
      <c r="B709" s="441"/>
      <c r="C709" s="441"/>
      <c r="D709" s="441"/>
      <c r="E709" s="52" t="s">
        <v>41</v>
      </c>
      <c r="F709" s="442">
        <f>'Bang TH nop'!C85</f>
        <v>0</v>
      </c>
      <c r="G709" s="442"/>
      <c r="H709" s="442"/>
      <c r="I709" s="442"/>
      <c r="J709" s="442"/>
      <c r="K709" s="443"/>
      <c r="M709" s="440" t="s">
        <v>42</v>
      </c>
      <c r="N709" s="441"/>
      <c r="O709" s="441"/>
      <c r="P709" s="441"/>
      <c r="Q709" s="52" t="s">
        <v>41</v>
      </c>
      <c r="R709" s="442">
        <f>'Bang TH nop'!C87</f>
        <v>0</v>
      </c>
      <c r="S709" s="442"/>
      <c r="T709" s="442"/>
      <c r="U709" s="442"/>
      <c r="V709" s="442"/>
      <c r="W709" s="443"/>
    </row>
    <row r="710" spans="1:24" ht="18.75" customHeight="1">
      <c r="A710" s="440" t="s">
        <v>43</v>
      </c>
      <c r="B710" s="441"/>
      <c r="C710" s="441"/>
      <c r="D710" s="441"/>
      <c r="E710" s="52" t="s">
        <v>41</v>
      </c>
      <c r="F710" s="441" t="str">
        <f>+$L$2</f>
        <v xml:space="preserve">Tổ  </v>
      </c>
      <c r="G710" s="441"/>
      <c r="H710" s="441"/>
      <c r="I710" s="441"/>
      <c r="J710" s="441"/>
      <c r="K710" s="444"/>
      <c r="M710" s="440" t="s">
        <v>43</v>
      </c>
      <c r="N710" s="441"/>
      <c r="O710" s="441"/>
      <c r="P710" s="441"/>
      <c r="Q710" s="52" t="s">
        <v>41</v>
      </c>
      <c r="R710" s="441" t="str">
        <f>+$L$2</f>
        <v xml:space="preserve">Tổ  </v>
      </c>
      <c r="S710" s="441"/>
      <c r="T710" s="441"/>
      <c r="U710" s="441"/>
      <c r="V710" s="441"/>
      <c r="W710" s="444"/>
    </row>
    <row r="711" spans="1:24" ht="18.75" customHeight="1">
      <c r="A711" s="448" t="s">
        <v>44</v>
      </c>
      <c r="B711" s="449"/>
      <c r="C711" s="449"/>
      <c r="D711" s="449"/>
      <c r="E711" s="449"/>
      <c r="F711" s="449"/>
      <c r="G711" s="449"/>
      <c r="H711" s="449"/>
      <c r="I711" s="449"/>
      <c r="J711" s="449"/>
      <c r="K711" s="450"/>
      <c r="M711" s="448" t="s">
        <v>44</v>
      </c>
      <c r="N711" s="449"/>
      <c r="O711" s="449"/>
      <c r="P711" s="449"/>
      <c r="Q711" s="449"/>
      <c r="R711" s="449"/>
      <c r="S711" s="449"/>
      <c r="T711" s="449"/>
      <c r="U711" s="449"/>
      <c r="V711" s="449"/>
      <c r="W711" s="450"/>
    </row>
    <row r="712" spans="1:24" ht="18.75" customHeight="1">
      <c r="A712" s="440" t="s">
        <v>45</v>
      </c>
      <c r="B712" s="441"/>
      <c r="C712" s="441"/>
      <c r="D712" s="441"/>
      <c r="E712" s="52" t="s">
        <v>41</v>
      </c>
      <c r="F712" s="455">
        <f>VLOOKUP(F709,'Bang TH nop'!$C$9:$AP$266,29,0)</f>
        <v>0</v>
      </c>
      <c r="G712" s="455"/>
      <c r="H712" s="455"/>
      <c r="I712" s="455"/>
      <c r="J712" s="52" t="s">
        <v>46</v>
      </c>
      <c r="K712" s="54"/>
      <c r="M712" s="440" t="s">
        <v>45</v>
      </c>
      <c r="N712" s="441"/>
      <c r="O712" s="441"/>
      <c r="P712" s="441"/>
      <c r="Q712" s="52" t="s">
        <v>41</v>
      </c>
      <c r="R712" s="455">
        <f>VLOOKUP(R709,'Bang TH nop'!$C$9:$AP$266,29,0)</f>
        <v>0</v>
      </c>
      <c r="S712" s="455"/>
      <c r="T712" s="455"/>
      <c r="U712" s="455"/>
      <c r="V712" s="52" t="s">
        <v>46</v>
      </c>
      <c r="W712" s="54"/>
    </row>
    <row r="713" spans="1:24" ht="18.75" customHeight="1">
      <c r="A713" s="55" t="s">
        <v>47</v>
      </c>
      <c r="B713" s="52"/>
      <c r="C713" s="56"/>
      <c r="D713" s="57"/>
      <c r="E713" s="58"/>
      <c r="F713" s="58"/>
      <c r="G713" s="58"/>
      <c r="H713" s="52"/>
      <c r="I713" s="59">
        <f>'LƯƠNG Tx'!F85</f>
        <v>0</v>
      </c>
      <c r="J713" s="60"/>
      <c r="K713" s="61"/>
      <c r="M713" s="55" t="s">
        <v>47</v>
      </c>
      <c r="N713" s="52"/>
      <c r="O713" s="56"/>
      <c r="P713" s="57"/>
      <c r="Q713" s="58"/>
      <c r="R713" s="58"/>
      <c r="S713" s="58"/>
      <c r="T713" s="52"/>
      <c r="U713" s="59">
        <f>'LƯƠNG Tx'!F87</f>
        <v>0</v>
      </c>
      <c r="V713" s="60"/>
      <c r="W713" s="61"/>
    </row>
    <row r="714" spans="1:24" ht="18.75" customHeight="1">
      <c r="A714" s="55" t="s">
        <v>48</v>
      </c>
      <c r="B714" s="52"/>
      <c r="C714" s="56"/>
      <c r="D714" s="57"/>
      <c r="E714" s="58"/>
      <c r="F714" s="58"/>
      <c r="G714" s="58"/>
      <c r="H714" s="52"/>
      <c r="I714" s="59" t="e">
        <f>I715/C715/8</f>
        <v>#DIV/0!</v>
      </c>
      <c r="J714" s="60"/>
      <c r="K714" s="61"/>
      <c r="M714" s="55" t="s">
        <v>48</v>
      </c>
      <c r="N714" s="52"/>
      <c r="O714" s="56"/>
      <c r="P714" s="57"/>
      <c r="Q714" s="58"/>
      <c r="R714" s="58"/>
      <c r="S714" s="58"/>
      <c r="T714" s="52"/>
      <c r="U714" s="59" t="e">
        <f>U715/O715/8</f>
        <v>#DIV/0!</v>
      </c>
      <c r="V714" s="60"/>
      <c r="W714" s="61"/>
    </row>
    <row r="715" spans="1:24" ht="18.75" customHeight="1">
      <c r="A715" s="55" t="s">
        <v>49</v>
      </c>
      <c r="B715" s="52" t="s">
        <v>41</v>
      </c>
      <c r="C715" s="56">
        <f>'LƯƠNG Tx'!I84</f>
        <v>0</v>
      </c>
      <c r="D715" s="57" t="s">
        <v>50</v>
      </c>
      <c r="E715" s="453" t="s">
        <v>51</v>
      </c>
      <c r="F715" s="453"/>
      <c r="G715" s="453"/>
      <c r="H715" s="52" t="s">
        <v>41</v>
      </c>
      <c r="I715" s="454">
        <f>'LƯƠNG Tx'!I85</f>
        <v>0</v>
      </c>
      <c r="J715" s="454"/>
      <c r="K715" s="61" t="s">
        <v>46</v>
      </c>
      <c r="L715" s="62">
        <f>F712/L705*C715</f>
        <v>0</v>
      </c>
      <c r="M715" s="55" t="s">
        <v>49</v>
      </c>
      <c r="N715" s="52" t="s">
        <v>41</v>
      </c>
      <c r="O715" s="56">
        <f>'LƯƠNG Tx'!I86</f>
        <v>0</v>
      </c>
      <c r="P715" s="57" t="s">
        <v>50</v>
      </c>
      <c r="Q715" s="453" t="s">
        <v>51</v>
      </c>
      <c r="R715" s="453"/>
      <c r="S715" s="453"/>
      <c r="T715" s="52" t="s">
        <v>41</v>
      </c>
      <c r="U715" s="454">
        <f>'LƯƠNG Tx'!I87</f>
        <v>0</v>
      </c>
      <c r="V715" s="454"/>
      <c r="W715" s="61" t="s">
        <v>46</v>
      </c>
      <c r="X715" s="62">
        <f>R712/X705*O715</f>
        <v>0</v>
      </c>
    </row>
    <row r="716" spans="1:24" ht="18.75" customHeight="1">
      <c r="A716" s="55" t="s">
        <v>52</v>
      </c>
      <c r="B716" s="52" t="s">
        <v>41</v>
      </c>
      <c r="C716" s="56">
        <f>'LƯƠNG Tx'!J84</f>
        <v>0</v>
      </c>
      <c r="D716" s="57" t="s">
        <v>50</v>
      </c>
      <c r="E716" s="441" t="s">
        <v>53</v>
      </c>
      <c r="F716" s="441"/>
      <c r="G716" s="441"/>
      <c r="H716" s="52" t="s">
        <v>41</v>
      </c>
      <c r="I716" s="452">
        <f>$F$8/$L$1*C716</f>
        <v>0</v>
      </c>
      <c r="J716" s="452"/>
      <c r="K716" s="61" t="s">
        <v>46</v>
      </c>
      <c r="L716" s="62"/>
      <c r="M716" s="55" t="s">
        <v>52</v>
      </c>
      <c r="N716" s="52" t="s">
        <v>41</v>
      </c>
      <c r="O716" s="56">
        <f>'LƯƠNG Tx'!J86</f>
        <v>0</v>
      </c>
      <c r="P716" s="57" t="s">
        <v>50</v>
      </c>
      <c r="Q716" s="441" t="s">
        <v>53</v>
      </c>
      <c r="R716" s="441"/>
      <c r="S716" s="441"/>
      <c r="T716" s="52" t="s">
        <v>41</v>
      </c>
      <c r="U716" s="452">
        <f>$F$8/$L$1*O716</f>
        <v>0</v>
      </c>
      <c r="V716" s="452"/>
      <c r="W716" s="61" t="s">
        <v>46</v>
      </c>
      <c r="X716" s="62"/>
    </row>
    <row r="717" spans="1:24" ht="18.75" customHeight="1">
      <c r="A717" s="55" t="s">
        <v>54</v>
      </c>
      <c r="B717" s="52" t="s">
        <v>41</v>
      </c>
      <c r="C717" s="56">
        <f>'LƯƠNG Tx'!K84</f>
        <v>0</v>
      </c>
      <c r="D717" s="57" t="s">
        <v>50</v>
      </c>
      <c r="E717" s="451" t="s">
        <v>55</v>
      </c>
      <c r="F717" s="451"/>
      <c r="G717" s="451"/>
      <c r="H717" s="52" t="s">
        <v>41</v>
      </c>
      <c r="I717" s="452">
        <f>$F$8/$L$1*C717</f>
        <v>0</v>
      </c>
      <c r="J717" s="452"/>
      <c r="K717" s="61" t="s">
        <v>46</v>
      </c>
      <c r="L717" s="62"/>
      <c r="M717" s="55" t="s">
        <v>54</v>
      </c>
      <c r="N717" s="52" t="s">
        <v>41</v>
      </c>
      <c r="O717" s="56">
        <f>'LƯƠNG Tx'!K86</f>
        <v>0</v>
      </c>
      <c r="P717" s="57" t="s">
        <v>50</v>
      </c>
      <c r="Q717" s="451" t="s">
        <v>55</v>
      </c>
      <c r="R717" s="451"/>
      <c r="S717" s="451"/>
      <c r="T717" s="52" t="s">
        <v>41</v>
      </c>
      <c r="U717" s="452">
        <f>$F$8/$L$1*O717</f>
        <v>0</v>
      </c>
      <c r="V717" s="452"/>
      <c r="W717" s="61" t="s">
        <v>46</v>
      </c>
      <c r="X717" s="62"/>
    </row>
    <row r="718" spans="1:24" ht="18.75" customHeight="1">
      <c r="A718" s="55" t="s">
        <v>56</v>
      </c>
      <c r="B718" s="52" t="s">
        <v>41</v>
      </c>
      <c r="C718" s="56">
        <f>'LƯƠNG Tx'!K84</f>
        <v>0</v>
      </c>
      <c r="D718" s="57" t="s">
        <v>50</v>
      </c>
      <c r="E718" s="451" t="s">
        <v>57</v>
      </c>
      <c r="F718" s="451"/>
      <c r="G718" s="451"/>
      <c r="H718" s="52" t="s">
        <v>41</v>
      </c>
      <c r="I718" s="452">
        <f>$F$8/$L$1*C718</f>
        <v>0</v>
      </c>
      <c r="J718" s="452"/>
      <c r="K718" s="61" t="s">
        <v>46</v>
      </c>
      <c r="L718" s="62"/>
      <c r="M718" s="55" t="s">
        <v>56</v>
      </c>
      <c r="N718" s="52" t="s">
        <v>41</v>
      </c>
      <c r="O718" s="56">
        <f>'LƯƠNG Tx'!L86</f>
        <v>0</v>
      </c>
      <c r="P718" s="57" t="s">
        <v>50</v>
      </c>
      <c r="Q718" s="451" t="s">
        <v>57</v>
      </c>
      <c r="R718" s="451"/>
      <c r="S718" s="451"/>
      <c r="T718" s="52" t="s">
        <v>41</v>
      </c>
      <c r="U718" s="452">
        <f>$F$8/$L$1*O718</f>
        <v>0</v>
      </c>
      <c r="V718" s="452"/>
      <c r="W718" s="61" t="s">
        <v>46</v>
      </c>
      <c r="X718" s="62"/>
    </row>
    <row r="719" spans="1:24" ht="18.75" customHeight="1">
      <c r="A719" s="55" t="s">
        <v>58</v>
      </c>
      <c r="B719" s="52" t="s">
        <v>41</v>
      </c>
      <c r="C719" s="56">
        <f>'LƯƠNG Tx'!Q84</f>
        <v>0</v>
      </c>
      <c r="D719" s="57" t="s">
        <v>59</v>
      </c>
      <c r="E719" s="441" t="s">
        <v>60</v>
      </c>
      <c r="F719" s="441"/>
      <c r="G719" s="441"/>
      <c r="H719" s="52" t="s">
        <v>41</v>
      </c>
      <c r="I719" s="452">
        <f>'LƯƠNG Tx'!Q85</f>
        <v>0</v>
      </c>
      <c r="J719" s="452"/>
      <c r="K719" s="61" t="s">
        <v>46</v>
      </c>
      <c r="L719" s="62">
        <f>F712*C719/L705/8*1.5</f>
        <v>0</v>
      </c>
      <c r="M719" s="55" t="s">
        <v>58</v>
      </c>
      <c r="N719" s="52" t="s">
        <v>41</v>
      </c>
      <c r="O719" s="56">
        <f>'LƯƠNG Tx'!Q86</f>
        <v>0</v>
      </c>
      <c r="P719" s="57" t="s">
        <v>59</v>
      </c>
      <c r="Q719" s="441" t="s">
        <v>60</v>
      </c>
      <c r="R719" s="441"/>
      <c r="S719" s="441"/>
      <c r="T719" s="52" t="s">
        <v>41</v>
      </c>
      <c r="U719" s="452">
        <f>'LƯƠNG Tx'!Q87</f>
        <v>0</v>
      </c>
      <c r="V719" s="452"/>
      <c r="W719" s="61" t="s">
        <v>46</v>
      </c>
      <c r="X719" s="62">
        <f>R712*O719/X705/8*1.5</f>
        <v>0</v>
      </c>
    </row>
    <row r="720" spans="1:24" ht="18.75" customHeight="1">
      <c r="A720" s="440" t="s">
        <v>61</v>
      </c>
      <c r="B720" s="441"/>
      <c r="C720" s="56"/>
      <c r="D720" s="57" t="s">
        <v>50</v>
      </c>
      <c r="E720" s="441" t="s">
        <v>62</v>
      </c>
      <c r="F720" s="441"/>
      <c r="G720" s="441"/>
      <c r="H720" s="63" t="s">
        <v>41</v>
      </c>
      <c r="I720" s="452"/>
      <c r="J720" s="452"/>
      <c r="K720" s="61" t="s">
        <v>46</v>
      </c>
      <c r="L720" s="62"/>
      <c r="M720" s="440" t="s">
        <v>61</v>
      </c>
      <c r="N720" s="441"/>
      <c r="O720" s="56"/>
      <c r="P720" s="57" t="s">
        <v>50</v>
      </c>
      <c r="Q720" s="441" t="s">
        <v>62</v>
      </c>
      <c r="R720" s="441"/>
      <c r="S720" s="441"/>
      <c r="T720" s="63" t="s">
        <v>41</v>
      </c>
      <c r="U720" s="452"/>
      <c r="V720" s="452"/>
      <c r="W720" s="61" t="s">
        <v>46</v>
      </c>
      <c r="X720" s="62"/>
    </row>
    <row r="721" spans="1:24" ht="18.75" customHeight="1">
      <c r="A721" s="55" t="s">
        <v>63</v>
      </c>
      <c r="B721" s="52" t="s">
        <v>41</v>
      </c>
      <c r="C721" s="56"/>
      <c r="D721" s="57" t="s">
        <v>50</v>
      </c>
      <c r="E721" s="441" t="s">
        <v>64</v>
      </c>
      <c r="F721" s="441"/>
      <c r="G721" s="441"/>
      <c r="H721" s="52" t="s">
        <v>41</v>
      </c>
      <c r="I721" s="452"/>
      <c r="J721" s="452"/>
      <c r="K721" s="61" t="s">
        <v>46</v>
      </c>
      <c r="L721" s="62"/>
      <c r="M721" s="55" t="s">
        <v>63</v>
      </c>
      <c r="N721" s="52" t="s">
        <v>41</v>
      </c>
      <c r="O721" s="56"/>
      <c r="P721" s="57" t="s">
        <v>50</v>
      </c>
      <c r="Q721" s="441" t="s">
        <v>64</v>
      </c>
      <c r="R721" s="441"/>
      <c r="S721" s="441"/>
      <c r="T721" s="52" t="s">
        <v>41</v>
      </c>
      <c r="U721" s="452"/>
      <c r="V721" s="452"/>
      <c r="W721" s="61" t="s">
        <v>46</v>
      </c>
      <c r="X721" s="62"/>
    </row>
    <row r="722" spans="1:24" ht="18.75" customHeight="1">
      <c r="A722" s="64" t="s">
        <v>65</v>
      </c>
      <c r="B722" s="52"/>
      <c r="C722" s="56">
        <f>'LƯƠNG Tx'!M84</f>
        <v>0</v>
      </c>
      <c r="D722" s="57" t="s">
        <v>59</v>
      </c>
      <c r="E722" s="441" t="s">
        <v>66</v>
      </c>
      <c r="F722" s="441"/>
      <c r="G722" s="441"/>
      <c r="H722" s="52" t="s">
        <v>41</v>
      </c>
      <c r="I722" s="452">
        <f>$F$8*C722/8/$L$1</f>
        <v>0</v>
      </c>
      <c r="J722" s="452"/>
      <c r="K722" s="61" t="s">
        <v>46</v>
      </c>
      <c r="L722" s="62"/>
      <c r="M722" s="64" t="s">
        <v>65</v>
      </c>
      <c r="N722" s="52"/>
      <c r="O722" s="56">
        <f>'LƯƠNG Tx'!M86</f>
        <v>0</v>
      </c>
      <c r="P722" s="57" t="s">
        <v>59</v>
      </c>
      <c r="Q722" s="441" t="s">
        <v>66</v>
      </c>
      <c r="R722" s="441"/>
      <c r="S722" s="441"/>
      <c r="T722" s="52" t="s">
        <v>41</v>
      </c>
      <c r="U722" s="452">
        <f>$F$8*O722/8/$L$1</f>
        <v>0</v>
      </c>
      <c r="V722" s="452"/>
      <c r="W722" s="61" t="s">
        <v>46</v>
      </c>
      <c r="X722" s="62"/>
    </row>
    <row r="723" spans="1:24" ht="18.75" customHeight="1">
      <c r="A723" s="55" t="s">
        <v>67</v>
      </c>
      <c r="B723" s="52" t="s">
        <v>41</v>
      </c>
      <c r="C723" s="56"/>
      <c r="D723" s="57" t="s">
        <v>59</v>
      </c>
      <c r="E723" s="441" t="s">
        <v>68</v>
      </c>
      <c r="F723" s="441"/>
      <c r="G723" s="441"/>
      <c r="H723" s="52" t="s">
        <v>41</v>
      </c>
      <c r="I723" s="454"/>
      <c r="J723" s="454"/>
      <c r="K723" s="61" t="s">
        <v>46</v>
      </c>
      <c r="L723" s="62"/>
      <c r="M723" s="55" t="s">
        <v>67</v>
      </c>
      <c r="N723" s="52" t="s">
        <v>41</v>
      </c>
      <c r="O723" s="56"/>
      <c r="P723" s="57" t="s">
        <v>59</v>
      </c>
      <c r="Q723" s="441" t="s">
        <v>68</v>
      </c>
      <c r="R723" s="441"/>
      <c r="S723" s="441"/>
      <c r="T723" s="52" t="s">
        <v>41</v>
      </c>
      <c r="U723" s="454"/>
      <c r="V723" s="454"/>
      <c r="W723" s="61" t="s">
        <v>46</v>
      </c>
      <c r="X723" s="62"/>
    </row>
    <row r="724" spans="1:24" ht="18.75" customHeight="1">
      <c r="A724" s="55" t="s">
        <v>69</v>
      </c>
      <c r="B724" s="52" t="s">
        <v>41</v>
      </c>
      <c r="C724" s="56"/>
      <c r="D724" s="57" t="s">
        <v>70</v>
      </c>
      <c r="E724" s="53" t="s">
        <v>71</v>
      </c>
      <c r="F724" s="53"/>
      <c r="G724" s="53"/>
      <c r="H724" s="52" t="s">
        <v>41</v>
      </c>
      <c r="I724" s="452"/>
      <c r="J724" s="452"/>
      <c r="K724" s="61" t="s">
        <v>46</v>
      </c>
      <c r="L724" s="62">
        <f>+IF(L715-I715&lt;0,0,L715-I715)+IF(L719-I719&lt;0,0,L719-I719)</f>
        <v>0</v>
      </c>
      <c r="M724" s="55" t="s">
        <v>69</v>
      </c>
      <c r="N724" s="52" t="s">
        <v>41</v>
      </c>
      <c r="O724" s="56"/>
      <c r="P724" s="57" t="s">
        <v>70</v>
      </c>
      <c r="Q724" s="53" t="s">
        <v>71</v>
      </c>
      <c r="R724" s="53"/>
      <c r="S724" s="53"/>
      <c r="T724" s="52" t="s">
        <v>41</v>
      </c>
      <c r="U724" s="452"/>
      <c r="V724" s="452"/>
      <c r="W724" s="61" t="s">
        <v>46</v>
      </c>
      <c r="X724" s="62">
        <f>+IF(X715-U715&lt;0,0,X715-U715)+IF(X719-U719&lt;0,0,X719-U719)</f>
        <v>0</v>
      </c>
    </row>
    <row r="725" spans="1:24" ht="18.75" customHeight="1">
      <c r="A725" s="65" t="s">
        <v>72</v>
      </c>
      <c r="B725" s="66"/>
      <c r="C725" s="56"/>
      <c r="D725" s="57" t="s">
        <v>50</v>
      </c>
      <c r="E725" s="441" t="s">
        <v>73</v>
      </c>
      <c r="F725" s="441"/>
      <c r="G725" s="441"/>
      <c r="H725" s="52" t="s">
        <v>41</v>
      </c>
      <c r="I725" s="452"/>
      <c r="J725" s="452"/>
      <c r="K725" s="61" t="s">
        <v>46</v>
      </c>
      <c r="L725" s="62"/>
      <c r="M725" s="65" t="s">
        <v>72</v>
      </c>
      <c r="N725" s="66"/>
      <c r="O725" s="56"/>
      <c r="P725" s="57" t="s">
        <v>50</v>
      </c>
      <c r="Q725" s="441" t="s">
        <v>73</v>
      </c>
      <c r="R725" s="441"/>
      <c r="S725" s="441"/>
      <c r="T725" s="52" t="s">
        <v>41</v>
      </c>
      <c r="U725" s="452"/>
      <c r="V725" s="452"/>
      <c r="W725" s="61" t="s">
        <v>46</v>
      </c>
      <c r="X725" s="62"/>
    </row>
    <row r="726" spans="1:24" ht="18.75" customHeight="1">
      <c r="A726" s="477" t="s">
        <v>74</v>
      </c>
      <c r="B726" s="453"/>
      <c r="C726" s="56"/>
      <c r="D726" s="57"/>
      <c r="E726" s="58"/>
      <c r="F726" s="58"/>
      <c r="G726" s="58"/>
      <c r="H726" s="52" t="s">
        <v>41</v>
      </c>
      <c r="I726" s="452">
        <f>'LƯƠNG Tx'!P85</f>
        <v>0</v>
      </c>
      <c r="J726" s="452"/>
      <c r="K726" s="61" t="s">
        <v>46</v>
      </c>
      <c r="L726" s="62"/>
      <c r="M726" s="477" t="s">
        <v>74</v>
      </c>
      <c r="N726" s="453"/>
      <c r="O726" s="56"/>
      <c r="P726" s="57"/>
      <c r="Q726" s="58"/>
      <c r="R726" s="58"/>
      <c r="S726" s="58"/>
      <c r="T726" s="52" t="s">
        <v>41</v>
      </c>
      <c r="U726" s="452">
        <f>'LƯƠNG Tx'!P87</f>
        <v>0</v>
      </c>
      <c r="V726" s="452"/>
      <c r="W726" s="61" t="s">
        <v>46</v>
      </c>
      <c r="X726" s="62"/>
    </row>
    <row r="727" spans="1:24" ht="18.75" customHeight="1">
      <c r="A727" s="55" t="s">
        <v>75</v>
      </c>
      <c r="B727" s="52" t="s">
        <v>41</v>
      </c>
      <c r="C727" s="56"/>
      <c r="D727" s="57"/>
      <c r="E727" s="58" t="s">
        <v>76</v>
      </c>
      <c r="F727" s="58"/>
      <c r="G727" s="58"/>
      <c r="H727" s="52" t="s">
        <v>41</v>
      </c>
      <c r="I727" s="452">
        <f>L724</f>
        <v>0</v>
      </c>
      <c r="J727" s="452"/>
      <c r="K727" s="61" t="s">
        <v>46</v>
      </c>
      <c r="L727" s="62"/>
      <c r="M727" s="55" t="s">
        <v>75</v>
      </c>
      <c r="N727" s="52" t="s">
        <v>41</v>
      </c>
      <c r="O727" s="56"/>
      <c r="P727" s="57"/>
      <c r="Q727" s="58" t="s">
        <v>76</v>
      </c>
      <c r="R727" s="58"/>
      <c r="S727" s="58"/>
      <c r="T727" s="52" t="s">
        <v>41</v>
      </c>
      <c r="U727" s="452">
        <f>X724</f>
        <v>0</v>
      </c>
      <c r="V727" s="452"/>
      <c r="W727" s="61" t="s">
        <v>46</v>
      </c>
      <c r="X727" s="62"/>
    </row>
    <row r="728" spans="1:24" ht="18.75" customHeight="1">
      <c r="A728" s="456" t="s">
        <v>77</v>
      </c>
      <c r="B728" s="457"/>
      <c r="C728" s="457"/>
      <c r="D728" s="457"/>
      <c r="E728" s="457"/>
      <c r="F728" s="457"/>
      <c r="G728" s="52" t="s">
        <v>41</v>
      </c>
      <c r="H728" s="458">
        <f>I715+I716+I717+I718+I719+I722+I726+I727+I720+I721+I723+I724+I725+C726</f>
        <v>0</v>
      </c>
      <c r="I728" s="459"/>
      <c r="J728" s="459"/>
      <c r="K728" s="61" t="s">
        <v>46</v>
      </c>
      <c r="M728" s="456" t="s">
        <v>77</v>
      </c>
      <c r="N728" s="457"/>
      <c r="O728" s="457"/>
      <c r="P728" s="457"/>
      <c r="Q728" s="457"/>
      <c r="R728" s="457"/>
      <c r="S728" s="52" t="s">
        <v>41</v>
      </c>
      <c r="T728" s="458">
        <f>U715+U716+U717+U718+U719+U722+U726+U727+U720+U721+U723+U724+U725+O726</f>
        <v>0</v>
      </c>
      <c r="U728" s="459"/>
      <c r="V728" s="459"/>
      <c r="W728" s="61" t="s">
        <v>46</v>
      </c>
    </row>
    <row r="729" spans="1:24" ht="18.75" customHeight="1">
      <c r="A729" s="67"/>
      <c r="B729" s="68"/>
      <c r="C729" s="68"/>
      <c r="D729" s="68"/>
      <c r="E729" s="68"/>
      <c r="F729" s="68"/>
      <c r="G729" s="68"/>
      <c r="H729" s="68"/>
      <c r="I729" s="68"/>
      <c r="J729" s="68"/>
      <c r="K729" s="69"/>
      <c r="M729" s="67"/>
      <c r="N729" s="68"/>
      <c r="O729" s="68"/>
      <c r="P729" s="68"/>
      <c r="Q729" s="68"/>
      <c r="R729" s="68"/>
      <c r="S729" s="68"/>
      <c r="T729" s="68"/>
      <c r="U729" s="68"/>
      <c r="V729" s="68"/>
      <c r="W729" s="69"/>
    </row>
    <row r="730" spans="1:24" ht="18.75" customHeight="1">
      <c r="A730" s="468" t="s">
        <v>78</v>
      </c>
      <c r="B730" s="469"/>
      <c r="C730" s="469"/>
      <c r="D730" s="469"/>
      <c r="E730" s="469"/>
      <c r="F730" s="469"/>
      <c r="G730" s="52"/>
      <c r="H730" s="52"/>
      <c r="I730" s="52"/>
      <c r="J730" s="52"/>
      <c r="K730" s="61"/>
      <c r="M730" s="468" t="s">
        <v>78</v>
      </c>
      <c r="N730" s="469"/>
      <c r="O730" s="469"/>
      <c r="P730" s="469"/>
      <c r="Q730" s="469"/>
      <c r="R730" s="469"/>
      <c r="S730" s="52"/>
      <c r="T730" s="52"/>
      <c r="U730" s="52"/>
      <c r="V730" s="52"/>
      <c r="W730" s="61"/>
    </row>
    <row r="731" spans="1:24" ht="18.75" customHeight="1">
      <c r="A731" s="462" t="s">
        <v>79</v>
      </c>
      <c r="B731" s="463"/>
      <c r="C731" s="463"/>
      <c r="D731" s="463"/>
      <c r="E731" s="463"/>
      <c r="F731" s="463"/>
      <c r="G731" s="52" t="s">
        <v>41</v>
      </c>
      <c r="H731" s="470">
        <f>IF(($L$1-(C715+C716+C717+C718))&gt;12,0,F712*8%)</f>
        <v>0</v>
      </c>
      <c r="I731" s="470"/>
      <c r="J731" s="470"/>
      <c r="K731" s="61" t="s">
        <v>46</v>
      </c>
      <c r="M731" s="462" t="s">
        <v>79</v>
      </c>
      <c r="N731" s="463"/>
      <c r="O731" s="463"/>
      <c r="P731" s="463"/>
      <c r="Q731" s="463"/>
      <c r="R731" s="463"/>
      <c r="S731" s="52" t="s">
        <v>41</v>
      </c>
      <c r="T731" s="470">
        <f>IF(($L$1-(O715+O716+O717+O718))&gt;12,0,R712*8%)</f>
        <v>0</v>
      </c>
      <c r="U731" s="470"/>
      <c r="V731" s="470"/>
      <c r="W731" s="61" t="s">
        <v>46</v>
      </c>
    </row>
    <row r="732" spans="1:24" ht="18.75" customHeight="1">
      <c r="A732" s="462" t="s">
        <v>80</v>
      </c>
      <c r="B732" s="463"/>
      <c r="C732" s="463"/>
      <c r="D732" s="463"/>
      <c r="E732" s="463"/>
      <c r="F732" s="463"/>
      <c r="G732" s="52" t="s">
        <v>41</v>
      </c>
      <c r="H732" s="464">
        <f>IF(($L$1-(C715+C716+C717+C718))&gt;12,0,F712*1.5%)</f>
        <v>0</v>
      </c>
      <c r="I732" s="464"/>
      <c r="J732" s="464"/>
      <c r="K732" s="61" t="s">
        <v>46</v>
      </c>
      <c r="M732" s="462" t="s">
        <v>80</v>
      </c>
      <c r="N732" s="463"/>
      <c r="O732" s="463"/>
      <c r="P732" s="463"/>
      <c r="Q732" s="463"/>
      <c r="R732" s="463"/>
      <c r="S732" s="52" t="s">
        <v>41</v>
      </c>
      <c r="T732" s="464">
        <f>IF(($L$1-(O715+O716+O717+O718))&gt;12,0,R712*1.5%)</f>
        <v>0</v>
      </c>
      <c r="U732" s="464"/>
      <c r="V732" s="464"/>
      <c r="W732" s="61" t="s">
        <v>46</v>
      </c>
    </row>
    <row r="733" spans="1:24" ht="18.75" customHeight="1">
      <c r="A733" s="462" t="s">
        <v>81</v>
      </c>
      <c r="B733" s="463"/>
      <c r="C733" s="463"/>
      <c r="D733" s="463"/>
      <c r="E733" s="463"/>
      <c r="F733" s="463"/>
      <c r="G733" s="52" t="s">
        <v>41</v>
      </c>
      <c r="H733" s="464">
        <f>IF(($L$1-(C715+C716+C717+C718))&gt;12,0,F712*1%)</f>
        <v>0</v>
      </c>
      <c r="I733" s="464"/>
      <c r="J733" s="464"/>
      <c r="K733" s="61" t="s">
        <v>46</v>
      </c>
      <c r="M733" s="462" t="s">
        <v>81</v>
      </c>
      <c r="N733" s="463"/>
      <c r="O733" s="463"/>
      <c r="P733" s="463"/>
      <c r="Q733" s="463"/>
      <c r="R733" s="463"/>
      <c r="S733" s="52" t="s">
        <v>41</v>
      </c>
      <c r="T733" s="464">
        <f>IF(($L$1-(O715+O716+O717+O718))&gt;12,0,R712*1%)</f>
        <v>0</v>
      </c>
      <c r="U733" s="464"/>
      <c r="V733" s="464"/>
      <c r="W733" s="61" t="s">
        <v>46</v>
      </c>
    </row>
    <row r="734" spans="1:24" ht="18.75" customHeight="1">
      <c r="A734" s="462" t="s">
        <v>82</v>
      </c>
      <c r="B734" s="463"/>
      <c r="C734" s="463"/>
      <c r="D734" s="463"/>
      <c r="E734" s="463"/>
      <c r="F734" s="463"/>
      <c r="G734" s="52" t="s">
        <v>41</v>
      </c>
      <c r="H734" s="464">
        <v>0</v>
      </c>
      <c r="I734" s="464"/>
      <c r="J734" s="464"/>
      <c r="K734" s="61" t="s">
        <v>46</v>
      </c>
      <c r="M734" s="462" t="s">
        <v>82</v>
      </c>
      <c r="N734" s="463"/>
      <c r="O734" s="463"/>
      <c r="P734" s="463"/>
      <c r="Q734" s="463"/>
      <c r="R734" s="463"/>
      <c r="S734" s="52" t="s">
        <v>41</v>
      </c>
      <c r="T734" s="464">
        <v>0</v>
      </c>
      <c r="U734" s="464"/>
      <c r="V734" s="464"/>
      <c r="W734" s="61" t="s">
        <v>46</v>
      </c>
    </row>
    <row r="735" spans="1:24" ht="18.75" customHeight="1">
      <c r="A735" s="465" t="s">
        <v>83</v>
      </c>
      <c r="B735" s="466"/>
      <c r="C735" s="466"/>
      <c r="D735" s="466"/>
      <c r="E735" s="466"/>
      <c r="F735" s="466"/>
      <c r="G735" s="52" t="s">
        <v>41</v>
      </c>
      <c r="H735" s="467">
        <f>SUM(H731:J734)</f>
        <v>0</v>
      </c>
      <c r="I735" s="467"/>
      <c r="J735" s="467"/>
      <c r="K735" s="61" t="s">
        <v>46</v>
      </c>
      <c r="M735" s="465" t="s">
        <v>83</v>
      </c>
      <c r="N735" s="466"/>
      <c r="O735" s="466"/>
      <c r="P735" s="466"/>
      <c r="Q735" s="466"/>
      <c r="R735" s="466"/>
      <c r="S735" s="52" t="s">
        <v>41</v>
      </c>
      <c r="T735" s="467">
        <f>SUM(T731:V734)</f>
        <v>0</v>
      </c>
      <c r="U735" s="467"/>
      <c r="V735" s="467"/>
      <c r="W735" s="61" t="s">
        <v>46</v>
      </c>
    </row>
    <row r="736" spans="1:24" ht="18.75" customHeight="1">
      <c r="A736" s="462" t="s">
        <v>84</v>
      </c>
      <c r="B736" s="463"/>
      <c r="C736" s="463"/>
      <c r="D736" s="463"/>
      <c r="E736" s="463"/>
      <c r="F736" s="463"/>
      <c r="G736" s="52" t="s">
        <v>41</v>
      </c>
      <c r="H736" s="475">
        <f>ROUND(H728-H735,-2)</f>
        <v>0</v>
      </c>
      <c r="I736" s="475"/>
      <c r="J736" s="475"/>
      <c r="K736" s="61" t="s">
        <v>46</v>
      </c>
      <c r="M736" s="462" t="s">
        <v>84</v>
      </c>
      <c r="N736" s="463"/>
      <c r="O736" s="463"/>
      <c r="P736" s="463"/>
      <c r="Q736" s="463"/>
      <c r="R736" s="463"/>
      <c r="S736" s="52" t="s">
        <v>41</v>
      </c>
      <c r="T736" s="475">
        <f>ROUND(T728-T735,-2)</f>
        <v>0</v>
      </c>
      <c r="U736" s="475"/>
      <c r="V736" s="475"/>
      <c r="W736" s="61" t="s">
        <v>46</v>
      </c>
    </row>
    <row r="737" spans="1:24" ht="18.75" customHeight="1">
      <c r="A737" s="70"/>
      <c r="B737" s="71"/>
      <c r="C737" s="71"/>
      <c r="D737" s="71"/>
      <c r="E737" s="71"/>
      <c r="F737" s="71"/>
      <c r="G737" s="71"/>
      <c r="H737" s="71"/>
      <c r="I737" s="71"/>
      <c r="J737" s="71"/>
      <c r="K737" s="72"/>
      <c r="M737" s="70"/>
      <c r="N737" s="71"/>
      <c r="O737" s="71"/>
      <c r="P737" s="71"/>
      <c r="Q737" s="71"/>
      <c r="R737" s="71"/>
      <c r="S737" s="71"/>
      <c r="T737" s="71"/>
      <c r="U737" s="71"/>
      <c r="V737" s="71"/>
      <c r="W737" s="72"/>
    </row>
    <row r="738" spans="1:24" ht="18.75" customHeight="1">
      <c r="A738" s="73"/>
      <c r="B738" s="52"/>
      <c r="C738" s="52"/>
      <c r="D738" s="52"/>
      <c r="E738" s="52"/>
      <c r="F738" s="52"/>
      <c r="G738" s="52"/>
      <c r="H738" s="52"/>
      <c r="I738" s="472" t="s">
        <v>85</v>
      </c>
      <c r="J738" s="472"/>
      <c r="K738" s="476"/>
      <c r="M738" s="73"/>
      <c r="N738" s="52"/>
      <c r="O738" s="52"/>
      <c r="P738" s="52"/>
      <c r="Q738" s="52"/>
      <c r="R738" s="52"/>
      <c r="S738" s="52"/>
      <c r="T738" s="52"/>
      <c r="U738" s="472" t="s">
        <v>85</v>
      </c>
      <c r="V738" s="472"/>
      <c r="W738" s="476"/>
    </row>
    <row r="739" spans="1:24" ht="18.75" customHeight="1">
      <c r="A739" s="73"/>
      <c r="B739" s="471"/>
      <c r="C739" s="472"/>
      <c r="D739" s="472"/>
      <c r="E739" s="472"/>
      <c r="F739" s="52"/>
      <c r="G739" s="52"/>
      <c r="H739" s="52"/>
      <c r="I739" s="52"/>
      <c r="J739" s="52"/>
      <c r="K739" s="54"/>
      <c r="M739" s="73"/>
      <c r="N739" s="471"/>
      <c r="O739" s="472"/>
      <c r="P739" s="472"/>
      <c r="Q739" s="472"/>
      <c r="R739" s="52"/>
      <c r="S739" s="52"/>
      <c r="T739" s="52"/>
      <c r="U739" s="52"/>
      <c r="V739" s="52"/>
      <c r="W739" s="54"/>
    </row>
    <row r="740" spans="1:24" ht="18.75" customHeight="1" thickBot="1">
      <c r="A740" s="75"/>
      <c r="B740" s="76"/>
      <c r="C740" s="76"/>
      <c r="D740" s="76"/>
      <c r="E740" s="76"/>
      <c r="F740" s="76"/>
      <c r="G740" s="76"/>
      <c r="H740" s="76"/>
      <c r="I740" s="473" t="s">
        <v>86</v>
      </c>
      <c r="J740" s="473"/>
      <c r="K740" s="474"/>
      <c r="M740" s="75"/>
      <c r="N740" s="76"/>
      <c r="O740" s="76"/>
      <c r="P740" s="76"/>
      <c r="Q740" s="76"/>
      <c r="R740" s="76"/>
      <c r="S740" s="76"/>
      <c r="T740" s="76"/>
      <c r="U740" s="473" t="s">
        <v>86</v>
      </c>
      <c r="V740" s="473"/>
      <c r="W740" s="474"/>
    </row>
    <row r="741" spans="1:24" ht="18.75" customHeight="1" thickTop="1" thickBot="1"/>
    <row r="742" spans="1:24" ht="18.75" customHeight="1" thickTop="1">
      <c r="A742" s="445" t="s">
        <v>172</v>
      </c>
      <c r="B742" s="446"/>
      <c r="C742" s="446"/>
      <c r="D742" s="446"/>
      <c r="E742" s="446"/>
      <c r="F742" s="446"/>
      <c r="G742" s="446"/>
      <c r="H742" s="446"/>
      <c r="I742" s="446"/>
      <c r="J742" s="446"/>
      <c r="K742" s="447"/>
      <c r="L742" s="48">
        <v>25</v>
      </c>
      <c r="M742" s="445" t="s">
        <v>172</v>
      </c>
      <c r="N742" s="446"/>
      <c r="O742" s="446"/>
      <c r="P742" s="446"/>
      <c r="Q742" s="446"/>
      <c r="R742" s="446"/>
      <c r="S742" s="446"/>
      <c r="T742" s="446"/>
      <c r="U742" s="446"/>
      <c r="V742" s="446"/>
      <c r="W742" s="447"/>
      <c r="X742" s="48">
        <v>25</v>
      </c>
    </row>
    <row r="743" spans="1:24" ht="18.75" customHeight="1">
      <c r="A743" s="49" t="s">
        <v>127</v>
      </c>
      <c r="B743" s="50"/>
      <c r="C743" s="50"/>
      <c r="D743" s="50"/>
      <c r="E743" s="50"/>
      <c r="F743" s="50"/>
      <c r="G743" s="50"/>
      <c r="H743" s="50"/>
      <c r="I743" s="50"/>
      <c r="J743" s="50"/>
      <c r="K743" s="51"/>
      <c r="M743" s="49" t="s">
        <v>128</v>
      </c>
      <c r="N743" s="50"/>
      <c r="O743" s="50"/>
      <c r="P743" s="50"/>
      <c r="Q743" s="50"/>
      <c r="R743" s="50"/>
      <c r="S743" s="50"/>
      <c r="T743" s="50"/>
      <c r="U743" s="50"/>
      <c r="V743" s="50"/>
      <c r="W743" s="51"/>
    </row>
    <row r="744" spans="1:24" ht="18.75" customHeight="1">
      <c r="A744" s="448" t="s">
        <v>39</v>
      </c>
      <c r="B744" s="449"/>
      <c r="C744" s="449"/>
      <c r="D744" s="449"/>
      <c r="E744" s="449"/>
      <c r="F744" s="449"/>
      <c r="G744" s="449"/>
      <c r="H744" s="449"/>
      <c r="I744" s="449"/>
      <c r="J744" s="449"/>
      <c r="K744" s="450"/>
      <c r="M744" s="448" t="s">
        <v>39</v>
      </c>
      <c r="N744" s="449"/>
      <c r="O744" s="449"/>
      <c r="P744" s="449"/>
      <c r="Q744" s="449"/>
      <c r="R744" s="449"/>
      <c r="S744" s="449"/>
      <c r="T744" s="449"/>
      <c r="U744" s="449"/>
      <c r="V744" s="449"/>
      <c r="W744" s="450"/>
    </row>
    <row r="745" spans="1:24" ht="18.75" customHeight="1">
      <c r="A745" s="440" t="s">
        <v>40</v>
      </c>
      <c r="B745" s="441"/>
      <c r="C745" s="441"/>
      <c r="D745" s="441"/>
      <c r="E745" s="52" t="s">
        <v>41</v>
      </c>
      <c r="F745" s="442">
        <f>'Bang TH nop'!B89</f>
        <v>0</v>
      </c>
      <c r="G745" s="441"/>
      <c r="H745" s="441"/>
      <c r="I745" s="441"/>
      <c r="J745" s="441"/>
      <c r="K745" s="444"/>
      <c r="M745" s="440" t="s">
        <v>40</v>
      </c>
      <c r="N745" s="441"/>
      <c r="O745" s="441"/>
      <c r="P745" s="441"/>
      <c r="Q745" s="52" t="s">
        <v>41</v>
      </c>
      <c r="R745" s="442">
        <f>'Bang TH nop'!B91</f>
        <v>0</v>
      </c>
      <c r="S745" s="441"/>
      <c r="T745" s="441"/>
      <c r="U745" s="441"/>
      <c r="V745" s="441"/>
      <c r="W745" s="444"/>
    </row>
    <row r="746" spans="1:24" ht="18.75" customHeight="1">
      <c r="A746" s="440" t="s">
        <v>42</v>
      </c>
      <c r="B746" s="441"/>
      <c r="C746" s="441"/>
      <c r="D746" s="441"/>
      <c r="E746" s="52" t="s">
        <v>41</v>
      </c>
      <c r="F746" s="442">
        <f>'Bang TH nop'!C89</f>
        <v>0</v>
      </c>
      <c r="G746" s="442"/>
      <c r="H746" s="442"/>
      <c r="I746" s="442"/>
      <c r="J746" s="442"/>
      <c r="K746" s="443"/>
      <c r="M746" s="440" t="s">
        <v>42</v>
      </c>
      <c r="N746" s="441"/>
      <c r="O746" s="441"/>
      <c r="P746" s="441"/>
      <c r="Q746" s="52" t="s">
        <v>41</v>
      </c>
      <c r="R746" s="442">
        <f>'Bang TH nop'!C91</f>
        <v>0</v>
      </c>
      <c r="S746" s="442"/>
      <c r="T746" s="442"/>
      <c r="U746" s="442"/>
      <c r="V746" s="442"/>
      <c r="W746" s="443"/>
    </row>
    <row r="747" spans="1:24" ht="18.75" customHeight="1">
      <c r="A747" s="440" t="s">
        <v>43</v>
      </c>
      <c r="B747" s="441"/>
      <c r="C747" s="441"/>
      <c r="D747" s="441"/>
      <c r="E747" s="52" t="s">
        <v>41</v>
      </c>
      <c r="F747" s="441" t="str">
        <f>+$L$2</f>
        <v xml:space="preserve">Tổ  </v>
      </c>
      <c r="G747" s="441"/>
      <c r="H747" s="441"/>
      <c r="I747" s="441"/>
      <c r="J747" s="441"/>
      <c r="K747" s="444"/>
      <c r="M747" s="440" t="s">
        <v>43</v>
      </c>
      <c r="N747" s="441"/>
      <c r="O747" s="441"/>
      <c r="P747" s="441"/>
      <c r="Q747" s="52" t="s">
        <v>41</v>
      </c>
      <c r="R747" s="441" t="str">
        <f>+$L$2</f>
        <v xml:space="preserve">Tổ  </v>
      </c>
      <c r="S747" s="441"/>
      <c r="T747" s="441"/>
      <c r="U747" s="441"/>
      <c r="V747" s="441"/>
      <c r="W747" s="444"/>
    </row>
    <row r="748" spans="1:24" ht="18.75" customHeight="1">
      <c r="A748" s="448" t="s">
        <v>44</v>
      </c>
      <c r="B748" s="449"/>
      <c r="C748" s="449"/>
      <c r="D748" s="449"/>
      <c r="E748" s="449"/>
      <c r="F748" s="449"/>
      <c r="G748" s="449"/>
      <c r="H748" s="449"/>
      <c r="I748" s="449"/>
      <c r="J748" s="449"/>
      <c r="K748" s="450"/>
      <c r="M748" s="448" t="s">
        <v>44</v>
      </c>
      <c r="N748" s="449"/>
      <c r="O748" s="449"/>
      <c r="P748" s="449"/>
      <c r="Q748" s="449"/>
      <c r="R748" s="449"/>
      <c r="S748" s="449"/>
      <c r="T748" s="449"/>
      <c r="U748" s="449"/>
      <c r="V748" s="449"/>
      <c r="W748" s="450"/>
    </row>
    <row r="749" spans="1:24" ht="18.75" customHeight="1">
      <c r="A749" s="440" t="s">
        <v>45</v>
      </c>
      <c r="B749" s="441"/>
      <c r="C749" s="441"/>
      <c r="D749" s="441"/>
      <c r="E749" s="52" t="s">
        <v>41</v>
      </c>
      <c r="F749" s="455">
        <f>VLOOKUP(F746,'Bang TH nop'!$C$9:$AP$266,29,0)</f>
        <v>0</v>
      </c>
      <c r="G749" s="455"/>
      <c r="H749" s="455"/>
      <c r="I749" s="455"/>
      <c r="J749" s="52" t="s">
        <v>46</v>
      </c>
      <c r="K749" s="54"/>
      <c r="M749" s="440" t="s">
        <v>45</v>
      </c>
      <c r="N749" s="441"/>
      <c r="O749" s="441"/>
      <c r="P749" s="441"/>
      <c r="Q749" s="52" t="s">
        <v>41</v>
      </c>
      <c r="R749" s="455">
        <f>VLOOKUP(R746,'Bang TH nop'!$C$9:$AP$266,29,0)</f>
        <v>0</v>
      </c>
      <c r="S749" s="455"/>
      <c r="T749" s="455"/>
      <c r="U749" s="455"/>
      <c r="V749" s="52" t="s">
        <v>46</v>
      </c>
      <c r="W749" s="54"/>
    </row>
    <row r="750" spans="1:24" ht="18.75" customHeight="1">
      <c r="A750" s="55" t="s">
        <v>47</v>
      </c>
      <c r="B750" s="52"/>
      <c r="C750" s="56"/>
      <c r="D750" s="57"/>
      <c r="E750" s="58"/>
      <c r="F750" s="58"/>
      <c r="G750" s="58"/>
      <c r="H750" s="52"/>
      <c r="I750" s="59">
        <f>'LƯƠNG Tx'!F89</f>
        <v>0</v>
      </c>
      <c r="J750" s="60"/>
      <c r="K750" s="61"/>
      <c r="M750" s="55" t="s">
        <v>47</v>
      </c>
      <c r="N750" s="52"/>
      <c r="O750" s="56"/>
      <c r="P750" s="57"/>
      <c r="Q750" s="58"/>
      <c r="R750" s="58"/>
      <c r="S750" s="58"/>
      <c r="T750" s="52"/>
      <c r="U750" s="59">
        <f>'LƯƠNG Tx'!F91</f>
        <v>0</v>
      </c>
      <c r="V750" s="60"/>
      <c r="W750" s="61"/>
    </row>
    <row r="751" spans="1:24" ht="18.75" customHeight="1">
      <c r="A751" s="55" t="s">
        <v>48</v>
      </c>
      <c r="B751" s="52"/>
      <c r="C751" s="56"/>
      <c r="D751" s="57"/>
      <c r="E751" s="58"/>
      <c r="F751" s="58"/>
      <c r="G751" s="58"/>
      <c r="H751" s="52"/>
      <c r="I751" s="59" t="e">
        <f>I752/C752/8</f>
        <v>#DIV/0!</v>
      </c>
      <c r="J751" s="60"/>
      <c r="K751" s="61"/>
      <c r="M751" s="55" t="s">
        <v>48</v>
      </c>
      <c r="N751" s="52"/>
      <c r="O751" s="56"/>
      <c r="P751" s="57"/>
      <c r="Q751" s="58"/>
      <c r="R751" s="58"/>
      <c r="S751" s="58"/>
      <c r="T751" s="52"/>
      <c r="U751" s="59" t="e">
        <f>U752/O752/8</f>
        <v>#DIV/0!</v>
      </c>
      <c r="V751" s="60"/>
      <c r="W751" s="61"/>
    </row>
    <row r="752" spans="1:24" ht="18.75" customHeight="1">
      <c r="A752" s="55" t="s">
        <v>49</v>
      </c>
      <c r="B752" s="52" t="s">
        <v>41</v>
      </c>
      <c r="C752" s="56">
        <f>'LƯƠNG Tx'!I88</f>
        <v>0</v>
      </c>
      <c r="D752" s="57" t="s">
        <v>50</v>
      </c>
      <c r="E752" s="453" t="s">
        <v>51</v>
      </c>
      <c r="F752" s="453"/>
      <c r="G752" s="453"/>
      <c r="H752" s="52" t="s">
        <v>41</v>
      </c>
      <c r="I752" s="454">
        <f>'LƯƠNG Tx'!I89</f>
        <v>0</v>
      </c>
      <c r="J752" s="454"/>
      <c r="K752" s="61" t="s">
        <v>46</v>
      </c>
      <c r="L752" s="62">
        <f>F749/L742*C752</f>
        <v>0</v>
      </c>
      <c r="M752" s="55" t="s">
        <v>49</v>
      </c>
      <c r="N752" s="52" t="s">
        <v>41</v>
      </c>
      <c r="O752" s="56">
        <f>'LƯƠNG Tx'!I90</f>
        <v>0</v>
      </c>
      <c r="P752" s="57" t="s">
        <v>50</v>
      </c>
      <c r="Q752" s="453" t="s">
        <v>51</v>
      </c>
      <c r="R752" s="453"/>
      <c r="S752" s="453"/>
      <c r="T752" s="52" t="s">
        <v>41</v>
      </c>
      <c r="U752" s="454">
        <f>'LƯƠNG Tx'!I91</f>
        <v>0</v>
      </c>
      <c r="V752" s="454"/>
      <c r="W752" s="61" t="s">
        <v>46</v>
      </c>
      <c r="X752" s="62">
        <f>R749/X742*O752</f>
        <v>0</v>
      </c>
    </row>
    <row r="753" spans="1:24" ht="18.75" customHeight="1">
      <c r="A753" s="55" t="s">
        <v>52</v>
      </c>
      <c r="B753" s="52" t="s">
        <v>41</v>
      </c>
      <c r="C753" s="56">
        <f>'LƯƠNG Tx'!J88</f>
        <v>0</v>
      </c>
      <c r="D753" s="57" t="s">
        <v>50</v>
      </c>
      <c r="E753" s="441" t="s">
        <v>53</v>
      </c>
      <c r="F753" s="441"/>
      <c r="G753" s="441"/>
      <c r="H753" s="52" t="s">
        <v>41</v>
      </c>
      <c r="I753" s="452">
        <f>$F$8/$L$1*C753</f>
        <v>0</v>
      </c>
      <c r="J753" s="452"/>
      <c r="K753" s="61" t="s">
        <v>46</v>
      </c>
      <c r="L753" s="62"/>
      <c r="M753" s="55" t="s">
        <v>52</v>
      </c>
      <c r="N753" s="52" t="s">
        <v>41</v>
      </c>
      <c r="O753" s="56">
        <f>'LƯƠNG Tx'!J90</f>
        <v>0</v>
      </c>
      <c r="P753" s="57" t="s">
        <v>50</v>
      </c>
      <c r="Q753" s="441" t="s">
        <v>53</v>
      </c>
      <c r="R753" s="441"/>
      <c r="S753" s="441"/>
      <c r="T753" s="52" t="s">
        <v>41</v>
      </c>
      <c r="U753" s="452">
        <f>$F$8/$L$1*O753</f>
        <v>0</v>
      </c>
      <c r="V753" s="452"/>
      <c r="W753" s="61" t="s">
        <v>46</v>
      </c>
      <c r="X753" s="62"/>
    </row>
    <row r="754" spans="1:24" ht="18.75" customHeight="1">
      <c r="A754" s="55" t="s">
        <v>54</v>
      </c>
      <c r="B754" s="52" t="s">
        <v>41</v>
      </c>
      <c r="C754" s="56">
        <f>'LƯƠNG Tx'!K88</f>
        <v>0</v>
      </c>
      <c r="D754" s="57" t="s">
        <v>50</v>
      </c>
      <c r="E754" s="451" t="s">
        <v>55</v>
      </c>
      <c r="F754" s="451"/>
      <c r="G754" s="451"/>
      <c r="H754" s="52" t="s">
        <v>41</v>
      </c>
      <c r="I754" s="452">
        <f>$F$8/$L$1*C754</f>
        <v>0</v>
      </c>
      <c r="J754" s="452"/>
      <c r="K754" s="61" t="s">
        <v>46</v>
      </c>
      <c r="L754" s="62"/>
      <c r="M754" s="55" t="s">
        <v>54</v>
      </c>
      <c r="N754" s="52" t="s">
        <v>41</v>
      </c>
      <c r="O754" s="56">
        <f>'LƯƠNG Tx'!K90</f>
        <v>0</v>
      </c>
      <c r="P754" s="57" t="s">
        <v>50</v>
      </c>
      <c r="Q754" s="451" t="s">
        <v>55</v>
      </c>
      <c r="R754" s="451"/>
      <c r="S754" s="451"/>
      <c r="T754" s="52" t="s">
        <v>41</v>
      </c>
      <c r="U754" s="452">
        <f>$F$8/$L$1*O754</f>
        <v>0</v>
      </c>
      <c r="V754" s="452"/>
      <c r="W754" s="61" t="s">
        <v>46</v>
      </c>
      <c r="X754" s="62"/>
    </row>
    <row r="755" spans="1:24" ht="18.75" customHeight="1">
      <c r="A755" s="55" t="s">
        <v>56</v>
      </c>
      <c r="B755" s="52" t="s">
        <v>41</v>
      </c>
      <c r="C755" s="56">
        <f>'LƯƠNG Tx'!L88</f>
        <v>0</v>
      </c>
      <c r="D755" s="57" t="s">
        <v>50</v>
      </c>
      <c r="E755" s="451" t="s">
        <v>57</v>
      </c>
      <c r="F755" s="451"/>
      <c r="G755" s="451"/>
      <c r="H755" s="52" t="s">
        <v>41</v>
      </c>
      <c r="I755" s="452">
        <f>$F$8/$L$1*C755</f>
        <v>0</v>
      </c>
      <c r="J755" s="452"/>
      <c r="K755" s="61" t="s">
        <v>46</v>
      </c>
      <c r="L755" s="62"/>
      <c r="M755" s="55" t="s">
        <v>56</v>
      </c>
      <c r="N755" s="52" t="s">
        <v>41</v>
      </c>
      <c r="O755" s="56">
        <f>'LƯƠNG Tx'!L90</f>
        <v>0</v>
      </c>
      <c r="P755" s="57" t="s">
        <v>50</v>
      </c>
      <c r="Q755" s="451" t="s">
        <v>57</v>
      </c>
      <c r="R755" s="451"/>
      <c r="S755" s="451"/>
      <c r="T755" s="52" t="s">
        <v>41</v>
      </c>
      <c r="U755" s="452">
        <f>$F$8/$L$1*O755</f>
        <v>0</v>
      </c>
      <c r="V755" s="452"/>
      <c r="W755" s="61" t="s">
        <v>46</v>
      </c>
      <c r="X755" s="62"/>
    </row>
    <row r="756" spans="1:24" ht="18.75" customHeight="1">
      <c r="A756" s="55" t="s">
        <v>58</v>
      </c>
      <c r="B756" s="52" t="s">
        <v>41</v>
      </c>
      <c r="C756" s="56">
        <f>'LƯƠNG Tx'!Q88</f>
        <v>0</v>
      </c>
      <c r="D756" s="57" t="s">
        <v>59</v>
      </c>
      <c r="E756" s="441" t="s">
        <v>60</v>
      </c>
      <c r="F756" s="441"/>
      <c r="G756" s="441"/>
      <c r="H756" s="52" t="s">
        <v>41</v>
      </c>
      <c r="I756" s="452">
        <f>'LƯƠNG Tx'!Q89</f>
        <v>0</v>
      </c>
      <c r="J756" s="452"/>
      <c r="K756" s="61" t="s">
        <v>46</v>
      </c>
      <c r="L756" s="62">
        <f>F749*C756/L742/8*1.5</f>
        <v>0</v>
      </c>
      <c r="M756" s="55" t="s">
        <v>58</v>
      </c>
      <c r="N756" s="52" t="s">
        <v>41</v>
      </c>
      <c r="O756" s="56">
        <f>'LƯƠNG Tx'!Q90</f>
        <v>0</v>
      </c>
      <c r="P756" s="57" t="s">
        <v>59</v>
      </c>
      <c r="Q756" s="441" t="s">
        <v>60</v>
      </c>
      <c r="R756" s="441"/>
      <c r="S756" s="441"/>
      <c r="T756" s="52" t="s">
        <v>41</v>
      </c>
      <c r="U756" s="452">
        <f>'LƯƠNG Tx'!Q91</f>
        <v>0</v>
      </c>
      <c r="V756" s="452"/>
      <c r="W756" s="61" t="s">
        <v>46</v>
      </c>
      <c r="X756" s="62">
        <f>R749*O756/X742/8*1.5</f>
        <v>0</v>
      </c>
    </row>
    <row r="757" spans="1:24" ht="18.75" customHeight="1">
      <c r="A757" s="440" t="s">
        <v>61</v>
      </c>
      <c r="B757" s="441"/>
      <c r="C757" s="56"/>
      <c r="D757" s="57" t="s">
        <v>50</v>
      </c>
      <c r="E757" s="441" t="s">
        <v>62</v>
      </c>
      <c r="F757" s="441"/>
      <c r="G757" s="441"/>
      <c r="H757" s="63" t="s">
        <v>41</v>
      </c>
      <c r="I757" s="452"/>
      <c r="J757" s="452"/>
      <c r="K757" s="61" t="s">
        <v>46</v>
      </c>
      <c r="L757" s="62"/>
      <c r="M757" s="440" t="s">
        <v>61</v>
      </c>
      <c r="N757" s="441"/>
      <c r="O757" s="56"/>
      <c r="P757" s="57" t="s">
        <v>50</v>
      </c>
      <c r="Q757" s="441" t="s">
        <v>62</v>
      </c>
      <c r="R757" s="441"/>
      <c r="S757" s="441"/>
      <c r="T757" s="63" t="s">
        <v>41</v>
      </c>
      <c r="U757" s="452"/>
      <c r="V757" s="452"/>
      <c r="W757" s="61" t="s">
        <v>46</v>
      </c>
      <c r="X757" s="62"/>
    </row>
    <row r="758" spans="1:24" ht="18.75" customHeight="1">
      <c r="A758" s="55" t="s">
        <v>63</v>
      </c>
      <c r="B758" s="52" t="s">
        <v>41</v>
      </c>
      <c r="C758" s="56"/>
      <c r="D758" s="57" t="s">
        <v>50</v>
      </c>
      <c r="E758" s="441" t="s">
        <v>64</v>
      </c>
      <c r="F758" s="441"/>
      <c r="G758" s="441"/>
      <c r="H758" s="52" t="s">
        <v>41</v>
      </c>
      <c r="I758" s="452"/>
      <c r="J758" s="452"/>
      <c r="K758" s="61" t="s">
        <v>46</v>
      </c>
      <c r="L758" s="62"/>
      <c r="M758" s="55" t="s">
        <v>63</v>
      </c>
      <c r="N758" s="52" t="s">
        <v>41</v>
      </c>
      <c r="O758" s="56"/>
      <c r="P758" s="57" t="s">
        <v>50</v>
      </c>
      <c r="Q758" s="441" t="s">
        <v>64</v>
      </c>
      <c r="R758" s="441"/>
      <c r="S758" s="441"/>
      <c r="T758" s="52" t="s">
        <v>41</v>
      </c>
      <c r="U758" s="452"/>
      <c r="V758" s="452"/>
      <c r="W758" s="61" t="s">
        <v>46</v>
      </c>
      <c r="X758" s="62"/>
    </row>
    <row r="759" spans="1:24" ht="18.75" customHeight="1">
      <c r="A759" s="64" t="s">
        <v>65</v>
      </c>
      <c r="B759" s="52"/>
      <c r="C759" s="56">
        <f>'LƯƠNG Tx'!M88</f>
        <v>0</v>
      </c>
      <c r="D759" s="57" t="s">
        <v>59</v>
      </c>
      <c r="E759" s="441" t="s">
        <v>66</v>
      </c>
      <c r="F759" s="441"/>
      <c r="G759" s="441"/>
      <c r="H759" s="52" t="s">
        <v>41</v>
      </c>
      <c r="I759" s="452">
        <f>$F$8*C759/8/$L$1</f>
        <v>0</v>
      </c>
      <c r="J759" s="452"/>
      <c r="K759" s="61" t="s">
        <v>46</v>
      </c>
      <c r="L759" s="62"/>
      <c r="M759" s="64" t="s">
        <v>65</v>
      </c>
      <c r="N759" s="52"/>
      <c r="O759" s="56">
        <f>'LƯƠNG Tx'!M90</f>
        <v>0</v>
      </c>
      <c r="P759" s="57" t="s">
        <v>59</v>
      </c>
      <c r="Q759" s="441" t="s">
        <v>66</v>
      </c>
      <c r="R759" s="441"/>
      <c r="S759" s="441"/>
      <c r="T759" s="52" t="s">
        <v>41</v>
      </c>
      <c r="U759" s="452">
        <f>$F$8*O759/8/$L$1</f>
        <v>0</v>
      </c>
      <c r="V759" s="452"/>
      <c r="W759" s="61" t="s">
        <v>46</v>
      </c>
      <c r="X759" s="62"/>
    </row>
    <row r="760" spans="1:24" ht="18.75" customHeight="1">
      <c r="A760" s="55" t="s">
        <v>67</v>
      </c>
      <c r="B760" s="52" t="s">
        <v>41</v>
      </c>
      <c r="C760" s="56"/>
      <c r="D760" s="57" t="s">
        <v>59</v>
      </c>
      <c r="E760" s="441" t="s">
        <v>68</v>
      </c>
      <c r="F760" s="441"/>
      <c r="G760" s="441"/>
      <c r="H760" s="52" t="s">
        <v>41</v>
      </c>
      <c r="I760" s="454"/>
      <c r="J760" s="454"/>
      <c r="K760" s="61" t="s">
        <v>46</v>
      </c>
      <c r="L760" s="62"/>
      <c r="M760" s="55" t="s">
        <v>67</v>
      </c>
      <c r="N760" s="52" t="s">
        <v>41</v>
      </c>
      <c r="O760" s="56"/>
      <c r="P760" s="57" t="s">
        <v>59</v>
      </c>
      <c r="Q760" s="441" t="s">
        <v>68</v>
      </c>
      <c r="R760" s="441"/>
      <c r="S760" s="441"/>
      <c r="T760" s="52" t="s">
        <v>41</v>
      </c>
      <c r="U760" s="454"/>
      <c r="V760" s="454"/>
      <c r="W760" s="61" t="s">
        <v>46</v>
      </c>
      <c r="X760" s="62"/>
    </row>
    <row r="761" spans="1:24" ht="18.75" customHeight="1">
      <c r="A761" s="55" t="s">
        <v>69</v>
      </c>
      <c r="B761" s="52" t="s">
        <v>41</v>
      </c>
      <c r="C761" s="56"/>
      <c r="D761" s="57" t="s">
        <v>70</v>
      </c>
      <c r="E761" s="53" t="s">
        <v>71</v>
      </c>
      <c r="F761" s="53"/>
      <c r="G761" s="53"/>
      <c r="H761" s="52" t="s">
        <v>41</v>
      </c>
      <c r="I761" s="452"/>
      <c r="J761" s="452"/>
      <c r="K761" s="61" t="s">
        <v>46</v>
      </c>
      <c r="L761" s="62">
        <f>+IF(L752-I752&lt;0,0,L752-I752)+IF(L756-I756&lt;0,0,L756-I756)</f>
        <v>0</v>
      </c>
      <c r="M761" s="55" t="s">
        <v>69</v>
      </c>
      <c r="N761" s="52" t="s">
        <v>41</v>
      </c>
      <c r="O761" s="56"/>
      <c r="P761" s="57" t="s">
        <v>70</v>
      </c>
      <c r="Q761" s="53" t="s">
        <v>71</v>
      </c>
      <c r="R761" s="53"/>
      <c r="S761" s="53"/>
      <c r="T761" s="52" t="s">
        <v>41</v>
      </c>
      <c r="U761" s="452"/>
      <c r="V761" s="452"/>
      <c r="W761" s="61" t="s">
        <v>46</v>
      </c>
      <c r="X761" s="62">
        <f>+IF(X752-U752&lt;0,0,X752-U752)+IF(X756-U756&lt;0,0,X756-U756)</f>
        <v>0</v>
      </c>
    </row>
    <row r="762" spans="1:24" ht="18.75" customHeight="1">
      <c r="A762" s="65" t="s">
        <v>72</v>
      </c>
      <c r="B762" s="66"/>
      <c r="C762" s="56"/>
      <c r="D762" s="57" t="s">
        <v>50</v>
      </c>
      <c r="E762" s="441" t="s">
        <v>73</v>
      </c>
      <c r="F762" s="441"/>
      <c r="G762" s="441"/>
      <c r="H762" s="52" t="s">
        <v>41</v>
      </c>
      <c r="I762" s="452"/>
      <c r="J762" s="452"/>
      <c r="K762" s="61" t="s">
        <v>46</v>
      </c>
      <c r="L762" s="62"/>
      <c r="M762" s="65" t="s">
        <v>72</v>
      </c>
      <c r="N762" s="66"/>
      <c r="O762" s="56"/>
      <c r="P762" s="57" t="s">
        <v>50</v>
      </c>
      <c r="Q762" s="441" t="s">
        <v>73</v>
      </c>
      <c r="R762" s="441"/>
      <c r="S762" s="441"/>
      <c r="T762" s="52" t="s">
        <v>41</v>
      </c>
      <c r="U762" s="452"/>
      <c r="V762" s="452"/>
      <c r="W762" s="61" t="s">
        <v>46</v>
      </c>
      <c r="X762" s="62"/>
    </row>
    <row r="763" spans="1:24" ht="18.75" customHeight="1">
      <c r="A763" s="477" t="s">
        <v>74</v>
      </c>
      <c r="B763" s="453"/>
      <c r="C763" s="56"/>
      <c r="D763" s="57"/>
      <c r="E763" s="58"/>
      <c r="F763" s="58"/>
      <c r="G763" s="58"/>
      <c r="H763" s="52" t="s">
        <v>41</v>
      </c>
      <c r="I763" s="452">
        <f>'LƯƠNG Tx'!P89</f>
        <v>0</v>
      </c>
      <c r="J763" s="452"/>
      <c r="K763" s="61" t="s">
        <v>46</v>
      </c>
      <c r="L763" s="62"/>
      <c r="M763" s="477" t="s">
        <v>74</v>
      </c>
      <c r="N763" s="453"/>
      <c r="O763" s="56"/>
      <c r="P763" s="57"/>
      <c r="Q763" s="58"/>
      <c r="R763" s="58"/>
      <c r="S763" s="58"/>
      <c r="T763" s="52" t="s">
        <v>41</v>
      </c>
      <c r="U763" s="452">
        <f>'LƯƠNG Tx'!P91</f>
        <v>0</v>
      </c>
      <c r="V763" s="452"/>
      <c r="W763" s="61" t="s">
        <v>46</v>
      </c>
      <c r="X763" s="62"/>
    </row>
    <row r="764" spans="1:24" ht="18.75" customHeight="1">
      <c r="A764" s="55" t="s">
        <v>75</v>
      </c>
      <c r="B764" s="52" t="s">
        <v>41</v>
      </c>
      <c r="C764" s="56"/>
      <c r="D764" s="57"/>
      <c r="E764" s="58" t="s">
        <v>76</v>
      </c>
      <c r="F764" s="58"/>
      <c r="G764" s="58"/>
      <c r="H764" s="52" t="s">
        <v>41</v>
      </c>
      <c r="I764" s="452">
        <f>L761</f>
        <v>0</v>
      </c>
      <c r="J764" s="452"/>
      <c r="K764" s="61" t="s">
        <v>46</v>
      </c>
      <c r="L764" s="62"/>
      <c r="M764" s="55" t="s">
        <v>75</v>
      </c>
      <c r="N764" s="52" t="s">
        <v>41</v>
      </c>
      <c r="O764" s="56"/>
      <c r="P764" s="57"/>
      <c r="Q764" s="58" t="s">
        <v>76</v>
      </c>
      <c r="R764" s="58"/>
      <c r="S764" s="58"/>
      <c r="T764" s="52" t="s">
        <v>41</v>
      </c>
      <c r="U764" s="452">
        <f>X761</f>
        <v>0</v>
      </c>
      <c r="V764" s="452"/>
      <c r="W764" s="61" t="s">
        <v>46</v>
      </c>
      <c r="X764" s="62"/>
    </row>
    <row r="765" spans="1:24" ht="18.75" customHeight="1">
      <c r="A765" s="456" t="s">
        <v>77</v>
      </c>
      <c r="B765" s="457"/>
      <c r="C765" s="457"/>
      <c r="D765" s="457"/>
      <c r="E765" s="457"/>
      <c r="F765" s="457"/>
      <c r="G765" s="52" t="s">
        <v>41</v>
      </c>
      <c r="H765" s="458">
        <f>I752+I753+I754+I755+I756+I759+I763+I764+I757+I758+I760+I761+I762+C763</f>
        <v>0</v>
      </c>
      <c r="I765" s="459"/>
      <c r="J765" s="459"/>
      <c r="K765" s="61" t="s">
        <v>46</v>
      </c>
      <c r="M765" s="456" t="s">
        <v>77</v>
      </c>
      <c r="N765" s="457"/>
      <c r="O765" s="457"/>
      <c r="P765" s="457"/>
      <c r="Q765" s="457"/>
      <c r="R765" s="457"/>
      <c r="S765" s="52" t="s">
        <v>41</v>
      </c>
      <c r="T765" s="458">
        <f>U752+U753+U754+U755+U756+U759+U763+U764+U757+U758+U760+U761+U762+O763</f>
        <v>0</v>
      </c>
      <c r="U765" s="459"/>
      <c r="V765" s="459"/>
      <c r="W765" s="61" t="s">
        <v>46</v>
      </c>
    </row>
    <row r="766" spans="1:24" ht="18.75" customHeight="1">
      <c r="A766" s="67"/>
      <c r="B766" s="68"/>
      <c r="C766" s="68"/>
      <c r="D766" s="68"/>
      <c r="E766" s="68"/>
      <c r="F766" s="68"/>
      <c r="G766" s="68"/>
      <c r="H766" s="68"/>
      <c r="I766" s="68"/>
      <c r="J766" s="68"/>
      <c r="K766" s="69"/>
      <c r="M766" s="67"/>
      <c r="N766" s="68"/>
      <c r="O766" s="68"/>
      <c r="P766" s="68"/>
      <c r="Q766" s="68"/>
      <c r="R766" s="68"/>
      <c r="S766" s="68"/>
      <c r="T766" s="68"/>
      <c r="U766" s="68"/>
      <c r="V766" s="68"/>
      <c r="W766" s="69"/>
    </row>
    <row r="767" spans="1:24" ht="18.75" customHeight="1">
      <c r="A767" s="468" t="s">
        <v>78</v>
      </c>
      <c r="B767" s="469"/>
      <c r="C767" s="469"/>
      <c r="D767" s="469"/>
      <c r="E767" s="469"/>
      <c r="F767" s="469"/>
      <c r="G767" s="52"/>
      <c r="H767" s="52"/>
      <c r="I767" s="52"/>
      <c r="J767" s="52"/>
      <c r="K767" s="61"/>
      <c r="M767" s="468" t="s">
        <v>78</v>
      </c>
      <c r="N767" s="469"/>
      <c r="O767" s="469"/>
      <c r="P767" s="469"/>
      <c r="Q767" s="469"/>
      <c r="R767" s="469"/>
      <c r="S767" s="52"/>
      <c r="T767" s="52"/>
      <c r="U767" s="52"/>
      <c r="V767" s="52"/>
      <c r="W767" s="61"/>
    </row>
    <row r="768" spans="1:24" ht="18.75" customHeight="1">
      <c r="A768" s="462" t="s">
        <v>79</v>
      </c>
      <c r="B768" s="463"/>
      <c r="C768" s="463"/>
      <c r="D768" s="463"/>
      <c r="E768" s="463"/>
      <c r="F768" s="463"/>
      <c r="G768" s="52" t="s">
        <v>41</v>
      </c>
      <c r="H768" s="470">
        <f>IF(($L$1-(C752+C753+C754+C755))&gt;12,0,F749*8%)</f>
        <v>0</v>
      </c>
      <c r="I768" s="470"/>
      <c r="J768" s="470"/>
      <c r="K768" s="61" t="s">
        <v>46</v>
      </c>
      <c r="M768" s="462" t="s">
        <v>79</v>
      </c>
      <c r="N768" s="463"/>
      <c r="O768" s="463"/>
      <c r="P768" s="463"/>
      <c r="Q768" s="463"/>
      <c r="R768" s="463"/>
      <c r="S768" s="52" t="s">
        <v>41</v>
      </c>
      <c r="T768" s="470">
        <f>IF(($L$1-(O752+O753+O754+O755))&gt;12,0,R749*8%)</f>
        <v>0</v>
      </c>
      <c r="U768" s="470"/>
      <c r="V768" s="470"/>
      <c r="W768" s="61" t="s">
        <v>46</v>
      </c>
    </row>
    <row r="769" spans="1:24" ht="18.75" customHeight="1">
      <c r="A769" s="462" t="s">
        <v>80</v>
      </c>
      <c r="B769" s="463"/>
      <c r="C769" s="463"/>
      <c r="D769" s="463"/>
      <c r="E769" s="463"/>
      <c r="F769" s="463"/>
      <c r="G769" s="52" t="s">
        <v>41</v>
      </c>
      <c r="H769" s="464">
        <f>IF(($L$1-(C752+C753+C754+C755))&gt;12,0,F749*1.5%)</f>
        <v>0</v>
      </c>
      <c r="I769" s="464"/>
      <c r="J769" s="464"/>
      <c r="K769" s="61" t="s">
        <v>46</v>
      </c>
      <c r="M769" s="462" t="s">
        <v>80</v>
      </c>
      <c r="N769" s="463"/>
      <c r="O769" s="463"/>
      <c r="P769" s="463"/>
      <c r="Q769" s="463"/>
      <c r="R769" s="463"/>
      <c r="S769" s="52" t="s">
        <v>41</v>
      </c>
      <c r="T769" s="464">
        <f>IF(($L$1-(O752+O753+O754+O755))&gt;12,0,R749*1.5%)</f>
        <v>0</v>
      </c>
      <c r="U769" s="464"/>
      <c r="V769" s="464"/>
      <c r="W769" s="61" t="s">
        <v>46</v>
      </c>
    </row>
    <row r="770" spans="1:24" ht="18.75" customHeight="1">
      <c r="A770" s="462" t="s">
        <v>81</v>
      </c>
      <c r="B770" s="463"/>
      <c r="C770" s="463"/>
      <c r="D770" s="463"/>
      <c r="E770" s="463"/>
      <c r="F770" s="463"/>
      <c r="G770" s="52" t="s">
        <v>41</v>
      </c>
      <c r="H770" s="464">
        <f>IF(($L$1-(C752+C753+C754+C755))&gt;12,0,F749*1%)</f>
        <v>0</v>
      </c>
      <c r="I770" s="464"/>
      <c r="J770" s="464"/>
      <c r="K770" s="61" t="s">
        <v>46</v>
      </c>
      <c r="M770" s="462" t="s">
        <v>81</v>
      </c>
      <c r="N770" s="463"/>
      <c r="O770" s="463"/>
      <c r="P770" s="463"/>
      <c r="Q770" s="463"/>
      <c r="R770" s="463"/>
      <c r="S770" s="52" t="s">
        <v>41</v>
      </c>
      <c r="T770" s="464">
        <f>IF(($L$1-(O752+O753+O754+O755))&gt;12,0,R749*1%)</f>
        <v>0</v>
      </c>
      <c r="U770" s="464"/>
      <c r="V770" s="464"/>
      <c r="W770" s="61" t="s">
        <v>46</v>
      </c>
    </row>
    <row r="771" spans="1:24" ht="18.75" customHeight="1">
      <c r="A771" s="462" t="s">
        <v>82</v>
      </c>
      <c r="B771" s="463"/>
      <c r="C771" s="463"/>
      <c r="D771" s="463"/>
      <c r="E771" s="463"/>
      <c r="F771" s="463"/>
      <c r="G771" s="52" t="s">
        <v>41</v>
      </c>
      <c r="H771" s="464">
        <v>0</v>
      </c>
      <c r="I771" s="464"/>
      <c r="J771" s="464"/>
      <c r="K771" s="61" t="s">
        <v>46</v>
      </c>
      <c r="M771" s="462" t="s">
        <v>82</v>
      </c>
      <c r="N771" s="463"/>
      <c r="O771" s="463"/>
      <c r="P771" s="463"/>
      <c r="Q771" s="463"/>
      <c r="R771" s="463"/>
      <c r="S771" s="52" t="s">
        <v>41</v>
      </c>
      <c r="T771" s="464">
        <v>0</v>
      </c>
      <c r="U771" s="464"/>
      <c r="V771" s="464"/>
      <c r="W771" s="61" t="s">
        <v>46</v>
      </c>
    </row>
    <row r="772" spans="1:24" ht="18.75" customHeight="1">
      <c r="A772" s="465" t="s">
        <v>83</v>
      </c>
      <c r="B772" s="466"/>
      <c r="C772" s="466"/>
      <c r="D772" s="466"/>
      <c r="E772" s="466"/>
      <c r="F772" s="466"/>
      <c r="G772" s="52" t="s">
        <v>41</v>
      </c>
      <c r="H772" s="467">
        <f>SUM(H768:J771)</f>
        <v>0</v>
      </c>
      <c r="I772" s="467"/>
      <c r="J772" s="467"/>
      <c r="K772" s="61" t="s">
        <v>46</v>
      </c>
      <c r="M772" s="465" t="s">
        <v>83</v>
      </c>
      <c r="N772" s="466"/>
      <c r="O772" s="466"/>
      <c r="P772" s="466"/>
      <c r="Q772" s="466"/>
      <c r="R772" s="466"/>
      <c r="S772" s="52" t="s">
        <v>41</v>
      </c>
      <c r="T772" s="467">
        <f>SUM(T768:V771)</f>
        <v>0</v>
      </c>
      <c r="U772" s="467"/>
      <c r="V772" s="467"/>
      <c r="W772" s="61" t="s">
        <v>46</v>
      </c>
    </row>
    <row r="773" spans="1:24" ht="18.75" customHeight="1">
      <c r="A773" s="462" t="s">
        <v>84</v>
      </c>
      <c r="B773" s="463"/>
      <c r="C773" s="463"/>
      <c r="D773" s="463"/>
      <c r="E773" s="463"/>
      <c r="F773" s="463"/>
      <c r="G773" s="52" t="s">
        <v>41</v>
      </c>
      <c r="H773" s="475">
        <f>ROUND(H765-H772,-2)</f>
        <v>0</v>
      </c>
      <c r="I773" s="475"/>
      <c r="J773" s="475"/>
      <c r="K773" s="61" t="s">
        <v>46</v>
      </c>
      <c r="M773" s="462" t="s">
        <v>84</v>
      </c>
      <c r="N773" s="463"/>
      <c r="O773" s="463"/>
      <c r="P773" s="463"/>
      <c r="Q773" s="463"/>
      <c r="R773" s="463"/>
      <c r="S773" s="52" t="s">
        <v>41</v>
      </c>
      <c r="T773" s="475">
        <f>ROUND(T765-T772,-2)</f>
        <v>0</v>
      </c>
      <c r="U773" s="475"/>
      <c r="V773" s="475"/>
      <c r="W773" s="61" t="s">
        <v>46</v>
      </c>
    </row>
    <row r="774" spans="1:24" ht="18.75" customHeight="1">
      <c r="A774" s="70"/>
      <c r="B774" s="71"/>
      <c r="C774" s="71"/>
      <c r="D774" s="71"/>
      <c r="E774" s="71"/>
      <c r="F774" s="71"/>
      <c r="G774" s="71"/>
      <c r="H774" s="71"/>
      <c r="I774" s="71"/>
      <c r="J774" s="71"/>
      <c r="K774" s="72"/>
      <c r="M774" s="70"/>
      <c r="N774" s="71"/>
      <c r="O774" s="71"/>
      <c r="P774" s="71"/>
      <c r="Q774" s="71"/>
      <c r="R774" s="71"/>
      <c r="S774" s="71"/>
      <c r="T774" s="71"/>
      <c r="U774" s="71"/>
      <c r="V774" s="71"/>
      <c r="W774" s="72"/>
    </row>
    <row r="775" spans="1:24" ht="18.75" customHeight="1">
      <c r="A775" s="73"/>
      <c r="B775" s="52"/>
      <c r="C775" s="52"/>
      <c r="D775" s="52"/>
      <c r="E775" s="52"/>
      <c r="F775" s="52"/>
      <c r="G775" s="52"/>
      <c r="H775" s="52"/>
      <c r="I775" s="472" t="s">
        <v>85</v>
      </c>
      <c r="J775" s="472"/>
      <c r="K775" s="476"/>
      <c r="M775" s="73"/>
      <c r="N775" s="52"/>
      <c r="O775" s="52"/>
      <c r="P775" s="52"/>
      <c r="Q775" s="52"/>
      <c r="R775" s="52"/>
      <c r="S775" s="52"/>
      <c r="T775" s="52"/>
      <c r="U775" s="472" t="s">
        <v>85</v>
      </c>
      <c r="V775" s="472"/>
      <c r="W775" s="476"/>
    </row>
    <row r="776" spans="1:24" ht="18.75" customHeight="1">
      <c r="A776" s="73"/>
      <c r="B776" s="471"/>
      <c r="C776" s="472"/>
      <c r="D776" s="472"/>
      <c r="E776" s="472"/>
      <c r="F776" s="52"/>
      <c r="G776" s="52"/>
      <c r="H776" s="52"/>
      <c r="I776" s="52"/>
      <c r="J776" s="52"/>
      <c r="K776" s="54"/>
      <c r="M776" s="73"/>
      <c r="N776" s="471"/>
      <c r="O776" s="472"/>
      <c r="P776" s="472"/>
      <c r="Q776" s="472"/>
      <c r="R776" s="52"/>
      <c r="S776" s="52"/>
      <c r="T776" s="52"/>
      <c r="U776" s="52"/>
      <c r="V776" s="52"/>
      <c r="W776" s="54"/>
    </row>
    <row r="777" spans="1:24" ht="18.75" customHeight="1" thickBot="1">
      <c r="A777" s="75"/>
      <c r="B777" s="76"/>
      <c r="C777" s="76"/>
      <c r="D777" s="76"/>
      <c r="E777" s="76"/>
      <c r="F777" s="76"/>
      <c r="G777" s="76"/>
      <c r="H777" s="76"/>
      <c r="I777" s="473" t="s">
        <v>86</v>
      </c>
      <c r="J777" s="473"/>
      <c r="K777" s="474"/>
      <c r="M777" s="75"/>
      <c r="N777" s="76"/>
      <c r="O777" s="76"/>
      <c r="P777" s="76"/>
      <c r="Q777" s="76"/>
      <c r="R777" s="76"/>
      <c r="S777" s="76"/>
      <c r="T777" s="76"/>
      <c r="U777" s="473" t="s">
        <v>86</v>
      </c>
      <c r="V777" s="473"/>
      <c r="W777" s="474"/>
    </row>
    <row r="778" spans="1:24" ht="18.75" customHeight="1" thickTop="1" thickBot="1"/>
    <row r="779" spans="1:24" ht="18.75" customHeight="1" thickTop="1">
      <c r="A779" s="445" t="s">
        <v>172</v>
      </c>
      <c r="B779" s="446"/>
      <c r="C779" s="446"/>
      <c r="D779" s="446"/>
      <c r="E779" s="446"/>
      <c r="F779" s="446"/>
      <c r="G779" s="446"/>
      <c r="H779" s="446"/>
      <c r="I779" s="446"/>
      <c r="J779" s="446"/>
      <c r="K779" s="447"/>
      <c r="L779" s="48">
        <v>25</v>
      </c>
      <c r="M779" s="445" t="s">
        <v>172</v>
      </c>
      <c r="N779" s="446"/>
      <c r="O779" s="446"/>
      <c r="P779" s="446"/>
      <c r="Q779" s="446"/>
      <c r="R779" s="446"/>
      <c r="S779" s="446"/>
      <c r="T779" s="446"/>
      <c r="U779" s="446"/>
      <c r="V779" s="446"/>
      <c r="W779" s="447"/>
      <c r="X779" s="48">
        <v>25</v>
      </c>
    </row>
    <row r="780" spans="1:24" ht="18.75" customHeight="1">
      <c r="A780" s="49" t="s">
        <v>129</v>
      </c>
      <c r="B780" s="50"/>
      <c r="C780" s="50"/>
      <c r="D780" s="50"/>
      <c r="E780" s="50"/>
      <c r="F780" s="50"/>
      <c r="G780" s="50"/>
      <c r="H780" s="50"/>
      <c r="I780" s="50"/>
      <c r="J780" s="50"/>
      <c r="K780" s="51"/>
      <c r="M780" s="49" t="s">
        <v>130</v>
      </c>
      <c r="N780" s="50"/>
      <c r="O780" s="50"/>
      <c r="P780" s="50"/>
      <c r="Q780" s="50"/>
      <c r="R780" s="50"/>
      <c r="S780" s="50"/>
      <c r="T780" s="50"/>
      <c r="U780" s="50"/>
      <c r="V780" s="50"/>
      <c r="W780" s="51"/>
    </row>
    <row r="781" spans="1:24" ht="18.75" customHeight="1">
      <c r="A781" s="448" t="s">
        <v>39</v>
      </c>
      <c r="B781" s="449"/>
      <c r="C781" s="449"/>
      <c r="D781" s="449"/>
      <c r="E781" s="449"/>
      <c r="F781" s="449"/>
      <c r="G781" s="449"/>
      <c r="H781" s="449"/>
      <c r="I781" s="449"/>
      <c r="J781" s="449"/>
      <c r="K781" s="450"/>
      <c r="M781" s="448" t="s">
        <v>39</v>
      </c>
      <c r="N781" s="449"/>
      <c r="O781" s="449"/>
      <c r="P781" s="449"/>
      <c r="Q781" s="449"/>
      <c r="R781" s="449"/>
      <c r="S781" s="449"/>
      <c r="T781" s="449"/>
      <c r="U781" s="449"/>
      <c r="V781" s="449"/>
      <c r="W781" s="450"/>
    </row>
    <row r="782" spans="1:24" ht="18.75" customHeight="1">
      <c r="A782" s="440" t="s">
        <v>40</v>
      </c>
      <c r="B782" s="441"/>
      <c r="C782" s="441"/>
      <c r="D782" s="441"/>
      <c r="E782" s="52" t="s">
        <v>41</v>
      </c>
      <c r="F782" s="442">
        <f>'Bang TH nop'!B93</f>
        <v>0</v>
      </c>
      <c r="G782" s="441"/>
      <c r="H782" s="441"/>
      <c r="I782" s="441"/>
      <c r="J782" s="441"/>
      <c r="K782" s="444"/>
      <c r="M782" s="440" t="s">
        <v>40</v>
      </c>
      <c r="N782" s="441"/>
      <c r="O782" s="441"/>
      <c r="P782" s="441"/>
      <c r="Q782" s="52" t="s">
        <v>41</v>
      </c>
      <c r="R782" s="442">
        <f>'Bang TH nop'!B95</f>
        <v>0</v>
      </c>
      <c r="S782" s="441"/>
      <c r="T782" s="441"/>
      <c r="U782" s="441"/>
      <c r="V782" s="441"/>
      <c r="W782" s="444"/>
    </row>
    <row r="783" spans="1:24" ht="18.75" customHeight="1">
      <c r="A783" s="440" t="s">
        <v>42</v>
      </c>
      <c r="B783" s="441"/>
      <c r="C783" s="441"/>
      <c r="D783" s="441"/>
      <c r="E783" s="52" t="s">
        <v>41</v>
      </c>
      <c r="F783" s="442">
        <f>'Bang TH nop'!C93</f>
        <v>0</v>
      </c>
      <c r="G783" s="442"/>
      <c r="H783" s="442"/>
      <c r="I783" s="442"/>
      <c r="J783" s="442"/>
      <c r="K783" s="443"/>
      <c r="M783" s="440" t="s">
        <v>42</v>
      </c>
      <c r="N783" s="441"/>
      <c r="O783" s="441"/>
      <c r="P783" s="441"/>
      <c r="Q783" s="52" t="s">
        <v>41</v>
      </c>
      <c r="R783" s="442">
        <f>'Bang TH nop'!C95</f>
        <v>0</v>
      </c>
      <c r="S783" s="442"/>
      <c r="T783" s="442"/>
      <c r="U783" s="442"/>
      <c r="V783" s="442"/>
      <c r="W783" s="443"/>
    </row>
    <row r="784" spans="1:24" ht="18.75" customHeight="1">
      <c r="A784" s="440" t="s">
        <v>43</v>
      </c>
      <c r="B784" s="441"/>
      <c r="C784" s="441"/>
      <c r="D784" s="441"/>
      <c r="E784" s="52" t="s">
        <v>41</v>
      </c>
      <c r="F784" s="441" t="str">
        <f>+$L$2</f>
        <v xml:space="preserve">Tổ  </v>
      </c>
      <c r="G784" s="441"/>
      <c r="H784" s="441"/>
      <c r="I784" s="441"/>
      <c r="J784" s="441"/>
      <c r="K784" s="444"/>
      <c r="M784" s="440" t="s">
        <v>43</v>
      </c>
      <c r="N784" s="441"/>
      <c r="O784" s="441"/>
      <c r="P784" s="441"/>
      <c r="Q784" s="52" t="s">
        <v>41</v>
      </c>
      <c r="R784" s="441" t="str">
        <f>+$L$2</f>
        <v xml:space="preserve">Tổ  </v>
      </c>
      <c r="S784" s="441"/>
      <c r="T784" s="441"/>
      <c r="U784" s="441"/>
      <c r="V784" s="441"/>
      <c r="W784" s="444"/>
    </row>
    <row r="785" spans="1:24" ht="18.75" customHeight="1">
      <c r="A785" s="448" t="s">
        <v>44</v>
      </c>
      <c r="B785" s="449"/>
      <c r="C785" s="449"/>
      <c r="D785" s="449"/>
      <c r="E785" s="449"/>
      <c r="F785" s="449"/>
      <c r="G785" s="449"/>
      <c r="H785" s="449"/>
      <c r="I785" s="449"/>
      <c r="J785" s="449"/>
      <c r="K785" s="450"/>
      <c r="M785" s="448" t="s">
        <v>44</v>
      </c>
      <c r="N785" s="449"/>
      <c r="O785" s="449"/>
      <c r="P785" s="449"/>
      <c r="Q785" s="449"/>
      <c r="R785" s="449"/>
      <c r="S785" s="449"/>
      <c r="T785" s="449"/>
      <c r="U785" s="449"/>
      <c r="V785" s="449"/>
      <c r="W785" s="450"/>
    </row>
    <row r="786" spans="1:24" ht="18.75" customHeight="1">
      <c r="A786" s="440" t="s">
        <v>45</v>
      </c>
      <c r="B786" s="441"/>
      <c r="C786" s="441"/>
      <c r="D786" s="441"/>
      <c r="E786" s="52" t="s">
        <v>41</v>
      </c>
      <c r="F786" s="455">
        <f>VLOOKUP(F783,'Bang TH nop'!$C$9:$AP$266,29,0)</f>
        <v>0</v>
      </c>
      <c r="G786" s="455"/>
      <c r="H786" s="455"/>
      <c r="I786" s="455"/>
      <c r="J786" s="52" t="s">
        <v>46</v>
      </c>
      <c r="K786" s="54"/>
      <c r="M786" s="440" t="s">
        <v>45</v>
      </c>
      <c r="N786" s="441"/>
      <c r="O786" s="441"/>
      <c r="P786" s="441"/>
      <c r="Q786" s="52" t="s">
        <v>41</v>
      </c>
      <c r="R786" s="455">
        <f>VLOOKUP(R783,'Bang TH nop'!$C$9:$AP$266,29,0)</f>
        <v>0</v>
      </c>
      <c r="S786" s="455"/>
      <c r="T786" s="455"/>
      <c r="U786" s="455"/>
      <c r="V786" s="52" t="s">
        <v>46</v>
      </c>
      <c r="W786" s="54"/>
    </row>
    <row r="787" spans="1:24" ht="18.75" customHeight="1">
      <c r="A787" s="55" t="s">
        <v>47</v>
      </c>
      <c r="B787" s="52"/>
      <c r="C787" s="56"/>
      <c r="D787" s="57"/>
      <c r="E787" s="58"/>
      <c r="F787" s="58"/>
      <c r="G787" s="58"/>
      <c r="H787" s="52"/>
      <c r="I787" s="59">
        <f>'LƯƠNG Tx'!F93</f>
        <v>0</v>
      </c>
      <c r="J787" s="60"/>
      <c r="K787" s="61"/>
      <c r="M787" s="55" t="s">
        <v>47</v>
      </c>
      <c r="N787" s="52"/>
      <c r="O787" s="56"/>
      <c r="P787" s="57"/>
      <c r="Q787" s="58"/>
      <c r="R787" s="58"/>
      <c r="S787" s="58"/>
      <c r="T787" s="52"/>
      <c r="U787" s="59">
        <f>'LƯƠNG Tx'!F95</f>
        <v>0</v>
      </c>
      <c r="V787" s="60"/>
      <c r="W787" s="61"/>
    </row>
    <row r="788" spans="1:24" ht="18.75" customHeight="1">
      <c r="A788" s="55" t="s">
        <v>48</v>
      </c>
      <c r="B788" s="52"/>
      <c r="C788" s="56"/>
      <c r="D788" s="57"/>
      <c r="E788" s="58"/>
      <c r="F788" s="58"/>
      <c r="G788" s="58"/>
      <c r="H788" s="52"/>
      <c r="I788" s="59" t="e">
        <f>I789/C789/8</f>
        <v>#DIV/0!</v>
      </c>
      <c r="J788" s="60"/>
      <c r="K788" s="61"/>
      <c r="M788" s="55" t="s">
        <v>48</v>
      </c>
      <c r="N788" s="52"/>
      <c r="O788" s="56"/>
      <c r="P788" s="57"/>
      <c r="Q788" s="58"/>
      <c r="R788" s="58"/>
      <c r="S788" s="58"/>
      <c r="T788" s="52"/>
      <c r="U788" s="59" t="e">
        <f>U789/O789/8</f>
        <v>#DIV/0!</v>
      </c>
      <c r="V788" s="60"/>
      <c r="W788" s="61"/>
    </row>
    <row r="789" spans="1:24" ht="18.75" customHeight="1">
      <c r="A789" s="55" t="s">
        <v>49</v>
      </c>
      <c r="B789" s="52" t="s">
        <v>41</v>
      </c>
      <c r="C789" s="56">
        <f>'LƯƠNG Tx'!I92</f>
        <v>0</v>
      </c>
      <c r="D789" s="57" t="s">
        <v>50</v>
      </c>
      <c r="E789" s="453" t="s">
        <v>51</v>
      </c>
      <c r="F789" s="453"/>
      <c r="G789" s="453"/>
      <c r="H789" s="52" t="s">
        <v>41</v>
      </c>
      <c r="I789" s="454">
        <f>'LƯƠNG Tx'!I93</f>
        <v>0</v>
      </c>
      <c r="J789" s="454"/>
      <c r="K789" s="61" t="s">
        <v>46</v>
      </c>
      <c r="L789" s="62">
        <f>F786/L779*C789</f>
        <v>0</v>
      </c>
      <c r="M789" s="55" t="s">
        <v>49</v>
      </c>
      <c r="N789" s="52" t="s">
        <v>41</v>
      </c>
      <c r="O789" s="56">
        <f>'LƯƠNG Tx'!I94</f>
        <v>0</v>
      </c>
      <c r="P789" s="57" t="s">
        <v>50</v>
      </c>
      <c r="Q789" s="453" t="s">
        <v>51</v>
      </c>
      <c r="R789" s="453"/>
      <c r="S789" s="453"/>
      <c r="T789" s="52" t="s">
        <v>41</v>
      </c>
      <c r="U789" s="454" t="e">
        <f>U787*680/((O789-O796)*8+O796*7+O793)*((O789-O796)*8+O796*7)</f>
        <v>#DIV/0!</v>
      </c>
      <c r="V789" s="454"/>
      <c r="W789" s="61" t="s">
        <v>46</v>
      </c>
      <c r="X789" s="62">
        <f>R786/X779*O789</f>
        <v>0</v>
      </c>
    </row>
    <row r="790" spans="1:24" ht="18.75" customHeight="1">
      <c r="A790" s="55" t="s">
        <v>52</v>
      </c>
      <c r="B790" s="52" t="s">
        <v>41</v>
      </c>
      <c r="C790" s="56">
        <f>'LƯƠNG Tx'!J92</f>
        <v>0</v>
      </c>
      <c r="D790" s="57" t="s">
        <v>50</v>
      </c>
      <c r="E790" s="441" t="s">
        <v>53</v>
      </c>
      <c r="F790" s="441"/>
      <c r="G790" s="441"/>
      <c r="H790" s="52" t="s">
        <v>41</v>
      </c>
      <c r="I790" s="452">
        <f>$F$8/$L$1*C790</f>
        <v>0</v>
      </c>
      <c r="J790" s="452"/>
      <c r="K790" s="61" t="s">
        <v>46</v>
      </c>
      <c r="L790" s="62"/>
      <c r="M790" s="55" t="s">
        <v>52</v>
      </c>
      <c r="N790" s="52" t="s">
        <v>41</v>
      </c>
      <c r="O790" s="56">
        <f>'LƯƠNG Tx'!J94</f>
        <v>0</v>
      </c>
      <c r="P790" s="57" t="s">
        <v>50</v>
      </c>
      <c r="Q790" s="441" t="s">
        <v>53</v>
      </c>
      <c r="R790" s="441"/>
      <c r="S790" s="441"/>
      <c r="T790" s="52" t="s">
        <v>41</v>
      </c>
      <c r="U790" s="452">
        <f>$F$8/$L$1*O790</f>
        <v>0</v>
      </c>
      <c r="V790" s="452"/>
      <c r="W790" s="61" t="s">
        <v>46</v>
      </c>
      <c r="X790" s="62"/>
    </row>
    <row r="791" spans="1:24" ht="18.75" customHeight="1">
      <c r="A791" s="55" t="s">
        <v>54</v>
      </c>
      <c r="B791" s="52" t="s">
        <v>41</v>
      </c>
      <c r="C791" s="56">
        <f>'LƯƠNG Tx'!K92</f>
        <v>0</v>
      </c>
      <c r="D791" s="57" t="s">
        <v>50</v>
      </c>
      <c r="E791" s="451" t="s">
        <v>55</v>
      </c>
      <c r="F791" s="451"/>
      <c r="G791" s="451"/>
      <c r="H791" s="52" t="s">
        <v>41</v>
      </c>
      <c r="I791" s="452">
        <f>$F$8/$L$1*C791</f>
        <v>0</v>
      </c>
      <c r="J791" s="452"/>
      <c r="K791" s="61" t="s">
        <v>46</v>
      </c>
      <c r="L791" s="62"/>
      <c r="M791" s="55" t="s">
        <v>54</v>
      </c>
      <c r="N791" s="52" t="s">
        <v>41</v>
      </c>
      <c r="O791" s="56">
        <f>'LƯƠNG Tx'!K94</f>
        <v>0</v>
      </c>
      <c r="P791" s="57" t="s">
        <v>50</v>
      </c>
      <c r="Q791" s="451" t="s">
        <v>55</v>
      </c>
      <c r="R791" s="451"/>
      <c r="S791" s="451"/>
      <c r="T791" s="52" t="s">
        <v>41</v>
      </c>
      <c r="U791" s="452">
        <f>$F$8/$L$1*O791</f>
        <v>0</v>
      </c>
      <c r="V791" s="452"/>
      <c r="W791" s="61" t="s">
        <v>46</v>
      </c>
      <c r="X791" s="62"/>
    </row>
    <row r="792" spans="1:24" ht="18.75" customHeight="1">
      <c r="A792" s="55" t="s">
        <v>56</v>
      </c>
      <c r="B792" s="52" t="s">
        <v>41</v>
      </c>
      <c r="C792" s="56">
        <f>'LƯƠNG Tx'!L92</f>
        <v>0</v>
      </c>
      <c r="D792" s="57" t="s">
        <v>50</v>
      </c>
      <c r="E792" s="451" t="s">
        <v>57</v>
      </c>
      <c r="F792" s="451"/>
      <c r="G792" s="451"/>
      <c r="H792" s="52" t="s">
        <v>41</v>
      </c>
      <c r="I792" s="452">
        <f>$F$8/$L$1*C792</f>
        <v>0</v>
      </c>
      <c r="J792" s="452"/>
      <c r="K792" s="61" t="s">
        <v>46</v>
      </c>
      <c r="L792" s="62"/>
      <c r="M792" s="55" t="s">
        <v>56</v>
      </c>
      <c r="N792" s="52" t="s">
        <v>41</v>
      </c>
      <c r="O792" s="56">
        <f>'LƯƠNG Tx'!L94</f>
        <v>0</v>
      </c>
      <c r="P792" s="57" t="s">
        <v>50</v>
      </c>
      <c r="Q792" s="451" t="s">
        <v>57</v>
      </c>
      <c r="R792" s="451"/>
      <c r="S792" s="451"/>
      <c r="T792" s="52" t="s">
        <v>41</v>
      </c>
      <c r="U792" s="452">
        <f>$F$8/$L$1*O792</f>
        <v>0</v>
      </c>
      <c r="V792" s="452"/>
      <c r="W792" s="61" t="s">
        <v>46</v>
      </c>
      <c r="X792" s="62"/>
    </row>
    <row r="793" spans="1:24" ht="18.75" customHeight="1">
      <c r="A793" s="55" t="s">
        <v>58</v>
      </c>
      <c r="B793" s="52" t="s">
        <v>41</v>
      </c>
      <c r="C793" s="56">
        <f>'LƯƠNG Tx'!Q92</f>
        <v>0</v>
      </c>
      <c r="D793" s="57" t="s">
        <v>59</v>
      </c>
      <c r="E793" s="441" t="s">
        <v>60</v>
      </c>
      <c r="F793" s="441"/>
      <c r="G793" s="441"/>
      <c r="H793" s="52" t="s">
        <v>41</v>
      </c>
      <c r="I793" s="452">
        <f>'LƯƠNG Tx'!Q93</f>
        <v>0</v>
      </c>
      <c r="J793" s="452"/>
      <c r="K793" s="61" t="s">
        <v>46</v>
      </c>
      <c r="L793" s="62">
        <f>F786*C793/L779/8*1.5</f>
        <v>0</v>
      </c>
      <c r="M793" s="55" t="s">
        <v>58</v>
      </c>
      <c r="N793" s="52" t="s">
        <v>41</v>
      </c>
      <c r="O793" s="56">
        <f>'LƯƠNG Tx'!Q94</f>
        <v>0</v>
      </c>
      <c r="P793" s="57" t="s">
        <v>59</v>
      </c>
      <c r="Q793" s="441" t="s">
        <v>60</v>
      </c>
      <c r="R793" s="441"/>
      <c r="S793" s="441"/>
      <c r="T793" s="52" t="s">
        <v>41</v>
      </c>
      <c r="U793" s="452" t="e">
        <f>U789/O789/8*O793</f>
        <v>#DIV/0!</v>
      </c>
      <c r="V793" s="452"/>
      <c r="W793" s="61" t="s">
        <v>46</v>
      </c>
      <c r="X793" s="62">
        <f>R786*O793/X779/8*1.5</f>
        <v>0</v>
      </c>
    </row>
    <row r="794" spans="1:24" ht="18.75" customHeight="1">
      <c r="A794" s="440" t="s">
        <v>61</v>
      </c>
      <c r="B794" s="441"/>
      <c r="C794" s="56"/>
      <c r="D794" s="57" t="s">
        <v>50</v>
      </c>
      <c r="E794" s="441" t="s">
        <v>62</v>
      </c>
      <c r="F794" s="441"/>
      <c r="G794" s="441"/>
      <c r="H794" s="63" t="s">
        <v>41</v>
      </c>
      <c r="I794" s="452"/>
      <c r="J794" s="452"/>
      <c r="K794" s="61" t="s">
        <v>46</v>
      </c>
      <c r="L794" s="62"/>
      <c r="M794" s="440" t="s">
        <v>61</v>
      </c>
      <c r="N794" s="441"/>
      <c r="O794" s="56"/>
      <c r="P794" s="57" t="s">
        <v>50</v>
      </c>
      <c r="Q794" s="441" t="s">
        <v>62</v>
      </c>
      <c r="R794" s="441"/>
      <c r="S794" s="441"/>
      <c r="T794" s="63" t="s">
        <v>41</v>
      </c>
      <c r="U794" s="452"/>
      <c r="V794" s="452"/>
      <c r="W794" s="61" t="s">
        <v>46</v>
      </c>
      <c r="X794" s="62"/>
    </row>
    <row r="795" spans="1:24" ht="18.75" customHeight="1">
      <c r="A795" s="55" t="s">
        <v>63</v>
      </c>
      <c r="B795" s="52" t="s">
        <v>41</v>
      </c>
      <c r="C795" s="56"/>
      <c r="D795" s="57" t="s">
        <v>50</v>
      </c>
      <c r="E795" s="441" t="s">
        <v>64</v>
      </c>
      <c r="F795" s="441"/>
      <c r="G795" s="441"/>
      <c r="H795" s="52" t="s">
        <v>41</v>
      </c>
      <c r="I795" s="452"/>
      <c r="J795" s="452"/>
      <c r="K795" s="61" t="s">
        <v>46</v>
      </c>
      <c r="L795" s="62"/>
      <c r="M795" s="55" t="s">
        <v>63</v>
      </c>
      <c r="N795" s="52" t="s">
        <v>41</v>
      </c>
      <c r="O795" s="56"/>
      <c r="P795" s="57" t="s">
        <v>50</v>
      </c>
      <c r="Q795" s="441" t="s">
        <v>64</v>
      </c>
      <c r="R795" s="441"/>
      <c r="S795" s="441"/>
      <c r="T795" s="52" t="s">
        <v>41</v>
      </c>
      <c r="U795" s="452"/>
      <c r="V795" s="452"/>
      <c r="W795" s="61" t="s">
        <v>46</v>
      </c>
      <c r="X795" s="62"/>
    </row>
    <row r="796" spans="1:24" ht="18.75" customHeight="1">
      <c r="A796" s="64" t="s">
        <v>65</v>
      </c>
      <c r="B796" s="52"/>
      <c r="C796" s="56">
        <f>'LƯƠNG Tx'!M92</f>
        <v>0</v>
      </c>
      <c r="D796" s="57" t="s">
        <v>59</v>
      </c>
      <c r="E796" s="441" t="s">
        <v>66</v>
      </c>
      <c r="F796" s="441"/>
      <c r="G796" s="441"/>
      <c r="H796" s="52" t="s">
        <v>41</v>
      </c>
      <c r="I796" s="452">
        <f>$F$8*C796/8/$L$1</f>
        <v>0</v>
      </c>
      <c r="J796" s="452"/>
      <c r="K796" s="61" t="s">
        <v>46</v>
      </c>
      <c r="L796" s="62"/>
      <c r="M796" s="64" t="s">
        <v>65</v>
      </c>
      <c r="N796" s="52"/>
      <c r="O796" s="56">
        <f>'LƯƠNG Tx'!M94</f>
        <v>0</v>
      </c>
      <c r="P796" s="57" t="s">
        <v>59</v>
      </c>
      <c r="Q796" s="441" t="s">
        <v>66</v>
      </c>
      <c r="R796" s="441"/>
      <c r="S796" s="441"/>
      <c r="T796" s="52" t="s">
        <v>41</v>
      </c>
      <c r="U796" s="452">
        <f>$F$8*O796/8/$L$1</f>
        <v>0</v>
      </c>
      <c r="V796" s="452"/>
      <c r="W796" s="61" t="s">
        <v>46</v>
      </c>
      <c r="X796" s="62"/>
    </row>
    <row r="797" spans="1:24" ht="18.75" customHeight="1">
      <c r="A797" s="55" t="s">
        <v>67</v>
      </c>
      <c r="B797" s="52" t="s">
        <v>41</v>
      </c>
      <c r="C797" s="56"/>
      <c r="D797" s="57" t="s">
        <v>59</v>
      </c>
      <c r="E797" s="441" t="s">
        <v>68</v>
      </c>
      <c r="F797" s="441"/>
      <c r="G797" s="441"/>
      <c r="H797" s="52" t="s">
        <v>41</v>
      </c>
      <c r="I797" s="454"/>
      <c r="J797" s="454"/>
      <c r="K797" s="61" t="s">
        <v>46</v>
      </c>
      <c r="L797" s="62"/>
      <c r="M797" s="55" t="s">
        <v>67</v>
      </c>
      <c r="N797" s="52" t="s">
        <v>41</v>
      </c>
      <c r="O797" s="56"/>
      <c r="P797" s="57" t="s">
        <v>59</v>
      </c>
      <c r="Q797" s="441" t="s">
        <v>68</v>
      </c>
      <c r="R797" s="441"/>
      <c r="S797" s="441"/>
      <c r="T797" s="52" t="s">
        <v>41</v>
      </c>
      <c r="U797" s="454"/>
      <c r="V797" s="454"/>
      <c r="W797" s="61" t="s">
        <v>46</v>
      </c>
      <c r="X797" s="62"/>
    </row>
    <row r="798" spans="1:24" ht="18.75" customHeight="1">
      <c r="A798" s="55" t="s">
        <v>69</v>
      </c>
      <c r="B798" s="52" t="s">
        <v>41</v>
      </c>
      <c r="C798" s="56"/>
      <c r="D798" s="57" t="s">
        <v>70</v>
      </c>
      <c r="E798" s="53" t="s">
        <v>71</v>
      </c>
      <c r="F798" s="53"/>
      <c r="G798" s="53"/>
      <c r="H798" s="52" t="s">
        <v>41</v>
      </c>
      <c r="I798" s="452"/>
      <c r="J798" s="452"/>
      <c r="K798" s="61" t="s">
        <v>46</v>
      </c>
      <c r="L798" s="62">
        <f>+IF(L789-I789&lt;0,0,L789-I789)+IF(L793-I793&lt;0,0,L793-I793)</f>
        <v>0</v>
      </c>
      <c r="M798" s="55" t="s">
        <v>69</v>
      </c>
      <c r="N798" s="52" t="s">
        <v>41</v>
      </c>
      <c r="O798" s="56"/>
      <c r="P798" s="57" t="s">
        <v>70</v>
      </c>
      <c r="Q798" s="53" t="s">
        <v>71</v>
      </c>
      <c r="R798" s="53"/>
      <c r="S798" s="53"/>
      <c r="T798" s="52" t="s">
        <v>41</v>
      </c>
      <c r="U798" s="452"/>
      <c r="V798" s="452"/>
      <c r="W798" s="61" t="s">
        <v>46</v>
      </c>
      <c r="X798" s="62" t="e">
        <f>+IF(X789-U789&lt;0,0,X789-U789)+IF(X793-U793&lt;0,0,X793-U793)</f>
        <v>#DIV/0!</v>
      </c>
    </row>
    <row r="799" spans="1:24" ht="18.75" customHeight="1">
      <c r="A799" s="65" t="s">
        <v>72</v>
      </c>
      <c r="B799" s="66"/>
      <c r="C799" s="56"/>
      <c r="D799" s="57" t="s">
        <v>50</v>
      </c>
      <c r="E799" s="441" t="s">
        <v>73</v>
      </c>
      <c r="F799" s="441"/>
      <c r="G799" s="441"/>
      <c r="H799" s="52" t="s">
        <v>41</v>
      </c>
      <c r="I799" s="452"/>
      <c r="J799" s="452"/>
      <c r="K799" s="61" t="s">
        <v>46</v>
      </c>
      <c r="L799" s="62"/>
      <c r="M799" s="65" t="s">
        <v>72</v>
      </c>
      <c r="N799" s="66"/>
      <c r="O799" s="56"/>
      <c r="P799" s="57" t="s">
        <v>50</v>
      </c>
      <c r="Q799" s="441" t="s">
        <v>73</v>
      </c>
      <c r="R799" s="441"/>
      <c r="S799" s="441"/>
      <c r="T799" s="52" t="s">
        <v>41</v>
      </c>
      <c r="U799" s="452"/>
      <c r="V799" s="452"/>
      <c r="W799" s="61" t="s">
        <v>46</v>
      </c>
      <c r="X799" s="62"/>
    </row>
    <row r="800" spans="1:24" ht="18.75" customHeight="1">
      <c r="A800" s="477" t="s">
        <v>74</v>
      </c>
      <c r="B800" s="453"/>
      <c r="C800" s="56"/>
      <c r="D800" s="57"/>
      <c r="E800" s="58"/>
      <c r="F800" s="58"/>
      <c r="G800" s="58"/>
      <c r="H800" s="52" t="s">
        <v>41</v>
      </c>
      <c r="I800" s="452">
        <f>'LƯƠNG Tx'!P93</f>
        <v>0</v>
      </c>
      <c r="J800" s="452"/>
      <c r="K800" s="61" t="s">
        <v>46</v>
      </c>
      <c r="L800" s="62"/>
      <c r="M800" s="477" t="s">
        <v>74</v>
      </c>
      <c r="N800" s="453"/>
      <c r="O800" s="56"/>
      <c r="P800" s="57"/>
      <c r="Q800" s="58"/>
      <c r="R800" s="58"/>
      <c r="S800" s="58"/>
      <c r="T800" s="52" t="s">
        <v>41</v>
      </c>
      <c r="U800" s="452">
        <f>'LƯƠNG Tx'!P95</f>
        <v>0</v>
      </c>
      <c r="V800" s="452"/>
      <c r="W800" s="61" t="s">
        <v>46</v>
      </c>
      <c r="X800" s="62"/>
    </row>
    <row r="801" spans="1:24" ht="18.75" customHeight="1">
      <c r="A801" s="55" t="s">
        <v>75</v>
      </c>
      <c r="B801" s="52" t="s">
        <v>41</v>
      </c>
      <c r="C801" s="56"/>
      <c r="D801" s="57"/>
      <c r="E801" s="58" t="s">
        <v>76</v>
      </c>
      <c r="F801" s="58"/>
      <c r="G801" s="58"/>
      <c r="H801" s="52" t="s">
        <v>41</v>
      </c>
      <c r="I801" s="452">
        <f>L798</f>
        <v>0</v>
      </c>
      <c r="J801" s="452"/>
      <c r="K801" s="61" t="s">
        <v>46</v>
      </c>
      <c r="L801" s="62"/>
      <c r="M801" s="55" t="s">
        <v>75</v>
      </c>
      <c r="N801" s="52" t="s">
        <v>41</v>
      </c>
      <c r="O801" s="56"/>
      <c r="P801" s="57"/>
      <c r="Q801" s="58" t="s">
        <v>76</v>
      </c>
      <c r="R801" s="58"/>
      <c r="S801" s="58"/>
      <c r="T801" s="52" t="s">
        <v>41</v>
      </c>
      <c r="U801" s="452" t="e">
        <f>X798</f>
        <v>#DIV/0!</v>
      </c>
      <c r="V801" s="452"/>
      <c r="W801" s="61" t="s">
        <v>46</v>
      </c>
      <c r="X801" s="62"/>
    </row>
    <row r="802" spans="1:24" ht="18.75" customHeight="1">
      <c r="A802" s="456" t="s">
        <v>77</v>
      </c>
      <c r="B802" s="457"/>
      <c r="C802" s="457"/>
      <c r="D802" s="457"/>
      <c r="E802" s="457"/>
      <c r="F802" s="457"/>
      <c r="G802" s="52" t="s">
        <v>41</v>
      </c>
      <c r="H802" s="458">
        <f>I789+I790+I791+I792+I793+I796+I800+I801+I794+I795+I797+I798+I799+C800</f>
        <v>0</v>
      </c>
      <c r="I802" s="459"/>
      <c r="J802" s="459"/>
      <c r="K802" s="61" t="s">
        <v>46</v>
      </c>
      <c r="M802" s="456" t="s">
        <v>77</v>
      </c>
      <c r="N802" s="457"/>
      <c r="O802" s="457"/>
      <c r="P802" s="457"/>
      <c r="Q802" s="457"/>
      <c r="R802" s="457"/>
      <c r="S802" s="52" t="s">
        <v>41</v>
      </c>
      <c r="T802" s="458" t="e">
        <f>U789+U790+U791+U792+U793+U796+U800+U801+U794+U795+U797+U798+U799+O800</f>
        <v>#DIV/0!</v>
      </c>
      <c r="U802" s="459"/>
      <c r="V802" s="459"/>
      <c r="W802" s="61" t="s">
        <v>46</v>
      </c>
    </row>
    <row r="803" spans="1:24" ht="18.75" customHeight="1">
      <c r="A803" s="67"/>
      <c r="B803" s="68"/>
      <c r="C803" s="68"/>
      <c r="D803" s="68"/>
      <c r="E803" s="68"/>
      <c r="F803" s="68"/>
      <c r="G803" s="68"/>
      <c r="H803" s="68"/>
      <c r="I803" s="68"/>
      <c r="J803" s="68"/>
      <c r="K803" s="69"/>
      <c r="M803" s="67"/>
      <c r="N803" s="68"/>
      <c r="O803" s="68"/>
      <c r="P803" s="68"/>
      <c r="Q803" s="68"/>
      <c r="R803" s="68"/>
      <c r="S803" s="68"/>
      <c r="T803" s="68"/>
      <c r="U803" s="68"/>
      <c r="V803" s="68"/>
      <c r="W803" s="69"/>
    </row>
    <row r="804" spans="1:24" ht="18.75" customHeight="1">
      <c r="A804" s="468" t="s">
        <v>78</v>
      </c>
      <c r="B804" s="469"/>
      <c r="C804" s="469"/>
      <c r="D804" s="469"/>
      <c r="E804" s="469"/>
      <c r="F804" s="469"/>
      <c r="G804" s="52"/>
      <c r="H804" s="52"/>
      <c r="I804" s="52"/>
      <c r="J804" s="52"/>
      <c r="K804" s="61"/>
      <c r="M804" s="468" t="s">
        <v>78</v>
      </c>
      <c r="N804" s="469"/>
      <c r="O804" s="469"/>
      <c r="P804" s="469"/>
      <c r="Q804" s="469"/>
      <c r="R804" s="469"/>
      <c r="S804" s="52"/>
      <c r="T804" s="52"/>
      <c r="U804" s="52"/>
      <c r="V804" s="52"/>
      <c r="W804" s="61"/>
    </row>
    <row r="805" spans="1:24" ht="18.75" customHeight="1">
      <c r="A805" s="462" t="s">
        <v>79</v>
      </c>
      <c r="B805" s="463"/>
      <c r="C805" s="463"/>
      <c r="D805" s="463"/>
      <c r="E805" s="463"/>
      <c r="F805" s="463"/>
      <c r="G805" s="52" t="s">
        <v>41</v>
      </c>
      <c r="H805" s="470">
        <f>IF(($L$1-(C789+C790+C791+C792))&gt;12,0,F786*8%)</f>
        <v>0</v>
      </c>
      <c r="I805" s="470"/>
      <c r="J805" s="470"/>
      <c r="K805" s="61" t="s">
        <v>46</v>
      </c>
      <c r="M805" s="462" t="s">
        <v>79</v>
      </c>
      <c r="N805" s="463"/>
      <c r="O805" s="463"/>
      <c r="P805" s="463"/>
      <c r="Q805" s="463"/>
      <c r="R805" s="463"/>
      <c r="S805" s="52" t="s">
        <v>41</v>
      </c>
      <c r="T805" s="470">
        <f>IF(($L$1-(O789+O790+O791+O792))&gt;12,0,R786*8%)</f>
        <v>0</v>
      </c>
      <c r="U805" s="470"/>
      <c r="V805" s="470"/>
      <c r="W805" s="61" t="s">
        <v>46</v>
      </c>
    </row>
    <row r="806" spans="1:24" ht="18.75" customHeight="1">
      <c r="A806" s="462" t="s">
        <v>80</v>
      </c>
      <c r="B806" s="463"/>
      <c r="C806" s="463"/>
      <c r="D806" s="463"/>
      <c r="E806" s="463"/>
      <c r="F806" s="463"/>
      <c r="G806" s="52" t="s">
        <v>41</v>
      </c>
      <c r="H806" s="464">
        <f>IF(($L$1-(C789+C790+C791+C792))&gt;12,0,F786*1.5%)</f>
        <v>0</v>
      </c>
      <c r="I806" s="464"/>
      <c r="J806" s="464"/>
      <c r="K806" s="61" t="s">
        <v>46</v>
      </c>
      <c r="M806" s="462" t="s">
        <v>80</v>
      </c>
      <c r="N806" s="463"/>
      <c r="O806" s="463"/>
      <c r="P806" s="463"/>
      <c r="Q806" s="463"/>
      <c r="R806" s="463"/>
      <c r="S806" s="52" t="s">
        <v>41</v>
      </c>
      <c r="T806" s="464">
        <f>IF(($L$1-(O789+O790+O791+O792))&gt;12,0,R786*1.5%)</f>
        <v>0</v>
      </c>
      <c r="U806" s="464"/>
      <c r="V806" s="464"/>
      <c r="W806" s="61" t="s">
        <v>46</v>
      </c>
    </row>
    <row r="807" spans="1:24" ht="18.75" customHeight="1">
      <c r="A807" s="462" t="s">
        <v>81</v>
      </c>
      <c r="B807" s="463"/>
      <c r="C807" s="463"/>
      <c r="D807" s="463"/>
      <c r="E807" s="463"/>
      <c r="F807" s="463"/>
      <c r="G807" s="52" t="s">
        <v>41</v>
      </c>
      <c r="H807" s="464">
        <f>IF(($L$1-(C789+C790+C791+C792))&gt;12,0,F786*1%)</f>
        <v>0</v>
      </c>
      <c r="I807" s="464"/>
      <c r="J807" s="464"/>
      <c r="K807" s="61" t="s">
        <v>46</v>
      </c>
      <c r="M807" s="462" t="s">
        <v>81</v>
      </c>
      <c r="N807" s="463"/>
      <c r="O807" s="463"/>
      <c r="P807" s="463"/>
      <c r="Q807" s="463"/>
      <c r="R807" s="463"/>
      <c r="S807" s="52" t="s">
        <v>41</v>
      </c>
      <c r="T807" s="464">
        <f>IF(($L$1-(O789+O790+O791+O792))&gt;12,0,R786*1%)</f>
        <v>0</v>
      </c>
      <c r="U807" s="464"/>
      <c r="V807" s="464"/>
      <c r="W807" s="61" t="s">
        <v>46</v>
      </c>
    </row>
    <row r="808" spans="1:24" ht="18.75" customHeight="1">
      <c r="A808" s="462" t="s">
        <v>82</v>
      </c>
      <c r="B808" s="463"/>
      <c r="C808" s="463"/>
      <c r="D808" s="463"/>
      <c r="E808" s="463"/>
      <c r="F808" s="463"/>
      <c r="G808" s="52" t="s">
        <v>41</v>
      </c>
      <c r="H808" s="464">
        <v>0</v>
      </c>
      <c r="I808" s="464"/>
      <c r="J808" s="464"/>
      <c r="K808" s="61" t="s">
        <v>46</v>
      </c>
      <c r="M808" s="462" t="s">
        <v>82</v>
      </c>
      <c r="N808" s="463"/>
      <c r="O808" s="463"/>
      <c r="P808" s="463"/>
      <c r="Q808" s="463"/>
      <c r="R808" s="463"/>
      <c r="S808" s="52" t="s">
        <v>41</v>
      </c>
      <c r="T808" s="464">
        <v>0</v>
      </c>
      <c r="U808" s="464"/>
      <c r="V808" s="464"/>
      <c r="W808" s="61" t="s">
        <v>46</v>
      </c>
    </row>
    <row r="809" spans="1:24" ht="18.75" customHeight="1">
      <c r="A809" s="465" t="s">
        <v>83</v>
      </c>
      <c r="B809" s="466"/>
      <c r="C809" s="466"/>
      <c r="D809" s="466"/>
      <c r="E809" s="466"/>
      <c r="F809" s="466"/>
      <c r="G809" s="52" t="s">
        <v>41</v>
      </c>
      <c r="H809" s="467">
        <f>SUM(H805:J808)</f>
        <v>0</v>
      </c>
      <c r="I809" s="467"/>
      <c r="J809" s="467"/>
      <c r="K809" s="61" t="s">
        <v>46</v>
      </c>
      <c r="M809" s="465" t="s">
        <v>83</v>
      </c>
      <c r="N809" s="466"/>
      <c r="O809" s="466"/>
      <c r="P809" s="466"/>
      <c r="Q809" s="466"/>
      <c r="R809" s="466"/>
      <c r="S809" s="52" t="s">
        <v>41</v>
      </c>
      <c r="T809" s="467">
        <f>SUM(T805:V808)</f>
        <v>0</v>
      </c>
      <c r="U809" s="467"/>
      <c r="V809" s="467"/>
      <c r="W809" s="61" t="s">
        <v>46</v>
      </c>
    </row>
    <row r="810" spans="1:24" ht="18.75" customHeight="1">
      <c r="A810" s="462" t="s">
        <v>84</v>
      </c>
      <c r="B810" s="463"/>
      <c r="C810" s="463"/>
      <c r="D810" s="463"/>
      <c r="E810" s="463"/>
      <c r="F810" s="463"/>
      <c r="G810" s="52" t="s">
        <v>41</v>
      </c>
      <c r="H810" s="475">
        <f>ROUND(H802-H809,-2)</f>
        <v>0</v>
      </c>
      <c r="I810" s="475"/>
      <c r="J810" s="475"/>
      <c r="K810" s="61" t="s">
        <v>46</v>
      </c>
      <c r="M810" s="462" t="s">
        <v>84</v>
      </c>
      <c r="N810" s="463"/>
      <c r="O810" s="463"/>
      <c r="P810" s="463"/>
      <c r="Q810" s="463"/>
      <c r="R810" s="463"/>
      <c r="S810" s="52" t="s">
        <v>41</v>
      </c>
      <c r="T810" s="475" t="e">
        <f>ROUND(T802-T809,-2)</f>
        <v>#DIV/0!</v>
      </c>
      <c r="U810" s="475"/>
      <c r="V810" s="475"/>
      <c r="W810" s="61" t="s">
        <v>46</v>
      </c>
    </row>
    <row r="811" spans="1:24" ht="18.75" customHeight="1">
      <c r="A811" s="70"/>
      <c r="B811" s="71"/>
      <c r="C811" s="71"/>
      <c r="D811" s="71"/>
      <c r="E811" s="71"/>
      <c r="F811" s="71"/>
      <c r="G811" s="71"/>
      <c r="H811" s="71"/>
      <c r="I811" s="71"/>
      <c r="J811" s="71"/>
      <c r="K811" s="72"/>
      <c r="M811" s="70"/>
      <c r="N811" s="71"/>
      <c r="O811" s="71"/>
      <c r="P811" s="71"/>
      <c r="Q811" s="71"/>
      <c r="R811" s="71"/>
      <c r="S811" s="71"/>
      <c r="T811" s="71"/>
      <c r="U811" s="71"/>
      <c r="V811" s="71"/>
      <c r="W811" s="72"/>
    </row>
    <row r="812" spans="1:24" ht="18.75" customHeight="1">
      <c r="A812" s="73"/>
      <c r="B812" s="52"/>
      <c r="C812" s="52"/>
      <c r="D812" s="52"/>
      <c r="E812" s="52"/>
      <c r="F812" s="52"/>
      <c r="G812" s="52"/>
      <c r="H812" s="52"/>
      <c r="I812" s="472" t="s">
        <v>85</v>
      </c>
      <c r="J812" s="472"/>
      <c r="K812" s="476"/>
      <c r="M812" s="73"/>
      <c r="N812" s="52"/>
      <c r="O812" s="52"/>
      <c r="P812" s="52"/>
      <c r="Q812" s="52"/>
      <c r="R812" s="52"/>
      <c r="S812" s="52"/>
      <c r="T812" s="52"/>
      <c r="U812" s="472" t="s">
        <v>85</v>
      </c>
      <c r="V812" s="472"/>
      <c r="W812" s="476"/>
    </row>
    <row r="813" spans="1:24" ht="18.75" customHeight="1">
      <c r="A813" s="73"/>
      <c r="B813" s="471"/>
      <c r="C813" s="472"/>
      <c r="D813" s="472"/>
      <c r="E813" s="472"/>
      <c r="F813" s="52"/>
      <c r="G813" s="52"/>
      <c r="H813" s="52"/>
      <c r="I813" s="52"/>
      <c r="J813" s="52"/>
      <c r="K813" s="54"/>
      <c r="M813" s="73"/>
      <c r="N813" s="471"/>
      <c r="O813" s="472"/>
      <c r="P813" s="472"/>
      <c r="Q813" s="472"/>
      <c r="R813" s="52"/>
      <c r="S813" s="52"/>
      <c r="T813" s="52"/>
      <c r="U813" s="52"/>
      <c r="V813" s="52"/>
      <c r="W813" s="54"/>
    </row>
    <row r="814" spans="1:24" ht="18.75" customHeight="1" thickBot="1">
      <c r="A814" s="75"/>
      <c r="B814" s="76"/>
      <c r="C814" s="76"/>
      <c r="D814" s="76"/>
      <c r="E814" s="76"/>
      <c r="F814" s="76"/>
      <c r="G814" s="76"/>
      <c r="H814" s="76"/>
      <c r="I814" s="473" t="s">
        <v>86</v>
      </c>
      <c r="J814" s="473"/>
      <c r="K814" s="474"/>
      <c r="M814" s="75"/>
      <c r="N814" s="76"/>
      <c r="O814" s="76"/>
      <c r="P814" s="76"/>
      <c r="Q814" s="76"/>
      <c r="R814" s="76"/>
      <c r="S814" s="76"/>
      <c r="T814" s="76"/>
      <c r="U814" s="473" t="s">
        <v>86</v>
      </c>
      <c r="V814" s="473"/>
      <c r="W814" s="474"/>
    </row>
    <row r="815" spans="1:24" ht="18.75" customHeight="1" thickTop="1" thickBot="1"/>
    <row r="816" spans="1:24" ht="18.75" customHeight="1" thickTop="1">
      <c r="A816" s="445" t="s">
        <v>172</v>
      </c>
      <c r="B816" s="446"/>
      <c r="C816" s="446"/>
      <c r="D816" s="446"/>
      <c r="E816" s="446"/>
      <c r="F816" s="446"/>
      <c r="G816" s="446"/>
      <c r="H816" s="446"/>
      <c r="I816" s="446"/>
      <c r="J816" s="446"/>
      <c r="K816" s="447"/>
      <c r="L816" s="48">
        <v>25</v>
      </c>
      <c r="M816" s="445" t="s">
        <v>172</v>
      </c>
      <c r="N816" s="446"/>
      <c r="O816" s="446"/>
      <c r="P816" s="446"/>
      <c r="Q816" s="446"/>
      <c r="R816" s="446"/>
      <c r="S816" s="446"/>
      <c r="T816" s="446"/>
      <c r="U816" s="446"/>
      <c r="V816" s="446"/>
      <c r="W816" s="447"/>
      <c r="X816" s="48">
        <v>25</v>
      </c>
    </row>
    <row r="817" spans="1:24" ht="18.75" customHeight="1">
      <c r="A817" s="49" t="s">
        <v>131</v>
      </c>
      <c r="B817" s="50"/>
      <c r="C817" s="50"/>
      <c r="D817" s="50"/>
      <c r="E817" s="50"/>
      <c r="F817" s="50"/>
      <c r="G817" s="50"/>
      <c r="H817" s="50"/>
      <c r="I817" s="50"/>
      <c r="J817" s="50"/>
      <c r="K817" s="51"/>
      <c r="M817" s="49" t="s">
        <v>132</v>
      </c>
      <c r="N817" s="50"/>
      <c r="O817" s="50"/>
      <c r="P817" s="50"/>
      <c r="Q817" s="50"/>
      <c r="R817" s="50"/>
      <c r="S817" s="50"/>
      <c r="T817" s="50"/>
      <c r="U817" s="50"/>
      <c r="V817" s="50"/>
      <c r="W817" s="51"/>
    </row>
    <row r="818" spans="1:24" ht="18.75" customHeight="1">
      <c r="A818" s="448" t="s">
        <v>39</v>
      </c>
      <c r="B818" s="449"/>
      <c r="C818" s="449"/>
      <c r="D818" s="449"/>
      <c r="E818" s="449"/>
      <c r="F818" s="449"/>
      <c r="G818" s="449"/>
      <c r="H818" s="449"/>
      <c r="I818" s="449"/>
      <c r="J818" s="449"/>
      <c r="K818" s="450"/>
      <c r="M818" s="448" t="s">
        <v>39</v>
      </c>
      <c r="N818" s="449"/>
      <c r="O818" s="449"/>
      <c r="P818" s="449"/>
      <c r="Q818" s="449"/>
      <c r="R818" s="449"/>
      <c r="S818" s="449"/>
      <c r="T818" s="449"/>
      <c r="U818" s="449"/>
      <c r="V818" s="449"/>
      <c r="W818" s="450"/>
    </row>
    <row r="819" spans="1:24" ht="18.75" customHeight="1">
      <c r="A819" s="440" t="s">
        <v>40</v>
      </c>
      <c r="B819" s="441"/>
      <c r="C819" s="441"/>
      <c r="D819" s="441"/>
      <c r="E819" s="52" t="s">
        <v>41</v>
      </c>
      <c r="F819" s="442">
        <f>'Bang TH nop'!B97</f>
        <v>0</v>
      </c>
      <c r="G819" s="441"/>
      <c r="H819" s="441"/>
      <c r="I819" s="441"/>
      <c r="J819" s="441"/>
      <c r="K819" s="444"/>
      <c r="M819" s="440" t="s">
        <v>40</v>
      </c>
      <c r="N819" s="441"/>
      <c r="O819" s="441"/>
      <c r="P819" s="441"/>
      <c r="Q819" s="52" t="s">
        <v>41</v>
      </c>
      <c r="R819" s="442">
        <f>'Bang TH nop'!B99</f>
        <v>0</v>
      </c>
      <c r="S819" s="441"/>
      <c r="T819" s="441"/>
      <c r="U819" s="441"/>
      <c r="V819" s="441"/>
      <c r="W819" s="444"/>
    </row>
    <row r="820" spans="1:24" ht="18.75" customHeight="1">
      <c r="A820" s="440" t="s">
        <v>42</v>
      </c>
      <c r="B820" s="441"/>
      <c r="C820" s="441"/>
      <c r="D820" s="441"/>
      <c r="E820" s="52" t="s">
        <v>41</v>
      </c>
      <c r="F820" s="442">
        <f>'Bang TH nop'!C97</f>
        <v>0</v>
      </c>
      <c r="G820" s="442"/>
      <c r="H820" s="442"/>
      <c r="I820" s="442"/>
      <c r="J820" s="442"/>
      <c r="K820" s="443"/>
      <c r="M820" s="440" t="s">
        <v>42</v>
      </c>
      <c r="N820" s="441"/>
      <c r="O820" s="441"/>
      <c r="P820" s="441"/>
      <c r="Q820" s="52" t="s">
        <v>41</v>
      </c>
      <c r="R820" s="442">
        <f>'Bang TH nop'!C99</f>
        <v>0</v>
      </c>
      <c r="S820" s="442"/>
      <c r="T820" s="442"/>
      <c r="U820" s="442"/>
      <c r="V820" s="442"/>
      <c r="W820" s="443"/>
    </row>
    <row r="821" spans="1:24" ht="18.75" customHeight="1">
      <c r="A821" s="440" t="s">
        <v>43</v>
      </c>
      <c r="B821" s="441"/>
      <c r="C821" s="441"/>
      <c r="D821" s="441"/>
      <c r="E821" s="52" t="s">
        <v>41</v>
      </c>
      <c r="F821" s="441" t="str">
        <f>+$L$2</f>
        <v xml:space="preserve">Tổ  </v>
      </c>
      <c r="G821" s="441"/>
      <c r="H821" s="441"/>
      <c r="I821" s="441"/>
      <c r="J821" s="441"/>
      <c r="K821" s="444"/>
      <c r="M821" s="440" t="s">
        <v>43</v>
      </c>
      <c r="N821" s="441"/>
      <c r="O821" s="441"/>
      <c r="P821" s="441"/>
      <c r="Q821" s="52" t="s">
        <v>41</v>
      </c>
      <c r="R821" s="441" t="str">
        <f>+$L$2</f>
        <v xml:space="preserve">Tổ  </v>
      </c>
      <c r="S821" s="441"/>
      <c r="T821" s="441"/>
      <c r="U821" s="441"/>
      <c r="V821" s="441"/>
      <c r="W821" s="444"/>
    </row>
    <row r="822" spans="1:24" ht="18.75" customHeight="1">
      <c r="A822" s="448" t="s">
        <v>44</v>
      </c>
      <c r="B822" s="449"/>
      <c r="C822" s="449"/>
      <c r="D822" s="449"/>
      <c r="E822" s="449"/>
      <c r="F822" s="449"/>
      <c r="G822" s="449"/>
      <c r="H822" s="449"/>
      <c r="I822" s="449"/>
      <c r="J822" s="449"/>
      <c r="K822" s="450"/>
      <c r="M822" s="448" t="s">
        <v>44</v>
      </c>
      <c r="N822" s="449"/>
      <c r="O822" s="449"/>
      <c r="P822" s="449"/>
      <c r="Q822" s="449"/>
      <c r="R822" s="449"/>
      <c r="S822" s="449"/>
      <c r="T822" s="449"/>
      <c r="U822" s="449"/>
      <c r="V822" s="449"/>
      <c r="W822" s="450"/>
    </row>
    <row r="823" spans="1:24" ht="18.75" customHeight="1">
      <c r="A823" s="440" t="s">
        <v>45</v>
      </c>
      <c r="B823" s="441"/>
      <c r="C823" s="441"/>
      <c r="D823" s="441"/>
      <c r="E823" s="52" t="s">
        <v>41</v>
      </c>
      <c r="F823" s="455">
        <f>VLOOKUP(F820,'Bang TH nop'!$C$9:$AP$266,29,0)</f>
        <v>0</v>
      </c>
      <c r="G823" s="455"/>
      <c r="H823" s="455"/>
      <c r="I823" s="455"/>
      <c r="J823" s="52" t="s">
        <v>46</v>
      </c>
      <c r="K823" s="54"/>
      <c r="M823" s="440" t="s">
        <v>45</v>
      </c>
      <c r="N823" s="441"/>
      <c r="O823" s="441"/>
      <c r="P823" s="441"/>
      <c r="Q823" s="52" t="s">
        <v>41</v>
      </c>
      <c r="R823" s="455">
        <f>VLOOKUP(R820,'Bang TH nop'!$C$9:$AP$266,29,0)</f>
        <v>0</v>
      </c>
      <c r="S823" s="455"/>
      <c r="T823" s="455"/>
      <c r="U823" s="455"/>
      <c r="V823" s="52" t="s">
        <v>46</v>
      </c>
      <c r="W823" s="54"/>
    </row>
    <row r="824" spans="1:24" ht="18.75" customHeight="1">
      <c r="A824" s="55" t="s">
        <v>47</v>
      </c>
      <c r="B824" s="52"/>
      <c r="C824" s="56"/>
      <c r="D824" s="57"/>
      <c r="E824" s="58"/>
      <c r="F824" s="58"/>
      <c r="G824" s="58"/>
      <c r="H824" s="52"/>
      <c r="I824" s="59">
        <f>'LƯƠNG Tx'!F97</f>
        <v>0</v>
      </c>
      <c r="J824" s="60"/>
      <c r="K824" s="61"/>
      <c r="M824" s="55" t="s">
        <v>47</v>
      </c>
      <c r="N824" s="52"/>
      <c r="O824" s="56"/>
      <c r="P824" s="57"/>
      <c r="Q824" s="58"/>
      <c r="R824" s="58"/>
      <c r="S824" s="58"/>
      <c r="T824" s="52"/>
      <c r="U824" s="59">
        <f>'LƯƠNG Tx'!F99</f>
        <v>0</v>
      </c>
      <c r="V824" s="60"/>
      <c r="W824" s="61"/>
    </row>
    <row r="825" spans="1:24" ht="18.75" customHeight="1">
      <c r="A825" s="55" t="s">
        <v>48</v>
      </c>
      <c r="B825" s="52"/>
      <c r="C825" s="56"/>
      <c r="D825" s="57"/>
      <c r="E825" s="58"/>
      <c r="F825" s="58"/>
      <c r="G825" s="58"/>
      <c r="H825" s="52"/>
      <c r="I825" s="59" t="e">
        <f>I826/C826/8</f>
        <v>#DIV/0!</v>
      </c>
      <c r="J825" s="60"/>
      <c r="K825" s="61"/>
      <c r="M825" s="55" t="s">
        <v>48</v>
      </c>
      <c r="N825" s="52"/>
      <c r="O825" s="56"/>
      <c r="P825" s="57"/>
      <c r="Q825" s="58"/>
      <c r="R825" s="58"/>
      <c r="S825" s="58"/>
      <c r="T825" s="52"/>
      <c r="U825" s="59" t="e">
        <f>U826/O826/8</f>
        <v>#DIV/0!</v>
      </c>
      <c r="V825" s="60"/>
      <c r="W825" s="61"/>
    </row>
    <row r="826" spans="1:24" ht="18.75" customHeight="1">
      <c r="A826" s="55" t="s">
        <v>49</v>
      </c>
      <c r="B826" s="52" t="s">
        <v>41</v>
      </c>
      <c r="C826" s="56">
        <f>'LƯƠNG Tx'!I96</f>
        <v>0</v>
      </c>
      <c r="D826" s="57" t="s">
        <v>50</v>
      </c>
      <c r="E826" s="453" t="s">
        <v>51</v>
      </c>
      <c r="F826" s="453"/>
      <c r="G826" s="453"/>
      <c r="H826" s="52" t="s">
        <v>41</v>
      </c>
      <c r="I826" s="454" t="e">
        <f>I824*680/((C826-C833)*8+C833*7+C830)*((C826-C833)*8+C833*7)</f>
        <v>#DIV/0!</v>
      </c>
      <c r="J826" s="454"/>
      <c r="K826" s="61" t="s">
        <v>46</v>
      </c>
      <c r="L826" s="62">
        <f>F823/L816*C826</f>
        <v>0</v>
      </c>
      <c r="M826" s="55" t="s">
        <v>49</v>
      </c>
      <c r="N826" s="52" t="s">
        <v>41</v>
      </c>
      <c r="O826" s="56">
        <f>'LƯƠNG Tx'!I98</f>
        <v>0</v>
      </c>
      <c r="P826" s="57" t="s">
        <v>50</v>
      </c>
      <c r="Q826" s="453" t="s">
        <v>51</v>
      </c>
      <c r="R826" s="453"/>
      <c r="S826" s="453"/>
      <c r="T826" s="52" t="s">
        <v>41</v>
      </c>
      <c r="U826" s="454" t="e">
        <f>U824*680/((O826-O833)*8+O833*7+O830)*((O826-O833)*8+O833*7)</f>
        <v>#DIV/0!</v>
      </c>
      <c r="V826" s="454"/>
      <c r="W826" s="61" t="s">
        <v>46</v>
      </c>
      <c r="X826" s="62">
        <f>R823/X816*O826</f>
        <v>0</v>
      </c>
    </row>
    <row r="827" spans="1:24" ht="18.75" customHeight="1">
      <c r="A827" s="55" t="s">
        <v>52</v>
      </c>
      <c r="B827" s="52" t="s">
        <v>41</v>
      </c>
      <c r="C827" s="56">
        <f>'LƯƠNG Tx'!J96</f>
        <v>0</v>
      </c>
      <c r="D827" s="57" t="s">
        <v>50</v>
      </c>
      <c r="E827" s="441" t="s">
        <v>53</v>
      </c>
      <c r="F827" s="441"/>
      <c r="G827" s="441"/>
      <c r="H827" s="52" t="s">
        <v>41</v>
      </c>
      <c r="I827" s="452">
        <f>$F$8/$L$1*C827</f>
        <v>0</v>
      </c>
      <c r="J827" s="452"/>
      <c r="K827" s="61" t="s">
        <v>46</v>
      </c>
      <c r="L827" s="62"/>
      <c r="M827" s="55" t="s">
        <v>52</v>
      </c>
      <c r="N827" s="52" t="s">
        <v>41</v>
      </c>
      <c r="O827" s="56">
        <f>'LƯƠNG Tx'!J98</f>
        <v>0</v>
      </c>
      <c r="P827" s="57" t="s">
        <v>50</v>
      </c>
      <c r="Q827" s="441" t="s">
        <v>53</v>
      </c>
      <c r="R827" s="441"/>
      <c r="S827" s="441"/>
      <c r="T827" s="52" t="s">
        <v>41</v>
      </c>
      <c r="U827" s="452">
        <f>$F$8/$L$1*O827</f>
        <v>0</v>
      </c>
      <c r="V827" s="452"/>
      <c r="W827" s="61" t="s">
        <v>46</v>
      </c>
      <c r="X827" s="62"/>
    </row>
    <row r="828" spans="1:24" ht="18.75" customHeight="1">
      <c r="A828" s="55" t="s">
        <v>54</v>
      </c>
      <c r="B828" s="52" t="s">
        <v>41</v>
      </c>
      <c r="C828" s="56">
        <f>'LƯƠNG Tx'!K96</f>
        <v>0</v>
      </c>
      <c r="D828" s="57" t="s">
        <v>50</v>
      </c>
      <c r="E828" s="451" t="s">
        <v>55</v>
      </c>
      <c r="F828" s="451"/>
      <c r="G828" s="451"/>
      <c r="H828" s="52" t="s">
        <v>41</v>
      </c>
      <c r="I828" s="452">
        <f>$F$8/$L$1*C828</f>
        <v>0</v>
      </c>
      <c r="J828" s="452"/>
      <c r="K828" s="61" t="s">
        <v>46</v>
      </c>
      <c r="L828" s="62"/>
      <c r="M828" s="55" t="s">
        <v>54</v>
      </c>
      <c r="N828" s="52" t="s">
        <v>41</v>
      </c>
      <c r="O828" s="56">
        <f>'LƯƠNG Tx'!K98</f>
        <v>0</v>
      </c>
      <c r="P828" s="57" t="s">
        <v>50</v>
      </c>
      <c r="Q828" s="451" t="s">
        <v>55</v>
      </c>
      <c r="R828" s="451"/>
      <c r="S828" s="451"/>
      <c r="T828" s="52" t="s">
        <v>41</v>
      </c>
      <c r="U828" s="452">
        <f>$F$8/$L$1*O828</f>
        <v>0</v>
      </c>
      <c r="V828" s="452"/>
      <c r="W828" s="61" t="s">
        <v>46</v>
      </c>
      <c r="X828" s="62"/>
    </row>
    <row r="829" spans="1:24" ht="18.75" customHeight="1">
      <c r="A829" s="55" t="s">
        <v>56</v>
      </c>
      <c r="B829" s="52" t="s">
        <v>41</v>
      </c>
      <c r="C829" s="56">
        <f>'LƯƠNG Tx'!L96</f>
        <v>0</v>
      </c>
      <c r="D829" s="57" t="s">
        <v>50</v>
      </c>
      <c r="E829" s="451" t="s">
        <v>57</v>
      </c>
      <c r="F829" s="451"/>
      <c r="G829" s="451"/>
      <c r="H829" s="52" t="s">
        <v>41</v>
      </c>
      <c r="I829" s="452">
        <f>$F$8/$L$1*C829</f>
        <v>0</v>
      </c>
      <c r="J829" s="452"/>
      <c r="K829" s="61" t="s">
        <v>46</v>
      </c>
      <c r="L829" s="62"/>
      <c r="M829" s="55" t="s">
        <v>56</v>
      </c>
      <c r="N829" s="52" t="s">
        <v>41</v>
      </c>
      <c r="O829" s="56">
        <f>'LƯƠNG Tx'!L98</f>
        <v>0</v>
      </c>
      <c r="P829" s="57" t="s">
        <v>50</v>
      </c>
      <c r="Q829" s="451" t="s">
        <v>57</v>
      </c>
      <c r="R829" s="451"/>
      <c r="S829" s="451"/>
      <c r="T829" s="52" t="s">
        <v>41</v>
      </c>
      <c r="U829" s="452">
        <f>$F$8/$L$1*O829</f>
        <v>0</v>
      </c>
      <c r="V829" s="452"/>
      <c r="W829" s="61" t="s">
        <v>46</v>
      </c>
      <c r="X829" s="62"/>
    </row>
    <row r="830" spans="1:24" ht="18.75" customHeight="1">
      <c r="A830" s="55" t="s">
        <v>58</v>
      </c>
      <c r="B830" s="52" t="s">
        <v>41</v>
      </c>
      <c r="C830" s="56">
        <f>'LƯƠNG Tx'!Q96</f>
        <v>0</v>
      </c>
      <c r="D830" s="57" t="s">
        <v>59</v>
      </c>
      <c r="E830" s="441" t="s">
        <v>60</v>
      </c>
      <c r="F830" s="441"/>
      <c r="G830" s="441"/>
      <c r="H830" s="52" t="s">
        <v>41</v>
      </c>
      <c r="I830" s="452" t="e">
        <f>I826/C826/8*C830</f>
        <v>#DIV/0!</v>
      </c>
      <c r="J830" s="452"/>
      <c r="K830" s="61" t="s">
        <v>46</v>
      </c>
      <c r="L830" s="62">
        <f>F823*C830/L816/8*1.5</f>
        <v>0</v>
      </c>
      <c r="M830" s="55" t="s">
        <v>58</v>
      </c>
      <c r="N830" s="52" t="s">
        <v>41</v>
      </c>
      <c r="O830" s="56">
        <f>'LƯƠNG Tx'!Q98</f>
        <v>0</v>
      </c>
      <c r="P830" s="57" t="s">
        <v>59</v>
      </c>
      <c r="Q830" s="441" t="s">
        <v>60</v>
      </c>
      <c r="R830" s="441"/>
      <c r="S830" s="441"/>
      <c r="T830" s="52" t="s">
        <v>41</v>
      </c>
      <c r="U830" s="452" t="e">
        <f>U826/O826/8*O830</f>
        <v>#DIV/0!</v>
      </c>
      <c r="V830" s="452"/>
      <c r="W830" s="61" t="s">
        <v>46</v>
      </c>
      <c r="X830" s="62">
        <f>R823*O830/X816/8*1.5</f>
        <v>0</v>
      </c>
    </row>
    <row r="831" spans="1:24" ht="18.75" customHeight="1">
      <c r="A831" s="440" t="s">
        <v>61</v>
      </c>
      <c r="B831" s="441"/>
      <c r="C831" s="56"/>
      <c r="D831" s="57" t="s">
        <v>50</v>
      </c>
      <c r="E831" s="441" t="s">
        <v>62</v>
      </c>
      <c r="F831" s="441"/>
      <c r="G831" s="441"/>
      <c r="H831" s="63" t="s">
        <v>41</v>
      </c>
      <c r="I831" s="452"/>
      <c r="J831" s="452"/>
      <c r="K831" s="61" t="s">
        <v>46</v>
      </c>
      <c r="L831" s="62"/>
      <c r="M831" s="440" t="s">
        <v>61</v>
      </c>
      <c r="N831" s="441"/>
      <c r="O831" s="56"/>
      <c r="P831" s="57" t="s">
        <v>50</v>
      </c>
      <c r="Q831" s="441" t="s">
        <v>62</v>
      </c>
      <c r="R831" s="441"/>
      <c r="S831" s="441"/>
      <c r="T831" s="63" t="s">
        <v>41</v>
      </c>
      <c r="U831" s="452"/>
      <c r="V831" s="452"/>
      <c r="W831" s="61" t="s">
        <v>46</v>
      </c>
      <c r="X831" s="62"/>
    </row>
    <row r="832" spans="1:24" ht="18.75" customHeight="1">
      <c r="A832" s="55" t="s">
        <v>63</v>
      </c>
      <c r="B832" s="52" t="s">
        <v>41</v>
      </c>
      <c r="C832" s="56"/>
      <c r="D832" s="57" t="s">
        <v>50</v>
      </c>
      <c r="E832" s="441" t="s">
        <v>64</v>
      </c>
      <c r="F832" s="441"/>
      <c r="G832" s="441"/>
      <c r="H832" s="52" t="s">
        <v>41</v>
      </c>
      <c r="I832" s="452"/>
      <c r="J832" s="452"/>
      <c r="K832" s="61" t="s">
        <v>46</v>
      </c>
      <c r="L832" s="62"/>
      <c r="M832" s="55" t="s">
        <v>63</v>
      </c>
      <c r="N832" s="52" t="s">
        <v>41</v>
      </c>
      <c r="O832" s="56"/>
      <c r="P832" s="57" t="s">
        <v>50</v>
      </c>
      <c r="Q832" s="441" t="s">
        <v>64</v>
      </c>
      <c r="R832" s="441"/>
      <c r="S832" s="441"/>
      <c r="T832" s="52" t="s">
        <v>41</v>
      </c>
      <c r="U832" s="452"/>
      <c r="V832" s="452"/>
      <c r="W832" s="61" t="s">
        <v>46</v>
      </c>
      <c r="X832" s="62"/>
    </row>
    <row r="833" spans="1:24" ht="18.75" customHeight="1">
      <c r="A833" s="64" t="s">
        <v>65</v>
      </c>
      <c r="B833" s="52"/>
      <c r="C833" s="56">
        <f>'LƯƠNG Tx'!M96</f>
        <v>0</v>
      </c>
      <c r="D833" s="57" t="s">
        <v>59</v>
      </c>
      <c r="E833" s="441" t="s">
        <v>66</v>
      </c>
      <c r="F833" s="441"/>
      <c r="G833" s="441"/>
      <c r="H833" s="52" t="s">
        <v>41</v>
      </c>
      <c r="I833" s="452">
        <f>$F$8*C833/8/$L$1</f>
        <v>0</v>
      </c>
      <c r="J833" s="452"/>
      <c r="K833" s="61" t="s">
        <v>46</v>
      </c>
      <c r="L833" s="62"/>
      <c r="M833" s="64" t="s">
        <v>65</v>
      </c>
      <c r="N833" s="52"/>
      <c r="O833" s="56">
        <f>'LƯƠNG Tx'!M98</f>
        <v>0</v>
      </c>
      <c r="P833" s="57" t="s">
        <v>59</v>
      </c>
      <c r="Q833" s="441" t="s">
        <v>66</v>
      </c>
      <c r="R833" s="441"/>
      <c r="S833" s="441"/>
      <c r="T833" s="52" t="s">
        <v>41</v>
      </c>
      <c r="U833" s="452">
        <f>$F$8*O833/8/$L$1</f>
        <v>0</v>
      </c>
      <c r="V833" s="452"/>
      <c r="W833" s="61" t="s">
        <v>46</v>
      </c>
      <c r="X833" s="62"/>
    </row>
    <row r="834" spans="1:24" ht="18.75" customHeight="1">
      <c r="A834" s="55" t="s">
        <v>67</v>
      </c>
      <c r="B834" s="52" t="s">
        <v>41</v>
      </c>
      <c r="C834" s="56"/>
      <c r="D834" s="57" t="s">
        <v>59</v>
      </c>
      <c r="E834" s="441" t="s">
        <v>68</v>
      </c>
      <c r="F834" s="441"/>
      <c r="G834" s="441"/>
      <c r="H834" s="52" t="s">
        <v>41</v>
      </c>
      <c r="I834" s="454"/>
      <c r="J834" s="454"/>
      <c r="K834" s="61" t="s">
        <v>46</v>
      </c>
      <c r="L834" s="62"/>
      <c r="M834" s="55" t="s">
        <v>67</v>
      </c>
      <c r="N834" s="52" t="s">
        <v>41</v>
      </c>
      <c r="O834" s="56"/>
      <c r="P834" s="57" t="s">
        <v>59</v>
      </c>
      <c r="Q834" s="441" t="s">
        <v>68</v>
      </c>
      <c r="R834" s="441"/>
      <c r="S834" s="441"/>
      <c r="T834" s="52" t="s">
        <v>41</v>
      </c>
      <c r="U834" s="454"/>
      <c r="V834" s="454"/>
      <c r="W834" s="61" t="s">
        <v>46</v>
      </c>
      <c r="X834" s="62"/>
    </row>
    <row r="835" spans="1:24" ht="18.75" customHeight="1">
      <c r="A835" s="55" t="s">
        <v>69</v>
      </c>
      <c r="B835" s="52" t="s">
        <v>41</v>
      </c>
      <c r="C835" s="56"/>
      <c r="D835" s="57" t="s">
        <v>70</v>
      </c>
      <c r="E835" s="53" t="s">
        <v>71</v>
      </c>
      <c r="F835" s="53"/>
      <c r="G835" s="53"/>
      <c r="H835" s="52" t="s">
        <v>41</v>
      </c>
      <c r="I835" s="452"/>
      <c r="J835" s="452"/>
      <c r="K835" s="61" t="s">
        <v>46</v>
      </c>
      <c r="L835" s="62" t="e">
        <f>+IF(L826-I826&lt;0,0,L826-I826)+IF(L830-I830&lt;0,0,L830-I830)</f>
        <v>#DIV/0!</v>
      </c>
      <c r="M835" s="55" t="s">
        <v>69</v>
      </c>
      <c r="N835" s="52" t="s">
        <v>41</v>
      </c>
      <c r="O835" s="56"/>
      <c r="P835" s="57" t="s">
        <v>70</v>
      </c>
      <c r="Q835" s="53" t="s">
        <v>71</v>
      </c>
      <c r="R835" s="53"/>
      <c r="S835" s="53"/>
      <c r="T835" s="52" t="s">
        <v>41</v>
      </c>
      <c r="U835" s="452"/>
      <c r="V835" s="452"/>
      <c r="W835" s="61" t="s">
        <v>46</v>
      </c>
      <c r="X835" s="62" t="e">
        <f>+IF(X826-U826&lt;0,0,X826-U826)+IF(X830-U830&lt;0,0,X830-U830)</f>
        <v>#DIV/0!</v>
      </c>
    </row>
    <row r="836" spans="1:24" ht="18.75" customHeight="1">
      <c r="A836" s="65" t="s">
        <v>72</v>
      </c>
      <c r="B836" s="66"/>
      <c r="C836" s="56"/>
      <c r="D836" s="57" t="s">
        <v>50</v>
      </c>
      <c r="E836" s="441" t="s">
        <v>73</v>
      </c>
      <c r="F836" s="441"/>
      <c r="G836" s="441"/>
      <c r="H836" s="52" t="s">
        <v>41</v>
      </c>
      <c r="I836" s="452"/>
      <c r="J836" s="452"/>
      <c r="K836" s="61" t="s">
        <v>46</v>
      </c>
      <c r="L836" s="62"/>
      <c r="M836" s="65" t="s">
        <v>72</v>
      </c>
      <c r="N836" s="66"/>
      <c r="O836" s="56"/>
      <c r="P836" s="57" t="s">
        <v>50</v>
      </c>
      <c r="Q836" s="441" t="s">
        <v>73</v>
      </c>
      <c r="R836" s="441"/>
      <c r="S836" s="441"/>
      <c r="T836" s="52" t="s">
        <v>41</v>
      </c>
      <c r="U836" s="452"/>
      <c r="V836" s="452"/>
      <c r="W836" s="61" t="s">
        <v>46</v>
      </c>
      <c r="X836" s="62"/>
    </row>
    <row r="837" spans="1:24" ht="18.75" customHeight="1">
      <c r="A837" s="477" t="s">
        <v>74</v>
      </c>
      <c r="B837" s="453"/>
      <c r="C837" s="56"/>
      <c r="D837" s="57"/>
      <c r="E837" s="58"/>
      <c r="F837" s="58"/>
      <c r="G837" s="58"/>
      <c r="H837" s="52" t="s">
        <v>41</v>
      </c>
      <c r="I837" s="452">
        <f>'LƯƠNG Tx'!P97</f>
        <v>0</v>
      </c>
      <c r="J837" s="452"/>
      <c r="K837" s="61" t="s">
        <v>46</v>
      </c>
      <c r="L837" s="62"/>
      <c r="M837" s="477" t="s">
        <v>74</v>
      </c>
      <c r="N837" s="453"/>
      <c r="O837" s="56"/>
      <c r="P837" s="57"/>
      <c r="Q837" s="58"/>
      <c r="R837" s="58"/>
      <c r="S837" s="58"/>
      <c r="T837" s="52" t="s">
        <v>41</v>
      </c>
      <c r="U837" s="452">
        <f>'LƯƠNG Tx'!P99</f>
        <v>0</v>
      </c>
      <c r="V837" s="452"/>
      <c r="W837" s="61" t="s">
        <v>46</v>
      </c>
      <c r="X837" s="62"/>
    </row>
    <row r="838" spans="1:24" ht="18.75" customHeight="1">
      <c r="A838" s="55" t="s">
        <v>75</v>
      </c>
      <c r="B838" s="52" t="s">
        <v>41</v>
      </c>
      <c r="C838" s="56"/>
      <c r="D838" s="57"/>
      <c r="E838" s="58" t="s">
        <v>76</v>
      </c>
      <c r="F838" s="58"/>
      <c r="G838" s="58"/>
      <c r="H838" s="52" t="s">
        <v>41</v>
      </c>
      <c r="I838" s="452" t="e">
        <f>L835</f>
        <v>#DIV/0!</v>
      </c>
      <c r="J838" s="452"/>
      <c r="K838" s="61" t="s">
        <v>46</v>
      </c>
      <c r="L838" s="62"/>
      <c r="M838" s="55" t="s">
        <v>75</v>
      </c>
      <c r="N838" s="52" t="s">
        <v>41</v>
      </c>
      <c r="O838" s="56"/>
      <c r="P838" s="57"/>
      <c r="Q838" s="58" t="s">
        <v>76</v>
      </c>
      <c r="R838" s="58"/>
      <c r="S838" s="58"/>
      <c r="T838" s="52" t="s">
        <v>41</v>
      </c>
      <c r="U838" s="452" t="e">
        <f>X835</f>
        <v>#DIV/0!</v>
      </c>
      <c r="V838" s="452"/>
      <c r="W838" s="61" t="s">
        <v>46</v>
      </c>
      <c r="X838" s="62"/>
    </row>
    <row r="839" spans="1:24" ht="18.75" customHeight="1">
      <c r="A839" s="456" t="s">
        <v>77</v>
      </c>
      <c r="B839" s="457"/>
      <c r="C839" s="457"/>
      <c r="D839" s="457"/>
      <c r="E839" s="457"/>
      <c r="F839" s="457"/>
      <c r="G839" s="52" t="s">
        <v>41</v>
      </c>
      <c r="H839" s="458" t="e">
        <f>I826+I827+I828+I829+I830+I833+I837+I838+I831+I832+I834+I835+I836+C837</f>
        <v>#DIV/0!</v>
      </c>
      <c r="I839" s="459"/>
      <c r="J839" s="459"/>
      <c r="K839" s="61" t="s">
        <v>46</v>
      </c>
      <c r="M839" s="456" t="s">
        <v>77</v>
      </c>
      <c r="N839" s="457"/>
      <c r="O839" s="457"/>
      <c r="P839" s="457"/>
      <c r="Q839" s="457"/>
      <c r="R839" s="457"/>
      <c r="S839" s="52" t="s">
        <v>41</v>
      </c>
      <c r="T839" s="458" t="e">
        <f>U826+U827+U828+U829+U830+U833+U837+U838+U831+U832+U834+U835+U836+O837</f>
        <v>#DIV/0!</v>
      </c>
      <c r="U839" s="459"/>
      <c r="V839" s="459"/>
      <c r="W839" s="61" t="s">
        <v>46</v>
      </c>
    </row>
    <row r="840" spans="1:24" ht="18.75" customHeight="1">
      <c r="A840" s="67"/>
      <c r="B840" s="68"/>
      <c r="C840" s="68"/>
      <c r="D840" s="68"/>
      <c r="E840" s="68"/>
      <c r="F840" s="68"/>
      <c r="G840" s="68"/>
      <c r="H840" s="68"/>
      <c r="I840" s="68"/>
      <c r="J840" s="68"/>
      <c r="K840" s="69"/>
      <c r="M840" s="67"/>
      <c r="N840" s="68"/>
      <c r="O840" s="68"/>
      <c r="P840" s="68"/>
      <c r="Q840" s="68"/>
      <c r="R840" s="68"/>
      <c r="S840" s="68"/>
      <c r="T840" s="68"/>
      <c r="U840" s="68"/>
      <c r="V840" s="68"/>
      <c r="W840" s="69"/>
    </row>
    <row r="841" spans="1:24" ht="18.75" customHeight="1">
      <c r="A841" s="468" t="s">
        <v>78</v>
      </c>
      <c r="B841" s="469"/>
      <c r="C841" s="469"/>
      <c r="D841" s="469"/>
      <c r="E841" s="469"/>
      <c r="F841" s="469"/>
      <c r="G841" s="52"/>
      <c r="H841" s="52"/>
      <c r="I841" s="52"/>
      <c r="J841" s="52"/>
      <c r="K841" s="61"/>
      <c r="M841" s="468" t="s">
        <v>78</v>
      </c>
      <c r="N841" s="469"/>
      <c r="O841" s="469"/>
      <c r="P841" s="469"/>
      <c r="Q841" s="469"/>
      <c r="R841" s="469"/>
      <c r="S841" s="52"/>
      <c r="T841" s="52"/>
      <c r="U841" s="52"/>
      <c r="V841" s="52"/>
      <c r="W841" s="61"/>
    </row>
    <row r="842" spans="1:24" ht="18.75" customHeight="1">
      <c r="A842" s="462" t="s">
        <v>79</v>
      </c>
      <c r="B842" s="463"/>
      <c r="C842" s="463"/>
      <c r="D842" s="463"/>
      <c r="E842" s="463"/>
      <c r="F842" s="463"/>
      <c r="G842" s="52" t="s">
        <v>41</v>
      </c>
      <c r="H842" s="470">
        <f>IF(($L$1-(C826+C827+C828+C829))&gt;12,0,F823*8%)</f>
        <v>0</v>
      </c>
      <c r="I842" s="470"/>
      <c r="J842" s="470"/>
      <c r="K842" s="61" t="s">
        <v>46</v>
      </c>
      <c r="M842" s="462" t="s">
        <v>79</v>
      </c>
      <c r="N842" s="463"/>
      <c r="O842" s="463"/>
      <c r="P842" s="463"/>
      <c r="Q842" s="463"/>
      <c r="R842" s="463"/>
      <c r="S842" s="52" t="s">
        <v>41</v>
      </c>
      <c r="T842" s="470">
        <f>IF(($L$1-(O826+O827+O828+O829))&gt;12,0,R823*8%)</f>
        <v>0</v>
      </c>
      <c r="U842" s="470"/>
      <c r="V842" s="470"/>
      <c r="W842" s="61" t="s">
        <v>46</v>
      </c>
    </row>
    <row r="843" spans="1:24" ht="18.75" customHeight="1">
      <c r="A843" s="462" t="s">
        <v>80</v>
      </c>
      <c r="B843" s="463"/>
      <c r="C843" s="463"/>
      <c r="D843" s="463"/>
      <c r="E843" s="463"/>
      <c r="F843" s="463"/>
      <c r="G843" s="52" t="s">
        <v>41</v>
      </c>
      <c r="H843" s="464">
        <f>IF(($L$1-(C826+C827+C828+C829))&gt;12,0,F823*1.5%)</f>
        <v>0</v>
      </c>
      <c r="I843" s="464"/>
      <c r="J843" s="464"/>
      <c r="K843" s="61" t="s">
        <v>46</v>
      </c>
      <c r="M843" s="462" t="s">
        <v>80</v>
      </c>
      <c r="N843" s="463"/>
      <c r="O843" s="463"/>
      <c r="P843" s="463"/>
      <c r="Q843" s="463"/>
      <c r="R843" s="463"/>
      <c r="S843" s="52" t="s">
        <v>41</v>
      </c>
      <c r="T843" s="464">
        <f>IF(($L$1-(O826+O827+O828+O829))&gt;12,0,R823*1.5%)</f>
        <v>0</v>
      </c>
      <c r="U843" s="464"/>
      <c r="V843" s="464"/>
      <c r="W843" s="61" t="s">
        <v>46</v>
      </c>
    </row>
    <row r="844" spans="1:24" ht="18.75" customHeight="1">
      <c r="A844" s="462" t="s">
        <v>81</v>
      </c>
      <c r="B844" s="463"/>
      <c r="C844" s="463"/>
      <c r="D844" s="463"/>
      <c r="E844" s="463"/>
      <c r="F844" s="463"/>
      <c r="G844" s="52" t="s">
        <v>41</v>
      </c>
      <c r="H844" s="464">
        <f>IF(($L$1-(C826+C827+C828+C829))&gt;12,0,F823*1%)</f>
        <v>0</v>
      </c>
      <c r="I844" s="464"/>
      <c r="J844" s="464"/>
      <c r="K844" s="61" t="s">
        <v>46</v>
      </c>
      <c r="M844" s="462" t="s">
        <v>81</v>
      </c>
      <c r="N844" s="463"/>
      <c r="O844" s="463"/>
      <c r="P844" s="463"/>
      <c r="Q844" s="463"/>
      <c r="R844" s="463"/>
      <c r="S844" s="52" t="s">
        <v>41</v>
      </c>
      <c r="T844" s="464">
        <f>IF(($L$1-(O826+O827+O828+O829))&gt;12,0,R823*1%)</f>
        <v>0</v>
      </c>
      <c r="U844" s="464"/>
      <c r="V844" s="464"/>
      <c r="W844" s="61" t="s">
        <v>46</v>
      </c>
    </row>
    <row r="845" spans="1:24" ht="18.75" customHeight="1">
      <c r="A845" s="462" t="s">
        <v>82</v>
      </c>
      <c r="B845" s="463"/>
      <c r="C845" s="463"/>
      <c r="D845" s="463"/>
      <c r="E845" s="463"/>
      <c r="F845" s="463"/>
      <c r="G845" s="52" t="s">
        <v>41</v>
      </c>
      <c r="H845" s="464">
        <v>0</v>
      </c>
      <c r="I845" s="464"/>
      <c r="J845" s="464"/>
      <c r="K845" s="61" t="s">
        <v>46</v>
      </c>
      <c r="M845" s="462" t="s">
        <v>82</v>
      </c>
      <c r="N845" s="463"/>
      <c r="O845" s="463"/>
      <c r="P845" s="463"/>
      <c r="Q845" s="463"/>
      <c r="R845" s="463"/>
      <c r="S845" s="52" t="s">
        <v>41</v>
      </c>
      <c r="T845" s="464">
        <v>0</v>
      </c>
      <c r="U845" s="464"/>
      <c r="V845" s="464"/>
      <c r="W845" s="61" t="s">
        <v>46</v>
      </c>
    </row>
    <row r="846" spans="1:24" ht="18.75" customHeight="1">
      <c r="A846" s="465" t="s">
        <v>83</v>
      </c>
      <c r="B846" s="466"/>
      <c r="C846" s="466"/>
      <c r="D846" s="466"/>
      <c r="E846" s="466"/>
      <c r="F846" s="466"/>
      <c r="G846" s="52" t="s">
        <v>41</v>
      </c>
      <c r="H846" s="467">
        <f>SUM(H842:J845)</f>
        <v>0</v>
      </c>
      <c r="I846" s="467"/>
      <c r="J846" s="467"/>
      <c r="K846" s="61" t="s">
        <v>46</v>
      </c>
      <c r="M846" s="465" t="s">
        <v>83</v>
      </c>
      <c r="N846" s="466"/>
      <c r="O846" s="466"/>
      <c r="P846" s="466"/>
      <c r="Q846" s="466"/>
      <c r="R846" s="466"/>
      <c r="S846" s="52" t="s">
        <v>41</v>
      </c>
      <c r="T846" s="467">
        <f>SUM(T842:V845)</f>
        <v>0</v>
      </c>
      <c r="U846" s="467"/>
      <c r="V846" s="467"/>
      <c r="W846" s="61" t="s">
        <v>46</v>
      </c>
    </row>
    <row r="847" spans="1:24" ht="18.75" customHeight="1">
      <c r="A847" s="462" t="s">
        <v>84</v>
      </c>
      <c r="B847" s="463"/>
      <c r="C847" s="463"/>
      <c r="D847" s="463"/>
      <c r="E847" s="463"/>
      <c r="F847" s="463"/>
      <c r="G847" s="52" t="s">
        <v>41</v>
      </c>
      <c r="H847" s="475" t="e">
        <f>ROUND(H839-H846,-2)</f>
        <v>#DIV/0!</v>
      </c>
      <c r="I847" s="475"/>
      <c r="J847" s="475"/>
      <c r="K847" s="61" t="s">
        <v>46</v>
      </c>
      <c r="M847" s="462" t="s">
        <v>84</v>
      </c>
      <c r="N847" s="463"/>
      <c r="O847" s="463"/>
      <c r="P847" s="463"/>
      <c r="Q847" s="463"/>
      <c r="R847" s="463"/>
      <c r="S847" s="52" t="s">
        <v>41</v>
      </c>
      <c r="T847" s="475" t="e">
        <f>ROUND(T839-T846,-2)</f>
        <v>#DIV/0!</v>
      </c>
      <c r="U847" s="475"/>
      <c r="V847" s="475"/>
      <c r="W847" s="61" t="s">
        <v>46</v>
      </c>
    </row>
    <row r="848" spans="1:24" ht="18.75" customHeight="1">
      <c r="A848" s="70"/>
      <c r="B848" s="71"/>
      <c r="C848" s="71"/>
      <c r="D848" s="71"/>
      <c r="E848" s="71"/>
      <c r="F848" s="71"/>
      <c r="G848" s="71"/>
      <c r="H848" s="71"/>
      <c r="I848" s="71"/>
      <c r="J848" s="71"/>
      <c r="K848" s="72"/>
      <c r="M848" s="70"/>
      <c r="N848" s="71"/>
      <c r="O848" s="71"/>
      <c r="P848" s="71"/>
      <c r="Q848" s="71"/>
      <c r="R848" s="71"/>
      <c r="S848" s="71"/>
      <c r="T848" s="71"/>
      <c r="U848" s="71"/>
      <c r="V848" s="71"/>
      <c r="W848" s="72"/>
    </row>
    <row r="849" spans="1:24" ht="18.75" customHeight="1">
      <c r="A849" s="73"/>
      <c r="B849" s="52"/>
      <c r="C849" s="52"/>
      <c r="D849" s="52"/>
      <c r="E849" s="52"/>
      <c r="F849" s="52"/>
      <c r="G849" s="52"/>
      <c r="H849" s="52"/>
      <c r="I849" s="472" t="s">
        <v>85</v>
      </c>
      <c r="J849" s="472"/>
      <c r="K849" s="476"/>
      <c r="M849" s="73"/>
      <c r="N849" s="52"/>
      <c r="O849" s="52"/>
      <c r="P849" s="52"/>
      <c r="Q849" s="52"/>
      <c r="R849" s="52"/>
      <c r="S849" s="52"/>
      <c r="T849" s="52"/>
      <c r="U849" s="472" t="s">
        <v>85</v>
      </c>
      <c r="V849" s="472"/>
      <c r="W849" s="476"/>
    </row>
    <row r="850" spans="1:24" ht="18.75" customHeight="1">
      <c r="A850" s="73"/>
      <c r="B850" s="471"/>
      <c r="C850" s="472"/>
      <c r="D850" s="472"/>
      <c r="E850" s="472"/>
      <c r="F850" s="52"/>
      <c r="G850" s="52"/>
      <c r="H850" s="52"/>
      <c r="I850" s="52"/>
      <c r="J850" s="52"/>
      <c r="K850" s="54"/>
      <c r="M850" s="73"/>
      <c r="N850" s="471"/>
      <c r="O850" s="472"/>
      <c r="P850" s="472"/>
      <c r="Q850" s="472"/>
      <c r="R850" s="52"/>
      <c r="S850" s="52"/>
      <c r="T850" s="52"/>
      <c r="U850" s="52"/>
      <c r="V850" s="52"/>
      <c r="W850" s="54"/>
    </row>
    <row r="851" spans="1:24" ht="18.75" customHeight="1" thickBot="1">
      <c r="A851" s="75"/>
      <c r="B851" s="76"/>
      <c r="C851" s="76"/>
      <c r="D851" s="76"/>
      <c r="E851" s="76"/>
      <c r="F851" s="76"/>
      <c r="G851" s="76"/>
      <c r="H851" s="76"/>
      <c r="I851" s="473" t="s">
        <v>86</v>
      </c>
      <c r="J851" s="473"/>
      <c r="K851" s="474"/>
      <c r="M851" s="75"/>
      <c r="N851" s="76"/>
      <c r="O851" s="76"/>
      <c r="P851" s="76"/>
      <c r="Q851" s="76"/>
      <c r="R851" s="76"/>
      <c r="S851" s="76"/>
      <c r="T851" s="76"/>
      <c r="U851" s="473" t="s">
        <v>86</v>
      </c>
      <c r="V851" s="473"/>
      <c r="W851" s="474"/>
    </row>
    <row r="852" spans="1:24" ht="18.75" customHeight="1" thickTop="1" thickBot="1"/>
    <row r="853" spans="1:24" ht="18.75" customHeight="1" thickTop="1">
      <c r="A853" s="445" t="s">
        <v>172</v>
      </c>
      <c r="B853" s="446"/>
      <c r="C853" s="446"/>
      <c r="D853" s="446"/>
      <c r="E853" s="446"/>
      <c r="F853" s="446"/>
      <c r="G853" s="446"/>
      <c r="H853" s="446"/>
      <c r="I853" s="446"/>
      <c r="J853" s="446"/>
      <c r="K853" s="447"/>
      <c r="L853" s="48">
        <v>24</v>
      </c>
      <c r="M853" s="445" t="s">
        <v>172</v>
      </c>
      <c r="N853" s="446"/>
      <c r="O853" s="446"/>
      <c r="P853" s="446"/>
      <c r="Q853" s="446"/>
      <c r="R853" s="446"/>
      <c r="S853" s="446"/>
      <c r="T853" s="446"/>
      <c r="U853" s="446"/>
      <c r="V853" s="446"/>
      <c r="W853" s="447"/>
      <c r="X853" s="48">
        <v>24</v>
      </c>
    </row>
    <row r="854" spans="1:24" ht="18.75" customHeight="1">
      <c r="A854" s="49" t="s">
        <v>133</v>
      </c>
      <c r="B854" s="50"/>
      <c r="C854" s="50"/>
      <c r="D854" s="50"/>
      <c r="E854" s="50"/>
      <c r="F854" s="50"/>
      <c r="G854" s="50"/>
      <c r="H854" s="50"/>
      <c r="I854" s="50"/>
      <c r="J854" s="50"/>
      <c r="K854" s="51"/>
      <c r="M854" s="49" t="s">
        <v>134</v>
      </c>
      <c r="N854" s="50"/>
      <c r="O854" s="50"/>
      <c r="P854" s="50"/>
      <c r="Q854" s="50"/>
      <c r="R854" s="50"/>
      <c r="S854" s="50"/>
      <c r="T854" s="50"/>
      <c r="U854" s="50"/>
      <c r="V854" s="50"/>
      <c r="W854" s="51"/>
    </row>
    <row r="855" spans="1:24" ht="18.75" customHeight="1">
      <c r="A855" s="448" t="s">
        <v>39</v>
      </c>
      <c r="B855" s="449"/>
      <c r="C855" s="449"/>
      <c r="D855" s="449"/>
      <c r="E855" s="449"/>
      <c r="F855" s="449"/>
      <c r="G855" s="449"/>
      <c r="H855" s="449"/>
      <c r="I855" s="449"/>
      <c r="J855" s="449"/>
      <c r="K855" s="450"/>
      <c r="M855" s="448" t="s">
        <v>39</v>
      </c>
      <c r="N855" s="449"/>
      <c r="O855" s="449"/>
      <c r="P855" s="449"/>
      <c r="Q855" s="449"/>
      <c r="R855" s="449"/>
      <c r="S855" s="449"/>
      <c r="T855" s="449"/>
      <c r="U855" s="449"/>
      <c r="V855" s="449"/>
      <c r="W855" s="450"/>
    </row>
    <row r="856" spans="1:24" ht="18.75" customHeight="1">
      <c r="A856" s="440" t="s">
        <v>40</v>
      </c>
      <c r="B856" s="441"/>
      <c r="C856" s="441"/>
      <c r="D856" s="441"/>
      <c r="E856" s="52" t="s">
        <v>41</v>
      </c>
      <c r="F856" s="442">
        <f>'Bang TH nop'!B101</f>
        <v>0</v>
      </c>
      <c r="G856" s="441"/>
      <c r="H856" s="441"/>
      <c r="I856" s="441"/>
      <c r="J856" s="441"/>
      <c r="K856" s="444"/>
      <c r="M856" s="440" t="s">
        <v>40</v>
      </c>
      <c r="N856" s="441"/>
      <c r="O856" s="441"/>
      <c r="P856" s="441"/>
      <c r="Q856" s="52" t="s">
        <v>41</v>
      </c>
      <c r="R856" s="441"/>
      <c r="S856" s="441"/>
      <c r="T856" s="441"/>
      <c r="U856" s="441"/>
      <c r="V856" s="441"/>
      <c r="W856" s="444"/>
    </row>
    <row r="857" spans="1:24" ht="18.75" customHeight="1">
      <c r="A857" s="440" t="s">
        <v>42</v>
      </c>
      <c r="B857" s="441"/>
      <c r="C857" s="441"/>
      <c r="D857" s="441"/>
      <c r="E857" s="52" t="s">
        <v>41</v>
      </c>
      <c r="F857" s="442">
        <f>'Bang TH nop'!C101</f>
        <v>0</v>
      </c>
      <c r="G857" s="442"/>
      <c r="H857" s="442"/>
      <c r="I857" s="442"/>
      <c r="J857" s="442"/>
      <c r="K857" s="443"/>
      <c r="M857" s="440" t="s">
        <v>42</v>
      </c>
      <c r="N857" s="441"/>
      <c r="O857" s="441"/>
      <c r="P857" s="441"/>
      <c r="Q857" s="52" t="s">
        <v>41</v>
      </c>
      <c r="R857" s="442"/>
      <c r="S857" s="442"/>
      <c r="T857" s="442"/>
      <c r="U857" s="442"/>
      <c r="V857" s="442"/>
      <c r="W857" s="443"/>
    </row>
    <row r="858" spans="1:24" ht="18.75" customHeight="1">
      <c r="A858" s="440" t="s">
        <v>43</v>
      </c>
      <c r="B858" s="441"/>
      <c r="C858" s="441"/>
      <c r="D858" s="441"/>
      <c r="E858" s="52" t="s">
        <v>41</v>
      </c>
      <c r="F858" s="441" t="str">
        <f>+$L$2</f>
        <v xml:space="preserve">Tổ  </v>
      </c>
      <c r="G858" s="441"/>
      <c r="H858" s="441"/>
      <c r="I858" s="441"/>
      <c r="J858" s="441"/>
      <c r="K858" s="444"/>
      <c r="M858" s="440" t="s">
        <v>43</v>
      </c>
      <c r="N858" s="441"/>
      <c r="O858" s="441"/>
      <c r="P858" s="441"/>
      <c r="Q858" s="52" t="s">
        <v>41</v>
      </c>
      <c r="R858" s="441" t="str">
        <f>+$L$2</f>
        <v xml:space="preserve">Tổ  </v>
      </c>
      <c r="S858" s="441"/>
      <c r="T858" s="441"/>
      <c r="U858" s="441"/>
      <c r="V858" s="441"/>
      <c r="W858" s="444"/>
    </row>
    <row r="859" spans="1:24" ht="18.75" customHeight="1">
      <c r="A859" s="448" t="s">
        <v>44</v>
      </c>
      <c r="B859" s="449"/>
      <c r="C859" s="449"/>
      <c r="D859" s="449"/>
      <c r="E859" s="449"/>
      <c r="F859" s="449"/>
      <c r="G859" s="449"/>
      <c r="H859" s="449"/>
      <c r="I859" s="449"/>
      <c r="J859" s="449"/>
      <c r="K859" s="450"/>
      <c r="M859" s="448" t="s">
        <v>44</v>
      </c>
      <c r="N859" s="449"/>
      <c r="O859" s="449"/>
      <c r="P859" s="449"/>
      <c r="Q859" s="449"/>
      <c r="R859" s="449"/>
      <c r="S859" s="449"/>
      <c r="T859" s="449"/>
      <c r="U859" s="449"/>
      <c r="V859" s="449"/>
      <c r="W859" s="450"/>
    </row>
    <row r="860" spans="1:24" ht="18.75" customHeight="1">
      <c r="A860" s="440" t="s">
        <v>45</v>
      </c>
      <c r="B860" s="441"/>
      <c r="C860" s="441"/>
      <c r="D860" s="441"/>
      <c r="E860" s="52" t="s">
        <v>41</v>
      </c>
      <c r="F860" s="455">
        <f>VLOOKUP(F857,'Bang TH nop'!$C$9:$AP$266,29,0)</f>
        <v>0</v>
      </c>
      <c r="G860" s="455"/>
      <c r="H860" s="455"/>
      <c r="I860" s="455"/>
      <c r="J860" s="52" t="s">
        <v>46</v>
      </c>
      <c r="K860" s="54"/>
      <c r="M860" s="440" t="s">
        <v>45</v>
      </c>
      <c r="N860" s="441"/>
      <c r="O860" s="441"/>
      <c r="P860" s="441"/>
      <c r="Q860" s="52" t="s">
        <v>41</v>
      </c>
      <c r="R860" s="455">
        <f>VLOOKUP(R857,'Bang TH nop'!$C$9:$AP$266,29,0)</f>
        <v>0</v>
      </c>
      <c r="S860" s="455"/>
      <c r="T860" s="455"/>
      <c r="U860" s="455"/>
      <c r="V860" s="52" t="s">
        <v>46</v>
      </c>
      <c r="W860" s="54"/>
    </row>
    <row r="861" spans="1:24" ht="18.75" customHeight="1">
      <c r="A861" s="55" t="s">
        <v>47</v>
      </c>
      <c r="B861" s="52"/>
      <c r="C861" s="56"/>
      <c r="D861" s="57"/>
      <c r="E861" s="58"/>
      <c r="F861" s="58"/>
      <c r="G861" s="58"/>
      <c r="H861" s="52"/>
      <c r="I861" s="59">
        <f>'LƯƠNG Tx'!F101</f>
        <v>0</v>
      </c>
      <c r="J861" s="60"/>
      <c r="K861" s="61"/>
      <c r="M861" s="55" t="s">
        <v>47</v>
      </c>
      <c r="N861" s="52"/>
      <c r="O861" s="56"/>
      <c r="P861" s="57"/>
      <c r="Q861" s="58"/>
      <c r="R861" s="58"/>
      <c r="S861" s="58"/>
      <c r="T861" s="52"/>
      <c r="U861" s="59"/>
      <c r="V861" s="60"/>
      <c r="W861" s="61"/>
    </row>
    <row r="862" spans="1:24" ht="18.75" customHeight="1">
      <c r="A862" s="55" t="s">
        <v>48</v>
      </c>
      <c r="B862" s="52"/>
      <c r="C862" s="56"/>
      <c r="D862" s="57"/>
      <c r="E862" s="58"/>
      <c r="F862" s="58"/>
      <c r="G862" s="58"/>
      <c r="H862" s="52"/>
      <c r="I862" s="59" t="e">
        <f>I863/C863/8</f>
        <v>#DIV/0!</v>
      </c>
      <c r="J862" s="60"/>
      <c r="K862" s="61"/>
      <c r="M862" s="55" t="s">
        <v>48</v>
      </c>
      <c r="N862" s="52"/>
      <c r="O862" s="56"/>
      <c r="P862" s="57"/>
      <c r="Q862" s="58"/>
      <c r="R862" s="58"/>
      <c r="S862" s="58"/>
      <c r="T862" s="52"/>
      <c r="U862" s="59" t="e">
        <f>U863/O863/8</f>
        <v>#DIV/0!</v>
      </c>
      <c r="V862" s="60"/>
      <c r="W862" s="61"/>
    </row>
    <row r="863" spans="1:24" ht="18.75" customHeight="1">
      <c r="A863" s="55" t="s">
        <v>49</v>
      </c>
      <c r="B863" s="52" t="s">
        <v>41</v>
      </c>
      <c r="C863" s="56">
        <f>'LƯƠNG Tx'!I100</f>
        <v>0</v>
      </c>
      <c r="D863" s="57" t="s">
        <v>50</v>
      </c>
      <c r="E863" s="453" t="s">
        <v>51</v>
      </c>
      <c r="F863" s="453"/>
      <c r="G863" s="453"/>
      <c r="H863" s="52" t="s">
        <v>41</v>
      </c>
      <c r="I863" s="454" t="e">
        <f>I861*680/((C863-C870)*8+C870*7+C867)*((C863-C870)*8+C870*7)</f>
        <v>#DIV/0!</v>
      </c>
      <c r="J863" s="454"/>
      <c r="K863" s="61" t="s">
        <v>46</v>
      </c>
      <c r="L863" s="62">
        <f>F860/L853*C863</f>
        <v>0</v>
      </c>
      <c r="M863" s="55" t="s">
        <v>49</v>
      </c>
      <c r="N863" s="52" t="s">
        <v>41</v>
      </c>
      <c r="O863" s="56"/>
      <c r="P863" s="57" t="s">
        <v>50</v>
      </c>
      <c r="Q863" s="453" t="s">
        <v>51</v>
      </c>
      <c r="R863" s="453"/>
      <c r="S863" s="453"/>
      <c r="T863" s="52" t="s">
        <v>41</v>
      </c>
      <c r="U863" s="454" t="e">
        <f>U861*680/((O863-O870)*8+O870*7+O867)*((O863-O870)*8+O870*7)</f>
        <v>#DIV/0!</v>
      </c>
      <c r="V863" s="454"/>
      <c r="W863" s="61" t="s">
        <v>46</v>
      </c>
      <c r="X863" s="62">
        <f>R860/X853*O863</f>
        <v>0</v>
      </c>
    </row>
    <row r="864" spans="1:24" ht="18.75" customHeight="1">
      <c r="A864" s="55" t="s">
        <v>52</v>
      </c>
      <c r="B864" s="52" t="s">
        <v>41</v>
      </c>
      <c r="C864" s="56">
        <f>'LƯƠNG Tx'!J100</f>
        <v>0</v>
      </c>
      <c r="D864" s="57" t="s">
        <v>50</v>
      </c>
      <c r="E864" s="441" t="s">
        <v>53</v>
      </c>
      <c r="F864" s="441"/>
      <c r="G864" s="441"/>
      <c r="H864" s="52" t="s">
        <v>41</v>
      </c>
      <c r="I864" s="452">
        <f>$F$8/$L$1*C864</f>
        <v>0</v>
      </c>
      <c r="J864" s="452"/>
      <c r="K864" s="61" t="s">
        <v>46</v>
      </c>
      <c r="L864" s="62"/>
      <c r="M864" s="55" t="s">
        <v>52</v>
      </c>
      <c r="N864" s="52" t="s">
        <v>41</v>
      </c>
      <c r="O864" s="56"/>
      <c r="P864" s="57" t="s">
        <v>50</v>
      </c>
      <c r="Q864" s="441" t="s">
        <v>53</v>
      </c>
      <c r="R864" s="441"/>
      <c r="S864" s="441"/>
      <c r="T864" s="52" t="s">
        <v>41</v>
      </c>
      <c r="U864" s="452">
        <f>$F$8/$L$1*O864</f>
        <v>0</v>
      </c>
      <c r="V864" s="452"/>
      <c r="W864" s="61" t="s">
        <v>46</v>
      </c>
      <c r="X864" s="62"/>
    </row>
    <row r="865" spans="1:24" ht="18.75" customHeight="1">
      <c r="A865" s="55" t="s">
        <v>54</v>
      </c>
      <c r="B865" s="52" t="s">
        <v>41</v>
      </c>
      <c r="C865" s="56">
        <f>'LƯƠNG Tx'!K100</f>
        <v>0</v>
      </c>
      <c r="D865" s="57" t="s">
        <v>50</v>
      </c>
      <c r="E865" s="451" t="s">
        <v>55</v>
      </c>
      <c r="F865" s="451"/>
      <c r="G865" s="451"/>
      <c r="H865" s="52" t="s">
        <v>41</v>
      </c>
      <c r="I865" s="452">
        <f>$F$8/$L$1*C865</f>
        <v>0</v>
      </c>
      <c r="J865" s="452"/>
      <c r="K865" s="61" t="s">
        <v>46</v>
      </c>
      <c r="L865" s="62"/>
      <c r="M865" s="55" t="s">
        <v>54</v>
      </c>
      <c r="N865" s="52" t="s">
        <v>41</v>
      </c>
      <c r="O865" s="56"/>
      <c r="P865" s="57" t="s">
        <v>50</v>
      </c>
      <c r="Q865" s="451" t="s">
        <v>55</v>
      </c>
      <c r="R865" s="451"/>
      <c r="S865" s="451"/>
      <c r="T865" s="52" t="s">
        <v>41</v>
      </c>
      <c r="U865" s="452">
        <f>$F$8/$L$1*O865</f>
        <v>0</v>
      </c>
      <c r="V865" s="452"/>
      <c r="W865" s="61" t="s">
        <v>46</v>
      </c>
      <c r="X865" s="62"/>
    </row>
    <row r="866" spans="1:24" ht="18.75" customHeight="1">
      <c r="A866" s="55" t="s">
        <v>56</v>
      </c>
      <c r="B866" s="52" t="s">
        <v>41</v>
      </c>
      <c r="C866" s="56">
        <f>'LƯƠNG Tx'!L100</f>
        <v>0</v>
      </c>
      <c r="D866" s="57" t="s">
        <v>50</v>
      </c>
      <c r="E866" s="451" t="s">
        <v>57</v>
      </c>
      <c r="F866" s="451"/>
      <c r="G866" s="451"/>
      <c r="H866" s="52" t="s">
        <v>41</v>
      </c>
      <c r="I866" s="452">
        <f>$F$8/$L$1*C866</f>
        <v>0</v>
      </c>
      <c r="J866" s="452"/>
      <c r="K866" s="61" t="s">
        <v>46</v>
      </c>
      <c r="L866" s="62"/>
      <c r="M866" s="55" t="s">
        <v>56</v>
      </c>
      <c r="N866" s="52" t="s">
        <v>41</v>
      </c>
      <c r="O866" s="56"/>
      <c r="P866" s="57" t="s">
        <v>50</v>
      </c>
      <c r="Q866" s="451" t="s">
        <v>57</v>
      </c>
      <c r="R866" s="451"/>
      <c r="S866" s="451"/>
      <c r="T866" s="52" t="s">
        <v>41</v>
      </c>
      <c r="U866" s="452">
        <f>$F$8/$L$1*O866</f>
        <v>0</v>
      </c>
      <c r="V866" s="452"/>
      <c r="W866" s="61" t="s">
        <v>46</v>
      </c>
      <c r="X866" s="62"/>
    </row>
    <row r="867" spans="1:24" ht="18.75" customHeight="1">
      <c r="A867" s="55" t="s">
        <v>58</v>
      </c>
      <c r="B867" s="52" t="s">
        <v>41</v>
      </c>
      <c r="C867" s="56">
        <f>'LƯƠNG Tx'!Q100</f>
        <v>0</v>
      </c>
      <c r="D867" s="57" t="s">
        <v>59</v>
      </c>
      <c r="E867" s="441" t="s">
        <v>60</v>
      </c>
      <c r="F867" s="441"/>
      <c r="G867" s="441"/>
      <c r="H867" s="52" t="s">
        <v>41</v>
      </c>
      <c r="I867" s="452" t="e">
        <f>I863/C863/8*C867</f>
        <v>#DIV/0!</v>
      </c>
      <c r="J867" s="452"/>
      <c r="K867" s="61" t="s">
        <v>46</v>
      </c>
      <c r="L867" s="62">
        <f>F860*C867/L853/8*1.5</f>
        <v>0</v>
      </c>
      <c r="M867" s="55" t="s">
        <v>58</v>
      </c>
      <c r="N867" s="52" t="s">
        <v>41</v>
      </c>
      <c r="O867" s="56"/>
      <c r="P867" s="57" t="s">
        <v>59</v>
      </c>
      <c r="Q867" s="441" t="s">
        <v>60</v>
      </c>
      <c r="R867" s="441"/>
      <c r="S867" s="441"/>
      <c r="T867" s="52" t="s">
        <v>41</v>
      </c>
      <c r="U867" s="452" t="e">
        <f>U863/O863/8*O867</f>
        <v>#DIV/0!</v>
      </c>
      <c r="V867" s="452"/>
      <c r="W867" s="61" t="s">
        <v>46</v>
      </c>
      <c r="X867" s="62">
        <f>R860*O867/X853/8*1.5</f>
        <v>0</v>
      </c>
    </row>
    <row r="868" spans="1:24" ht="18.75" customHeight="1">
      <c r="A868" s="440" t="s">
        <v>61</v>
      </c>
      <c r="B868" s="441"/>
      <c r="C868" s="56"/>
      <c r="D868" s="57" t="s">
        <v>50</v>
      </c>
      <c r="E868" s="441" t="s">
        <v>62</v>
      </c>
      <c r="F868" s="441"/>
      <c r="G868" s="441"/>
      <c r="H868" s="63" t="s">
        <v>41</v>
      </c>
      <c r="I868" s="452"/>
      <c r="J868" s="452"/>
      <c r="K868" s="61" t="s">
        <v>46</v>
      </c>
      <c r="L868" s="62"/>
      <c r="M868" s="440" t="s">
        <v>61</v>
      </c>
      <c r="N868" s="441"/>
      <c r="O868" s="56"/>
      <c r="P868" s="57" t="s">
        <v>50</v>
      </c>
      <c r="Q868" s="441" t="s">
        <v>62</v>
      </c>
      <c r="R868" s="441"/>
      <c r="S868" s="441"/>
      <c r="T868" s="63" t="s">
        <v>41</v>
      </c>
      <c r="U868" s="452"/>
      <c r="V868" s="452"/>
      <c r="W868" s="61" t="s">
        <v>46</v>
      </c>
      <c r="X868" s="62"/>
    </row>
    <row r="869" spans="1:24" ht="18.75" customHeight="1">
      <c r="A869" s="55" t="s">
        <v>63</v>
      </c>
      <c r="B869" s="52" t="s">
        <v>41</v>
      </c>
      <c r="C869" s="56"/>
      <c r="D869" s="57" t="s">
        <v>50</v>
      </c>
      <c r="E869" s="441" t="s">
        <v>64</v>
      </c>
      <c r="F869" s="441"/>
      <c r="G869" s="441"/>
      <c r="H869" s="52" t="s">
        <v>41</v>
      </c>
      <c r="I869" s="452"/>
      <c r="J869" s="452"/>
      <c r="K869" s="61" t="s">
        <v>46</v>
      </c>
      <c r="L869" s="62"/>
      <c r="M869" s="55" t="s">
        <v>63</v>
      </c>
      <c r="N869" s="52" t="s">
        <v>41</v>
      </c>
      <c r="O869" s="56"/>
      <c r="P869" s="57" t="s">
        <v>50</v>
      </c>
      <c r="Q869" s="441" t="s">
        <v>64</v>
      </c>
      <c r="R869" s="441"/>
      <c r="S869" s="441"/>
      <c r="T869" s="52" t="s">
        <v>41</v>
      </c>
      <c r="U869" s="452"/>
      <c r="V869" s="452"/>
      <c r="W869" s="61" t="s">
        <v>46</v>
      </c>
      <c r="X869" s="62"/>
    </row>
    <row r="870" spans="1:24" ht="18.75" customHeight="1">
      <c r="A870" s="64" t="s">
        <v>65</v>
      </c>
      <c r="B870" s="52"/>
      <c r="C870" s="56">
        <f>'LƯƠNG Tx'!M100</f>
        <v>0</v>
      </c>
      <c r="D870" s="57" t="s">
        <v>59</v>
      </c>
      <c r="E870" s="441" t="s">
        <v>66</v>
      </c>
      <c r="F870" s="441"/>
      <c r="G870" s="441"/>
      <c r="H870" s="52" t="s">
        <v>41</v>
      </c>
      <c r="I870" s="452">
        <f>$F$8*C870/8/$L$1</f>
        <v>0</v>
      </c>
      <c r="J870" s="452"/>
      <c r="K870" s="61" t="s">
        <v>46</v>
      </c>
      <c r="L870" s="62"/>
      <c r="M870" s="64" t="s">
        <v>65</v>
      </c>
      <c r="N870" s="52"/>
      <c r="O870" s="56"/>
      <c r="P870" s="57" t="s">
        <v>59</v>
      </c>
      <c r="Q870" s="441" t="s">
        <v>66</v>
      </c>
      <c r="R870" s="441"/>
      <c r="S870" s="441"/>
      <c r="T870" s="52" t="s">
        <v>41</v>
      </c>
      <c r="U870" s="452">
        <f>$F$8*O870/8/$L$1</f>
        <v>0</v>
      </c>
      <c r="V870" s="452"/>
      <c r="W870" s="61" t="s">
        <v>46</v>
      </c>
      <c r="X870" s="62"/>
    </row>
    <row r="871" spans="1:24" ht="18.75" customHeight="1">
      <c r="A871" s="55" t="s">
        <v>67</v>
      </c>
      <c r="B871" s="52" t="s">
        <v>41</v>
      </c>
      <c r="C871" s="56"/>
      <c r="D871" s="57" t="s">
        <v>59</v>
      </c>
      <c r="E871" s="441" t="s">
        <v>68</v>
      </c>
      <c r="F871" s="441"/>
      <c r="G871" s="441"/>
      <c r="H871" s="52" t="s">
        <v>41</v>
      </c>
      <c r="I871" s="454"/>
      <c r="J871" s="454"/>
      <c r="K871" s="61" t="s">
        <v>46</v>
      </c>
      <c r="L871" s="62"/>
      <c r="M871" s="55" t="s">
        <v>67</v>
      </c>
      <c r="N871" s="52" t="s">
        <v>41</v>
      </c>
      <c r="O871" s="56"/>
      <c r="P871" s="57" t="s">
        <v>59</v>
      </c>
      <c r="Q871" s="441" t="s">
        <v>68</v>
      </c>
      <c r="R871" s="441"/>
      <c r="S871" s="441"/>
      <c r="T871" s="52" t="s">
        <v>41</v>
      </c>
      <c r="U871" s="454"/>
      <c r="V871" s="454"/>
      <c r="W871" s="61" t="s">
        <v>46</v>
      </c>
      <c r="X871" s="62"/>
    </row>
    <row r="872" spans="1:24" ht="18.75" customHeight="1">
      <c r="A872" s="55" t="s">
        <v>69</v>
      </c>
      <c r="B872" s="52" t="s">
        <v>41</v>
      </c>
      <c r="C872" s="56"/>
      <c r="D872" s="57" t="s">
        <v>70</v>
      </c>
      <c r="E872" s="53" t="s">
        <v>71</v>
      </c>
      <c r="F872" s="53"/>
      <c r="G872" s="53"/>
      <c r="H872" s="52" t="s">
        <v>41</v>
      </c>
      <c r="I872" s="452"/>
      <c r="J872" s="452"/>
      <c r="K872" s="61" t="s">
        <v>46</v>
      </c>
      <c r="L872" s="62" t="e">
        <f>+IF(L863-I863&lt;0,0,L863-I863)+IF(L867-I867&lt;0,0,L867-I867)</f>
        <v>#DIV/0!</v>
      </c>
      <c r="M872" s="55" t="s">
        <v>69</v>
      </c>
      <c r="N872" s="52" t="s">
        <v>41</v>
      </c>
      <c r="O872" s="56"/>
      <c r="P872" s="57" t="s">
        <v>70</v>
      </c>
      <c r="Q872" s="53" t="s">
        <v>71</v>
      </c>
      <c r="R872" s="53"/>
      <c r="S872" s="53"/>
      <c r="T872" s="52" t="s">
        <v>41</v>
      </c>
      <c r="U872" s="452"/>
      <c r="V872" s="452"/>
      <c r="W872" s="61" t="s">
        <v>46</v>
      </c>
      <c r="X872" s="62" t="e">
        <f>+IF(X863-U863&lt;0,0,X863-U863)+IF(X867-U867&lt;0,0,X867-U867)</f>
        <v>#DIV/0!</v>
      </c>
    </row>
    <row r="873" spans="1:24" ht="18.75" customHeight="1">
      <c r="A873" s="65" t="s">
        <v>72</v>
      </c>
      <c r="B873" s="66"/>
      <c r="C873" s="56"/>
      <c r="D873" s="57" t="s">
        <v>50</v>
      </c>
      <c r="E873" s="441" t="s">
        <v>73</v>
      </c>
      <c r="F873" s="441"/>
      <c r="G873" s="441"/>
      <c r="H873" s="52" t="s">
        <v>41</v>
      </c>
      <c r="I873" s="452"/>
      <c r="J873" s="452"/>
      <c r="K873" s="61" t="s">
        <v>46</v>
      </c>
      <c r="L873" s="62"/>
      <c r="M873" s="65" t="s">
        <v>72</v>
      </c>
      <c r="N873" s="66"/>
      <c r="O873" s="56"/>
      <c r="P873" s="57" t="s">
        <v>50</v>
      </c>
      <c r="Q873" s="441" t="s">
        <v>73</v>
      </c>
      <c r="R873" s="441"/>
      <c r="S873" s="441"/>
      <c r="T873" s="52" t="s">
        <v>41</v>
      </c>
      <c r="U873" s="452"/>
      <c r="V873" s="452"/>
      <c r="W873" s="61" t="s">
        <v>46</v>
      </c>
      <c r="X873" s="62"/>
    </row>
    <row r="874" spans="1:24" ht="18.75" customHeight="1">
      <c r="A874" s="477" t="s">
        <v>74</v>
      </c>
      <c r="B874" s="453"/>
      <c r="C874" s="56"/>
      <c r="D874" s="57"/>
      <c r="E874" s="58"/>
      <c r="F874" s="58"/>
      <c r="G874" s="58"/>
      <c r="H874" s="52" t="s">
        <v>41</v>
      </c>
      <c r="I874" s="452">
        <f>'LƯƠNG Tx'!P101</f>
        <v>0</v>
      </c>
      <c r="J874" s="452"/>
      <c r="K874" s="61" t="s">
        <v>46</v>
      </c>
      <c r="L874" s="62"/>
      <c r="M874" s="477" t="s">
        <v>74</v>
      </c>
      <c r="N874" s="453"/>
      <c r="O874" s="56"/>
      <c r="P874" s="57"/>
      <c r="Q874" s="58"/>
      <c r="R874" s="58"/>
      <c r="S874" s="58"/>
      <c r="T874" s="52" t="s">
        <v>41</v>
      </c>
      <c r="U874" s="452"/>
      <c r="V874" s="452"/>
      <c r="W874" s="61" t="s">
        <v>46</v>
      </c>
      <c r="X874" s="62"/>
    </row>
    <row r="875" spans="1:24" ht="18.75" customHeight="1">
      <c r="A875" s="55" t="s">
        <v>75</v>
      </c>
      <c r="B875" s="52" t="s">
        <v>41</v>
      </c>
      <c r="C875" s="56"/>
      <c r="D875" s="57"/>
      <c r="E875" s="58" t="s">
        <v>76</v>
      </c>
      <c r="F875" s="58"/>
      <c r="G875" s="58"/>
      <c r="H875" s="52" t="s">
        <v>41</v>
      </c>
      <c r="I875" s="452" t="e">
        <f>L872</f>
        <v>#DIV/0!</v>
      </c>
      <c r="J875" s="452"/>
      <c r="K875" s="61" t="s">
        <v>46</v>
      </c>
      <c r="L875" s="62"/>
      <c r="M875" s="55" t="s">
        <v>75</v>
      </c>
      <c r="N875" s="52" t="s">
        <v>41</v>
      </c>
      <c r="O875" s="56"/>
      <c r="P875" s="57"/>
      <c r="Q875" s="58" t="s">
        <v>76</v>
      </c>
      <c r="R875" s="58"/>
      <c r="S875" s="58"/>
      <c r="T875" s="52" t="s">
        <v>41</v>
      </c>
      <c r="U875" s="452" t="e">
        <f>X872</f>
        <v>#DIV/0!</v>
      </c>
      <c r="V875" s="452"/>
      <c r="W875" s="61" t="s">
        <v>46</v>
      </c>
      <c r="X875" s="62"/>
    </row>
    <row r="876" spans="1:24" ht="18.75" customHeight="1">
      <c r="A876" s="456" t="s">
        <v>77</v>
      </c>
      <c r="B876" s="457"/>
      <c r="C876" s="457"/>
      <c r="D876" s="457"/>
      <c r="E876" s="457"/>
      <c r="F876" s="457"/>
      <c r="G876" s="52" t="s">
        <v>41</v>
      </c>
      <c r="H876" s="458" t="e">
        <f>I863+I864+I865+I866+I867+I870+I874+I875+I868+I869+I871+I872+I873+C874</f>
        <v>#DIV/0!</v>
      </c>
      <c r="I876" s="459"/>
      <c r="J876" s="459"/>
      <c r="K876" s="61" t="s">
        <v>46</v>
      </c>
      <c r="M876" s="456" t="s">
        <v>77</v>
      </c>
      <c r="N876" s="457"/>
      <c r="O876" s="457"/>
      <c r="P876" s="457"/>
      <c r="Q876" s="457"/>
      <c r="R876" s="457"/>
      <c r="S876" s="52" t="s">
        <v>41</v>
      </c>
      <c r="T876" s="458" t="e">
        <f>U863+U864+U865+U866+U867+U870+U874+U875+U868+U869+U871+U872+U873+O874</f>
        <v>#DIV/0!</v>
      </c>
      <c r="U876" s="459"/>
      <c r="V876" s="459"/>
      <c r="W876" s="61" t="s">
        <v>46</v>
      </c>
    </row>
    <row r="877" spans="1:24" ht="18.75" customHeight="1">
      <c r="A877" s="67"/>
      <c r="B877" s="68"/>
      <c r="C877" s="68"/>
      <c r="D877" s="68"/>
      <c r="E877" s="68"/>
      <c r="F877" s="68"/>
      <c r="G877" s="68"/>
      <c r="H877" s="68"/>
      <c r="I877" s="68"/>
      <c r="J877" s="68"/>
      <c r="K877" s="69"/>
      <c r="M877" s="67"/>
      <c r="N877" s="68"/>
      <c r="O877" s="68"/>
      <c r="P877" s="68"/>
      <c r="Q877" s="68"/>
      <c r="R877" s="68"/>
      <c r="S877" s="68"/>
      <c r="T877" s="68"/>
      <c r="U877" s="68"/>
      <c r="V877" s="68"/>
      <c r="W877" s="69"/>
    </row>
    <row r="878" spans="1:24" ht="18.75" customHeight="1">
      <c r="A878" s="468" t="s">
        <v>78</v>
      </c>
      <c r="B878" s="469"/>
      <c r="C878" s="469"/>
      <c r="D878" s="469"/>
      <c r="E878" s="469"/>
      <c r="F878" s="469"/>
      <c r="G878" s="52"/>
      <c r="H878" s="52"/>
      <c r="I878" s="52"/>
      <c r="J878" s="52"/>
      <c r="K878" s="61"/>
      <c r="M878" s="468" t="s">
        <v>78</v>
      </c>
      <c r="N878" s="469"/>
      <c r="O878" s="469"/>
      <c r="P878" s="469"/>
      <c r="Q878" s="469"/>
      <c r="R878" s="469"/>
      <c r="S878" s="52"/>
      <c r="T878" s="52"/>
      <c r="U878" s="52"/>
      <c r="V878" s="52"/>
      <c r="W878" s="61"/>
    </row>
    <row r="879" spans="1:24" ht="18.75" customHeight="1">
      <c r="A879" s="462" t="s">
        <v>79</v>
      </c>
      <c r="B879" s="463"/>
      <c r="C879" s="463"/>
      <c r="D879" s="463"/>
      <c r="E879" s="463"/>
      <c r="F879" s="463"/>
      <c r="G879" s="52" t="s">
        <v>41</v>
      </c>
      <c r="H879" s="470">
        <f>IF(($L$1-(C863+C864+C865+C866))&gt;12,0,F860*8%)</f>
        <v>0</v>
      </c>
      <c r="I879" s="470"/>
      <c r="J879" s="470"/>
      <c r="K879" s="61" t="s">
        <v>46</v>
      </c>
      <c r="M879" s="462" t="s">
        <v>79</v>
      </c>
      <c r="N879" s="463"/>
      <c r="O879" s="463"/>
      <c r="P879" s="463"/>
      <c r="Q879" s="463"/>
      <c r="R879" s="463"/>
      <c r="S879" s="52" t="s">
        <v>41</v>
      </c>
      <c r="T879" s="470">
        <f>IF(($L$1-(O863+O864+O865+O866))&gt;12,0,R860*8%)</f>
        <v>0</v>
      </c>
      <c r="U879" s="470"/>
      <c r="V879" s="470"/>
      <c r="W879" s="61" t="s">
        <v>46</v>
      </c>
    </row>
    <row r="880" spans="1:24" ht="18.75" customHeight="1">
      <c r="A880" s="462" t="s">
        <v>80</v>
      </c>
      <c r="B880" s="463"/>
      <c r="C880" s="463"/>
      <c r="D880" s="463"/>
      <c r="E880" s="463"/>
      <c r="F880" s="463"/>
      <c r="G880" s="52" t="s">
        <v>41</v>
      </c>
      <c r="H880" s="464">
        <f>IF(($L$1-(C863+C864+C865+C866))&gt;12,0,F860*1.5%)</f>
        <v>0</v>
      </c>
      <c r="I880" s="464"/>
      <c r="J880" s="464"/>
      <c r="K880" s="61" t="s">
        <v>46</v>
      </c>
      <c r="M880" s="462" t="s">
        <v>80</v>
      </c>
      <c r="N880" s="463"/>
      <c r="O880" s="463"/>
      <c r="P880" s="463"/>
      <c r="Q880" s="463"/>
      <c r="R880" s="463"/>
      <c r="S880" s="52" t="s">
        <v>41</v>
      </c>
      <c r="T880" s="464">
        <f>IF(($L$1-(O863+O864+O865+O866))&gt;12,0,R860*1.5%)</f>
        <v>0</v>
      </c>
      <c r="U880" s="464"/>
      <c r="V880" s="464"/>
      <c r="W880" s="61" t="s">
        <v>46</v>
      </c>
    </row>
    <row r="881" spans="1:24" ht="18.75" customHeight="1">
      <c r="A881" s="462" t="s">
        <v>81</v>
      </c>
      <c r="B881" s="463"/>
      <c r="C881" s="463"/>
      <c r="D881" s="463"/>
      <c r="E881" s="463"/>
      <c r="F881" s="463"/>
      <c r="G881" s="52" t="s">
        <v>41</v>
      </c>
      <c r="H881" s="464">
        <f>IF(($L$1-(C863+C864+C865+C866))&gt;12,0,F860*1%)</f>
        <v>0</v>
      </c>
      <c r="I881" s="464"/>
      <c r="J881" s="464"/>
      <c r="K881" s="61" t="s">
        <v>46</v>
      </c>
      <c r="M881" s="462" t="s">
        <v>81</v>
      </c>
      <c r="N881" s="463"/>
      <c r="O881" s="463"/>
      <c r="P881" s="463"/>
      <c r="Q881" s="463"/>
      <c r="R881" s="463"/>
      <c r="S881" s="52" t="s">
        <v>41</v>
      </c>
      <c r="T881" s="464">
        <f>IF(($L$1-(O863+O864+O865+O866))&gt;12,0,R860*1%)</f>
        <v>0</v>
      </c>
      <c r="U881" s="464"/>
      <c r="V881" s="464"/>
      <c r="W881" s="61" t="s">
        <v>46</v>
      </c>
    </row>
    <row r="882" spans="1:24" ht="18.75" customHeight="1">
      <c r="A882" s="462" t="s">
        <v>82</v>
      </c>
      <c r="B882" s="463"/>
      <c r="C882" s="463"/>
      <c r="D882" s="463"/>
      <c r="E882" s="463"/>
      <c r="F882" s="463"/>
      <c r="G882" s="52" t="s">
        <v>41</v>
      </c>
      <c r="H882" s="464">
        <v>0</v>
      </c>
      <c r="I882" s="464"/>
      <c r="J882" s="464"/>
      <c r="K882" s="61" t="s">
        <v>46</v>
      </c>
      <c r="M882" s="462" t="s">
        <v>82</v>
      </c>
      <c r="N882" s="463"/>
      <c r="O882" s="463"/>
      <c r="P882" s="463"/>
      <c r="Q882" s="463"/>
      <c r="R882" s="463"/>
      <c r="S882" s="52" t="s">
        <v>41</v>
      </c>
      <c r="T882" s="464">
        <v>0</v>
      </c>
      <c r="U882" s="464"/>
      <c r="V882" s="464"/>
      <c r="W882" s="61" t="s">
        <v>46</v>
      </c>
    </row>
    <row r="883" spans="1:24" ht="18.75" customHeight="1">
      <c r="A883" s="465" t="s">
        <v>83</v>
      </c>
      <c r="B883" s="466"/>
      <c r="C883" s="466"/>
      <c r="D883" s="466"/>
      <c r="E883" s="466"/>
      <c r="F883" s="466"/>
      <c r="G883" s="52" t="s">
        <v>41</v>
      </c>
      <c r="H883" s="467">
        <f>SUM(H879:J882)</f>
        <v>0</v>
      </c>
      <c r="I883" s="467"/>
      <c r="J883" s="467"/>
      <c r="K883" s="61" t="s">
        <v>46</v>
      </c>
      <c r="M883" s="465" t="s">
        <v>83</v>
      </c>
      <c r="N883" s="466"/>
      <c r="O883" s="466"/>
      <c r="P883" s="466"/>
      <c r="Q883" s="466"/>
      <c r="R883" s="466"/>
      <c r="S883" s="52" t="s">
        <v>41</v>
      </c>
      <c r="T883" s="467">
        <f>SUM(T879:V882)</f>
        <v>0</v>
      </c>
      <c r="U883" s="467"/>
      <c r="V883" s="467"/>
      <c r="W883" s="61" t="s">
        <v>46</v>
      </c>
    </row>
    <row r="884" spans="1:24" ht="18.75" customHeight="1">
      <c r="A884" s="462" t="s">
        <v>84</v>
      </c>
      <c r="B884" s="463"/>
      <c r="C884" s="463"/>
      <c r="D884" s="463"/>
      <c r="E884" s="463"/>
      <c r="F884" s="463"/>
      <c r="G884" s="52" t="s">
        <v>41</v>
      </c>
      <c r="H884" s="475" t="e">
        <f>ROUND(H876-H883,-2)</f>
        <v>#DIV/0!</v>
      </c>
      <c r="I884" s="475"/>
      <c r="J884" s="475"/>
      <c r="K884" s="61" t="s">
        <v>46</v>
      </c>
      <c r="M884" s="462" t="s">
        <v>84</v>
      </c>
      <c r="N884" s="463"/>
      <c r="O884" s="463"/>
      <c r="P884" s="463"/>
      <c r="Q884" s="463"/>
      <c r="R884" s="463"/>
      <c r="S884" s="52" t="s">
        <v>41</v>
      </c>
      <c r="T884" s="475" t="e">
        <f>ROUND(T876-T883,-2)</f>
        <v>#DIV/0!</v>
      </c>
      <c r="U884" s="475"/>
      <c r="V884" s="475"/>
      <c r="W884" s="61" t="s">
        <v>46</v>
      </c>
    </row>
    <row r="885" spans="1:24" ht="18.75" customHeight="1">
      <c r="A885" s="70"/>
      <c r="B885" s="71"/>
      <c r="C885" s="71"/>
      <c r="D885" s="71"/>
      <c r="E885" s="71"/>
      <c r="F885" s="71"/>
      <c r="G885" s="71"/>
      <c r="H885" s="71"/>
      <c r="I885" s="71"/>
      <c r="J885" s="71"/>
      <c r="K885" s="72"/>
      <c r="M885" s="70"/>
      <c r="N885" s="71"/>
      <c r="O885" s="71"/>
      <c r="P885" s="71"/>
      <c r="Q885" s="71"/>
      <c r="R885" s="71"/>
      <c r="S885" s="71"/>
      <c r="T885" s="71"/>
      <c r="U885" s="71"/>
      <c r="V885" s="71"/>
      <c r="W885" s="72"/>
    </row>
    <row r="886" spans="1:24" ht="18.75" customHeight="1">
      <c r="A886" s="73"/>
      <c r="B886" s="52"/>
      <c r="C886" s="52"/>
      <c r="D886" s="52"/>
      <c r="E886" s="52"/>
      <c r="F886" s="52"/>
      <c r="G886" s="52"/>
      <c r="H886" s="52"/>
      <c r="I886" s="472" t="s">
        <v>85</v>
      </c>
      <c r="J886" s="472"/>
      <c r="K886" s="476"/>
      <c r="M886" s="73"/>
      <c r="N886" s="52"/>
      <c r="O886" s="52"/>
      <c r="P886" s="52"/>
      <c r="Q886" s="52"/>
      <c r="R886" s="52"/>
      <c r="S886" s="52"/>
      <c r="T886" s="52"/>
      <c r="U886" s="472" t="s">
        <v>85</v>
      </c>
      <c r="V886" s="472"/>
      <c r="W886" s="476"/>
    </row>
    <row r="887" spans="1:24" ht="18.75" customHeight="1">
      <c r="A887" s="73"/>
      <c r="B887" s="471"/>
      <c r="C887" s="472"/>
      <c r="D887" s="472"/>
      <c r="E887" s="472"/>
      <c r="F887" s="52"/>
      <c r="G887" s="52"/>
      <c r="H887" s="52"/>
      <c r="I887" s="52"/>
      <c r="J887" s="52"/>
      <c r="K887" s="54"/>
      <c r="M887" s="73"/>
      <c r="N887" s="471"/>
      <c r="O887" s="472"/>
      <c r="P887" s="472"/>
      <c r="Q887" s="472"/>
      <c r="R887" s="52"/>
      <c r="S887" s="52"/>
      <c r="T887" s="52"/>
      <c r="U887" s="52"/>
      <c r="V887" s="52"/>
      <c r="W887" s="54"/>
    </row>
    <row r="888" spans="1:24" ht="18.75" customHeight="1" thickBot="1">
      <c r="A888" s="75"/>
      <c r="B888" s="76"/>
      <c r="C888" s="76"/>
      <c r="D888" s="76"/>
      <c r="E888" s="76"/>
      <c r="F888" s="76"/>
      <c r="G888" s="76"/>
      <c r="H888" s="76"/>
      <c r="I888" s="473" t="s">
        <v>86</v>
      </c>
      <c r="J888" s="473"/>
      <c r="K888" s="474"/>
      <c r="M888" s="75"/>
      <c r="N888" s="76"/>
      <c r="O888" s="76"/>
      <c r="P888" s="76"/>
      <c r="Q888" s="76"/>
      <c r="R888" s="76"/>
      <c r="S888" s="76"/>
      <c r="T888" s="76"/>
      <c r="U888" s="473" t="s">
        <v>86</v>
      </c>
      <c r="V888" s="473"/>
      <c r="W888" s="474"/>
    </row>
    <row r="889" spans="1:24" ht="18.75" customHeight="1" thickTop="1" thickBot="1"/>
    <row r="890" spans="1:24" ht="18.75" customHeight="1" thickTop="1">
      <c r="A890" s="445" t="s">
        <v>13</v>
      </c>
      <c r="B890" s="446"/>
      <c r="C890" s="446"/>
      <c r="D890" s="446"/>
      <c r="E890" s="446"/>
      <c r="F890" s="446"/>
      <c r="G890" s="446"/>
      <c r="H890" s="446"/>
      <c r="I890" s="446"/>
      <c r="J890" s="446"/>
      <c r="K890" s="447"/>
      <c r="L890" s="48">
        <v>24</v>
      </c>
      <c r="M890" s="445" t="s">
        <v>13</v>
      </c>
      <c r="N890" s="446"/>
      <c r="O890" s="446"/>
      <c r="P890" s="446"/>
      <c r="Q890" s="446"/>
      <c r="R890" s="446"/>
      <c r="S890" s="446"/>
      <c r="T890" s="446"/>
      <c r="U890" s="446"/>
      <c r="V890" s="446"/>
      <c r="W890" s="447"/>
      <c r="X890" s="48">
        <v>24</v>
      </c>
    </row>
    <row r="891" spans="1:24" ht="18.75" customHeight="1">
      <c r="A891" s="49" t="s">
        <v>135</v>
      </c>
      <c r="B891" s="50"/>
      <c r="C891" s="50"/>
      <c r="D891" s="50"/>
      <c r="E891" s="50"/>
      <c r="F891" s="50"/>
      <c r="G891" s="50"/>
      <c r="H891" s="50"/>
      <c r="I891" s="50"/>
      <c r="J891" s="50"/>
      <c r="K891" s="51"/>
      <c r="M891" s="49" t="s">
        <v>136</v>
      </c>
      <c r="N891" s="50"/>
      <c r="O891" s="50"/>
      <c r="P891" s="50"/>
      <c r="Q891" s="50"/>
      <c r="R891" s="50"/>
      <c r="S891" s="50"/>
      <c r="T891" s="50"/>
      <c r="U891" s="50"/>
      <c r="V891" s="50"/>
      <c r="W891" s="51"/>
    </row>
    <row r="892" spans="1:24" ht="18.75" customHeight="1">
      <c r="A892" s="448" t="s">
        <v>39</v>
      </c>
      <c r="B892" s="449"/>
      <c r="C892" s="449"/>
      <c r="D892" s="449"/>
      <c r="E892" s="449"/>
      <c r="F892" s="449"/>
      <c r="G892" s="449"/>
      <c r="H892" s="449"/>
      <c r="I892" s="449"/>
      <c r="J892" s="449"/>
      <c r="K892" s="450"/>
      <c r="M892" s="448" t="s">
        <v>39</v>
      </c>
      <c r="N892" s="449"/>
      <c r="O892" s="449"/>
      <c r="P892" s="449"/>
      <c r="Q892" s="449"/>
      <c r="R892" s="449"/>
      <c r="S892" s="449"/>
      <c r="T892" s="449"/>
      <c r="U892" s="449"/>
      <c r="V892" s="449"/>
      <c r="W892" s="450"/>
    </row>
    <row r="893" spans="1:24" ht="18.75" customHeight="1">
      <c r="A893" s="440" t="s">
        <v>40</v>
      </c>
      <c r="B893" s="441"/>
      <c r="C893" s="441"/>
      <c r="D893" s="441"/>
      <c r="E893" s="52" t="s">
        <v>41</v>
      </c>
      <c r="F893" s="441"/>
      <c r="G893" s="441"/>
      <c r="H893" s="441"/>
      <c r="I893" s="441"/>
      <c r="J893" s="441"/>
      <c r="K893" s="444"/>
      <c r="M893" s="440" t="s">
        <v>40</v>
      </c>
      <c r="N893" s="441"/>
      <c r="O893" s="441"/>
      <c r="P893" s="441"/>
      <c r="Q893" s="52" t="s">
        <v>41</v>
      </c>
      <c r="R893" s="441"/>
      <c r="S893" s="441"/>
      <c r="T893" s="441"/>
      <c r="U893" s="441"/>
      <c r="V893" s="441"/>
      <c r="W893" s="444"/>
    </row>
    <row r="894" spans="1:24" ht="18.75" customHeight="1">
      <c r="A894" s="440" t="s">
        <v>42</v>
      </c>
      <c r="B894" s="441"/>
      <c r="C894" s="441"/>
      <c r="D894" s="441"/>
      <c r="E894" s="52" t="s">
        <v>41</v>
      </c>
      <c r="F894" s="442"/>
      <c r="G894" s="442"/>
      <c r="H894" s="442"/>
      <c r="I894" s="442"/>
      <c r="J894" s="442"/>
      <c r="K894" s="443"/>
      <c r="M894" s="440" t="s">
        <v>42</v>
      </c>
      <c r="N894" s="441"/>
      <c r="O894" s="441"/>
      <c r="P894" s="441"/>
      <c r="Q894" s="52" t="s">
        <v>41</v>
      </c>
      <c r="R894" s="442"/>
      <c r="S894" s="442"/>
      <c r="T894" s="442"/>
      <c r="U894" s="442"/>
      <c r="V894" s="442"/>
      <c r="W894" s="443"/>
    </row>
    <row r="895" spans="1:24" ht="18.75" customHeight="1">
      <c r="A895" s="440" t="s">
        <v>43</v>
      </c>
      <c r="B895" s="441"/>
      <c r="C895" s="441"/>
      <c r="D895" s="441"/>
      <c r="E895" s="52" t="s">
        <v>41</v>
      </c>
      <c r="F895" s="441" t="str">
        <f>+$L$2</f>
        <v xml:space="preserve">Tổ  </v>
      </c>
      <c r="G895" s="441"/>
      <c r="H895" s="441"/>
      <c r="I895" s="441"/>
      <c r="J895" s="441"/>
      <c r="K895" s="444"/>
      <c r="M895" s="440" t="s">
        <v>43</v>
      </c>
      <c r="N895" s="441"/>
      <c r="O895" s="441"/>
      <c r="P895" s="441"/>
      <c r="Q895" s="52" t="s">
        <v>41</v>
      </c>
      <c r="R895" s="441" t="str">
        <f>+$L$2</f>
        <v xml:space="preserve">Tổ  </v>
      </c>
      <c r="S895" s="441"/>
      <c r="T895" s="441"/>
      <c r="U895" s="441"/>
      <c r="V895" s="441"/>
      <c r="W895" s="444"/>
    </row>
    <row r="896" spans="1:24" ht="18.75" customHeight="1">
      <c r="A896" s="448" t="s">
        <v>44</v>
      </c>
      <c r="B896" s="449"/>
      <c r="C896" s="449"/>
      <c r="D896" s="449"/>
      <c r="E896" s="449"/>
      <c r="F896" s="449"/>
      <c r="G896" s="449"/>
      <c r="H896" s="449"/>
      <c r="I896" s="449"/>
      <c r="J896" s="449"/>
      <c r="K896" s="450"/>
      <c r="M896" s="448" t="s">
        <v>44</v>
      </c>
      <c r="N896" s="449"/>
      <c r="O896" s="449"/>
      <c r="P896" s="449"/>
      <c r="Q896" s="449"/>
      <c r="R896" s="449"/>
      <c r="S896" s="449"/>
      <c r="T896" s="449"/>
      <c r="U896" s="449"/>
      <c r="V896" s="449"/>
      <c r="W896" s="450"/>
    </row>
    <row r="897" spans="1:24" ht="18.75" customHeight="1">
      <c r="A897" s="440" t="s">
        <v>45</v>
      </c>
      <c r="B897" s="441"/>
      <c r="C897" s="441"/>
      <c r="D897" s="441"/>
      <c r="E897" s="52" t="s">
        <v>41</v>
      </c>
      <c r="F897" s="455">
        <f>VLOOKUP(F894,'Bang TH nop'!$C$9:$AP$266,29,0)</f>
        <v>0</v>
      </c>
      <c r="G897" s="455"/>
      <c r="H897" s="455"/>
      <c r="I897" s="455"/>
      <c r="J897" s="52" t="s">
        <v>46</v>
      </c>
      <c r="K897" s="54"/>
      <c r="M897" s="440" t="s">
        <v>45</v>
      </c>
      <c r="N897" s="441"/>
      <c r="O897" s="441"/>
      <c r="P897" s="441"/>
      <c r="Q897" s="52" t="s">
        <v>41</v>
      </c>
      <c r="R897" s="455">
        <f>VLOOKUP(R894,'Bang TH nop'!$C$9:$AP$266,29,0)</f>
        <v>0</v>
      </c>
      <c r="S897" s="455"/>
      <c r="T897" s="455"/>
      <c r="U897" s="455"/>
      <c r="V897" s="52" t="s">
        <v>46</v>
      </c>
      <c r="W897" s="54"/>
    </row>
    <row r="898" spans="1:24" ht="18.75" customHeight="1">
      <c r="A898" s="55" t="s">
        <v>47</v>
      </c>
      <c r="B898" s="52"/>
      <c r="C898" s="56"/>
      <c r="D898" s="57"/>
      <c r="E898" s="58"/>
      <c r="F898" s="58"/>
      <c r="G898" s="58"/>
      <c r="H898" s="52"/>
      <c r="I898" s="59"/>
      <c r="J898" s="60"/>
      <c r="K898" s="61"/>
      <c r="M898" s="55" t="s">
        <v>47</v>
      </c>
      <c r="N898" s="52"/>
      <c r="O898" s="56"/>
      <c r="P898" s="57"/>
      <c r="Q898" s="58"/>
      <c r="R898" s="58"/>
      <c r="S898" s="58"/>
      <c r="T898" s="52"/>
      <c r="U898" s="59"/>
      <c r="V898" s="60"/>
      <c r="W898" s="61"/>
    </row>
    <row r="899" spans="1:24" ht="18.75" customHeight="1">
      <c r="A899" s="55" t="s">
        <v>48</v>
      </c>
      <c r="B899" s="52"/>
      <c r="C899" s="56"/>
      <c r="D899" s="57"/>
      <c r="E899" s="58"/>
      <c r="F899" s="58"/>
      <c r="G899" s="58"/>
      <c r="H899" s="52"/>
      <c r="I899" s="59" t="e">
        <f>I900/C900/8</f>
        <v>#DIV/0!</v>
      </c>
      <c r="J899" s="60"/>
      <c r="K899" s="61"/>
      <c r="M899" s="55" t="s">
        <v>48</v>
      </c>
      <c r="N899" s="52"/>
      <c r="O899" s="56"/>
      <c r="P899" s="57"/>
      <c r="Q899" s="58"/>
      <c r="R899" s="58"/>
      <c r="S899" s="58"/>
      <c r="T899" s="52"/>
      <c r="U899" s="59" t="e">
        <f>U900/O900/8</f>
        <v>#DIV/0!</v>
      </c>
      <c r="V899" s="60"/>
      <c r="W899" s="61"/>
    </row>
    <row r="900" spans="1:24" ht="18.75" customHeight="1">
      <c r="A900" s="55" t="s">
        <v>49</v>
      </c>
      <c r="B900" s="52" t="s">
        <v>41</v>
      </c>
      <c r="C900" s="56"/>
      <c r="D900" s="57" t="s">
        <v>50</v>
      </c>
      <c r="E900" s="453" t="s">
        <v>51</v>
      </c>
      <c r="F900" s="453"/>
      <c r="G900" s="453"/>
      <c r="H900" s="52" t="s">
        <v>41</v>
      </c>
      <c r="I900" s="454" t="e">
        <f>I898*680/((C900-C907)*8+C907*7+C904)*((C900-C907)*8+C907*7)</f>
        <v>#DIV/0!</v>
      </c>
      <c r="J900" s="454"/>
      <c r="K900" s="61" t="s">
        <v>46</v>
      </c>
      <c r="L900" s="62">
        <f>F897/L890*C900</f>
        <v>0</v>
      </c>
      <c r="M900" s="55" t="s">
        <v>49</v>
      </c>
      <c r="N900" s="52" t="s">
        <v>41</v>
      </c>
      <c r="O900" s="56"/>
      <c r="P900" s="57" t="s">
        <v>50</v>
      </c>
      <c r="Q900" s="453" t="s">
        <v>51</v>
      </c>
      <c r="R900" s="453"/>
      <c r="S900" s="453"/>
      <c r="T900" s="52" t="s">
        <v>41</v>
      </c>
      <c r="U900" s="454" t="e">
        <f>U898*680/((O900-O907)*8+O907*7+O904)*((O900-O907)*8+O907*7)</f>
        <v>#DIV/0!</v>
      </c>
      <c r="V900" s="454"/>
      <c r="W900" s="61" t="s">
        <v>46</v>
      </c>
      <c r="X900" s="62">
        <f>R897/X890*O900</f>
        <v>0</v>
      </c>
    </row>
    <row r="901" spans="1:24" ht="18.75" customHeight="1">
      <c r="A901" s="55" t="s">
        <v>52</v>
      </c>
      <c r="B901" s="52" t="s">
        <v>41</v>
      </c>
      <c r="C901" s="56"/>
      <c r="D901" s="57" t="s">
        <v>50</v>
      </c>
      <c r="E901" s="441" t="s">
        <v>53</v>
      </c>
      <c r="F901" s="441"/>
      <c r="G901" s="441"/>
      <c r="H901" s="52" t="s">
        <v>41</v>
      </c>
      <c r="I901" s="452">
        <f>$F$8/$L$1*C901</f>
        <v>0</v>
      </c>
      <c r="J901" s="452"/>
      <c r="K901" s="61" t="s">
        <v>46</v>
      </c>
      <c r="L901" s="62"/>
      <c r="M901" s="55" t="s">
        <v>52</v>
      </c>
      <c r="N901" s="52" t="s">
        <v>41</v>
      </c>
      <c r="O901" s="56"/>
      <c r="P901" s="57" t="s">
        <v>50</v>
      </c>
      <c r="Q901" s="441" t="s">
        <v>53</v>
      </c>
      <c r="R901" s="441"/>
      <c r="S901" s="441"/>
      <c r="T901" s="52" t="s">
        <v>41</v>
      </c>
      <c r="U901" s="452">
        <f>$F$8/$L$1*O901</f>
        <v>0</v>
      </c>
      <c r="V901" s="452"/>
      <c r="W901" s="61" t="s">
        <v>46</v>
      </c>
      <c r="X901" s="62"/>
    </row>
    <row r="902" spans="1:24" ht="18.75" customHeight="1">
      <c r="A902" s="55" t="s">
        <v>54</v>
      </c>
      <c r="B902" s="52" t="s">
        <v>41</v>
      </c>
      <c r="C902" s="56"/>
      <c r="D902" s="57" t="s">
        <v>50</v>
      </c>
      <c r="E902" s="451" t="s">
        <v>55</v>
      </c>
      <c r="F902" s="451"/>
      <c r="G902" s="451"/>
      <c r="H902" s="52" t="s">
        <v>41</v>
      </c>
      <c r="I902" s="452">
        <f>$F$8/$L$1*C902</f>
        <v>0</v>
      </c>
      <c r="J902" s="452"/>
      <c r="K902" s="61" t="s">
        <v>46</v>
      </c>
      <c r="L902" s="62"/>
      <c r="M902" s="55" t="s">
        <v>54</v>
      </c>
      <c r="N902" s="52" t="s">
        <v>41</v>
      </c>
      <c r="O902" s="56"/>
      <c r="P902" s="57" t="s">
        <v>50</v>
      </c>
      <c r="Q902" s="451" t="s">
        <v>55</v>
      </c>
      <c r="R902" s="451"/>
      <c r="S902" s="451"/>
      <c r="T902" s="52" t="s">
        <v>41</v>
      </c>
      <c r="U902" s="452">
        <f>$F$8/$L$1*O902</f>
        <v>0</v>
      </c>
      <c r="V902" s="452"/>
      <c r="W902" s="61" t="s">
        <v>46</v>
      </c>
      <c r="X902" s="62"/>
    </row>
    <row r="903" spans="1:24" ht="18.75" customHeight="1">
      <c r="A903" s="55" t="s">
        <v>56</v>
      </c>
      <c r="B903" s="52" t="s">
        <v>41</v>
      </c>
      <c r="C903" s="56"/>
      <c r="D903" s="57" t="s">
        <v>50</v>
      </c>
      <c r="E903" s="451" t="s">
        <v>57</v>
      </c>
      <c r="F903" s="451"/>
      <c r="G903" s="451"/>
      <c r="H903" s="52" t="s">
        <v>41</v>
      </c>
      <c r="I903" s="452">
        <f>$F$8/$L$1*C903</f>
        <v>0</v>
      </c>
      <c r="J903" s="452"/>
      <c r="K903" s="61" t="s">
        <v>46</v>
      </c>
      <c r="L903" s="62"/>
      <c r="M903" s="55" t="s">
        <v>56</v>
      </c>
      <c r="N903" s="52" t="s">
        <v>41</v>
      </c>
      <c r="O903" s="56"/>
      <c r="P903" s="57" t="s">
        <v>50</v>
      </c>
      <c r="Q903" s="451" t="s">
        <v>57</v>
      </c>
      <c r="R903" s="451"/>
      <c r="S903" s="451"/>
      <c r="T903" s="52" t="s">
        <v>41</v>
      </c>
      <c r="U903" s="452">
        <f>$F$8/$L$1*O903</f>
        <v>0</v>
      </c>
      <c r="V903" s="452"/>
      <c r="W903" s="61" t="s">
        <v>46</v>
      </c>
      <c r="X903" s="62"/>
    </row>
    <row r="904" spans="1:24" ht="18.75" customHeight="1">
      <c r="A904" s="55" t="s">
        <v>58</v>
      </c>
      <c r="B904" s="52" t="s">
        <v>41</v>
      </c>
      <c r="C904" s="56"/>
      <c r="D904" s="57" t="s">
        <v>59</v>
      </c>
      <c r="E904" s="441" t="s">
        <v>60</v>
      </c>
      <c r="F904" s="441"/>
      <c r="G904" s="441"/>
      <c r="H904" s="52" t="s">
        <v>41</v>
      </c>
      <c r="I904" s="452" t="e">
        <f>I900/C900/8*C904</f>
        <v>#DIV/0!</v>
      </c>
      <c r="J904" s="452"/>
      <c r="K904" s="61" t="s">
        <v>46</v>
      </c>
      <c r="L904" s="62">
        <f>F897*C904/L890/8*1.5</f>
        <v>0</v>
      </c>
      <c r="M904" s="55" t="s">
        <v>58</v>
      </c>
      <c r="N904" s="52" t="s">
        <v>41</v>
      </c>
      <c r="O904" s="56"/>
      <c r="P904" s="57" t="s">
        <v>59</v>
      </c>
      <c r="Q904" s="441" t="s">
        <v>60</v>
      </c>
      <c r="R904" s="441"/>
      <c r="S904" s="441"/>
      <c r="T904" s="52" t="s">
        <v>41</v>
      </c>
      <c r="U904" s="452" t="e">
        <f>U900/O900/8*O904</f>
        <v>#DIV/0!</v>
      </c>
      <c r="V904" s="452"/>
      <c r="W904" s="61" t="s">
        <v>46</v>
      </c>
      <c r="X904" s="62">
        <f>R897*O904/X890/8*1.5</f>
        <v>0</v>
      </c>
    </row>
    <row r="905" spans="1:24" ht="18.75" customHeight="1">
      <c r="A905" s="440" t="s">
        <v>61</v>
      </c>
      <c r="B905" s="441"/>
      <c r="C905" s="56"/>
      <c r="D905" s="57" t="s">
        <v>50</v>
      </c>
      <c r="E905" s="441" t="s">
        <v>62</v>
      </c>
      <c r="F905" s="441"/>
      <c r="G905" s="441"/>
      <c r="H905" s="63" t="s">
        <v>41</v>
      </c>
      <c r="I905" s="452"/>
      <c r="J905" s="452"/>
      <c r="K905" s="61" t="s">
        <v>46</v>
      </c>
      <c r="L905" s="62"/>
      <c r="M905" s="440" t="s">
        <v>61</v>
      </c>
      <c r="N905" s="441"/>
      <c r="O905" s="56"/>
      <c r="P905" s="57" t="s">
        <v>50</v>
      </c>
      <c r="Q905" s="441" t="s">
        <v>62</v>
      </c>
      <c r="R905" s="441"/>
      <c r="S905" s="441"/>
      <c r="T905" s="63" t="s">
        <v>41</v>
      </c>
      <c r="U905" s="452"/>
      <c r="V905" s="452"/>
      <c r="W905" s="61" t="s">
        <v>46</v>
      </c>
      <c r="X905" s="62"/>
    </row>
    <row r="906" spans="1:24" ht="18.75" customHeight="1">
      <c r="A906" s="55" t="s">
        <v>63</v>
      </c>
      <c r="B906" s="52" t="s">
        <v>41</v>
      </c>
      <c r="C906" s="56"/>
      <c r="D906" s="57" t="s">
        <v>50</v>
      </c>
      <c r="E906" s="441" t="s">
        <v>64</v>
      </c>
      <c r="F906" s="441"/>
      <c r="G906" s="441"/>
      <c r="H906" s="52" t="s">
        <v>41</v>
      </c>
      <c r="I906" s="452"/>
      <c r="J906" s="452"/>
      <c r="K906" s="61" t="s">
        <v>46</v>
      </c>
      <c r="L906" s="62"/>
      <c r="M906" s="55" t="s">
        <v>63</v>
      </c>
      <c r="N906" s="52" t="s">
        <v>41</v>
      </c>
      <c r="O906" s="56"/>
      <c r="P906" s="57" t="s">
        <v>50</v>
      </c>
      <c r="Q906" s="441" t="s">
        <v>64</v>
      </c>
      <c r="R906" s="441"/>
      <c r="S906" s="441"/>
      <c r="T906" s="52" t="s">
        <v>41</v>
      </c>
      <c r="U906" s="452"/>
      <c r="V906" s="452"/>
      <c r="W906" s="61" t="s">
        <v>46</v>
      </c>
      <c r="X906" s="62"/>
    </row>
    <row r="907" spans="1:24" ht="18.75" customHeight="1">
      <c r="A907" s="64" t="s">
        <v>65</v>
      </c>
      <c r="B907" s="52"/>
      <c r="C907" s="56"/>
      <c r="D907" s="57" t="s">
        <v>59</v>
      </c>
      <c r="E907" s="441" t="s">
        <v>66</v>
      </c>
      <c r="F907" s="441"/>
      <c r="G907" s="441"/>
      <c r="H907" s="52" t="s">
        <v>41</v>
      </c>
      <c r="I907" s="452">
        <f>$F$8*C907/8/$L$1</f>
        <v>0</v>
      </c>
      <c r="J907" s="452"/>
      <c r="K907" s="61" t="s">
        <v>46</v>
      </c>
      <c r="L907" s="62"/>
      <c r="M907" s="64" t="s">
        <v>65</v>
      </c>
      <c r="N907" s="52"/>
      <c r="O907" s="56"/>
      <c r="P907" s="57" t="s">
        <v>59</v>
      </c>
      <c r="Q907" s="441" t="s">
        <v>66</v>
      </c>
      <c r="R907" s="441"/>
      <c r="S907" s="441"/>
      <c r="T907" s="52" t="s">
        <v>41</v>
      </c>
      <c r="U907" s="452">
        <f>$F$8*O907/8/$L$1</f>
        <v>0</v>
      </c>
      <c r="V907" s="452"/>
      <c r="W907" s="61" t="s">
        <v>46</v>
      </c>
      <c r="X907" s="62"/>
    </row>
    <row r="908" spans="1:24" ht="18.75" customHeight="1">
      <c r="A908" s="55" t="s">
        <v>67</v>
      </c>
      <c r="B908" s="52" t="s">
        <v>41</v>
      </c>
      <c r="C908" s="56"/>
      <c r="D908" s="57" t="s">
        <v>59</v>
      </c>
      <c r="E908" s="441" t="s">
        <v>68</v>
      </c>
      <c r="F908" s="441"/>
      <c r="G908" s="441"/>
      <c r="H908" s="52" t="s">
        <v>41</v>
      </c>
      <c r="I908" s="454"/>
      <c r="J908" s="454"/>
      <c r="K908" s="61" t="s">
        <v>46</v>
      </c>
      <c r="L908" s="62"/>
      <c r="M908" s="55" t="s">
        <v>67</v>
      </c>
      <c r="N908" s="52" t="s">
        <v>41</v>
      </c>
      <c r="O908" s="56"/>
      <c r="P908" s="57" t="s">
        <v>59</v>
      </c>
      <c r="Q908" s="441" t="s">
        <v>68</v>
      </c>
      <c r="R908" s="441"/>
      <c r="S908" s="441"/>
      <c r="T908" s="52" t="s">
        <v>41</v>
      </c>
      <c r="U908" s="454"/>
      <c r="V908" s="454"/>
      <c r="W908" s="61" t="s">
        <v>46</v>
      </c>
      <c r="X908" s="62"/>
    </row>
    <row r="909" spans="1:24" ht="18.75" customHeight="1">
      <c r="A909" s="55" t="s">
        <v>69</v>
      </c>
      <c r="B909" s="52" t="s">
        <v>41</v>
      </c>
      <c r="C909" s="56"/>
      <c r="D909" s="57" t="s">
        <v>70</v>
      </c>
      <c r="E909" s="53" t="s">
        <v>71</v>
      </c>
      <c r="F909" s="53"/>
      <c r="G909" s="53"/>
      <c r="H909" s="52" t="s">
        <v>41</v>
      </c>
      <c r="I909" s="452"/>
      <c r="J909" s="452"/>
      <c r="K909" s="61" t="s">
        <v>46</v>
      </c>
      <c r="L909" s="62" t="e">
        <f>+IF(L900-I900&lt;0,0,L900-I900)+IF(L904-I904&lt;0,0,L904-I904)</f>
        <v>#DIV/0!</v>
      </c>
      <c r="M909" s="55" t="s">
        <v>69</v>
      </c>
      <c r="N909" s="52" t="s">
        <v>41</v>
      </c>
      <c r="O909" s="56"/>
      <c r="P909" s="57" t="s">
        <v>70</v>
      </c>
      <c r="Q909" s="53" t="s">
        <v>71</v>
      </c>
      <c r="R909" s="53"/>
      <c r="S909" s="53"/>
      <c r="T909" s="52" t="s">
        <v>41</v>
      </c>
      <c r="U909" s="452"/>
      <c r="V909" s="452"/>
      <c r="W909" s="61" t="s">
        <v>46</v>
      </c>
      <c r="X909" s="62" t="e">
        <f>+IF(X900-U900&lt;0,0,X900-U900)+IF(X904-U904&lt;0,0,X904-U904)</f>
        <v>#DIV/0!</v>
      </c>
    </row>
    <row r="910" spans="1:24" ht="18.75" customHeight="1">
      <c r="A910" s="65" t="s">
        <v>72</v>
      </c>
      <c r="B910" s="66"/>
      <c r="C910" s="56"/>
      <c r="D910" s="57" t="s">
        <v>50</v>
      </c>
      <c r="E910" s="441" t="s">
        <v>73</v>
      </c>
      <c r="F910" s="441"/>
      <c r="G910" s="441"/>
      <c r="H910" s="52" t="s">
        <v>41</v>
      </c>
      <c r="I910" s="452"/>
      <c r="J910" s="452"/>
      <c r="K910" s="61" t="s">
        <v>46</v>
      </c>
      <c r="L910" s="62"/>
      <c r="M910" s="65" t="s">
        <v>72</v>
      </c>
      <c r="N910" s="66"/>
      <c r="O910" s="56"/>
      <c r="P910" s="57" t="s">
        <v>50</v>
      </c>
      <c r="Q910" s="441" t="s">
        <v>73</v>
      </c>
      <c r="R910" s="441"/>
      <c r="S910" s="441"/>
      <c r="T910" s="52" t="s">
        <v>41</v>
      </c>
      <c r="U910" s="452"/>
      <c r="V910" s="452"/>
      <c r="W910" s="61" t="s">
        <v>46</v>
      </c>
      <c r="X910" s="62"/>
    </row>
    <row r="911" spans="1:24" ht="18.75" customHeight="1">
      <c r="A911" s="477" t="s">
        <v>74</v>
      </c>
      <c r="B911" s="453"/>
      <c r="C911" s="56"/>
      <c r="D911" s="57"/>
      <c r="E911" s="58"/>
      <c r="F911" s="58"/>
      <c r="G911" s="58"/>
      <c r="H911" s="52" t="s">
        <v>41</v>
      </c>
      <c r="I911" s="452"/>
      <c r="J911" s="452"/>
      <c r="K911" s="61" t="s">
        <v>46</v>
      </c>
      <c r="L911" s="62"/>
      <c r="M911" s="477" t="s">
        <v>74</v>
      </c>
      <c r="N911" s="453"/>
      <c r="O911" s="56"/>
      <c r="P911" s="57"/>
      <c r="Q911" s="58"/>
      <c r="R911" s="58"/>
      <c r="S911" s="58"/>
      <c r="T911" s="52" t="s">
        <v>41</v>
      </c>
      <c r="U911" s="452"/>
      <c r="V911" s="452"/>
      <c r="W911" s="61" t="s">
        <v>46</v>
      </c>
      <c r="X911" s="62"/>
    </row>
    <row r="912" spans="1:24" ht="18.75" customHeight="1">
      <c r="A912" s="55" t="s">
        <v>75</v>
      </c>
      <c r="B912" s="52" t="s">
        <v>41</v>
      </c>
      <c r="C912" s="56"/>
      <c r="D912" s="57"/>
      <c r="E912" s="58" t="s">
        <v>76</v>
      </c>
      <c r="F912" s="58"/>
      <c r="G912" s="58"/>
      <c r="H912" s="52" t="s">
        <v>41</v>
      </c>
      <c r="I912" s="452" t="e">
        <f>L909</f>
        <v>#DIV/0!</v>
      </c>
      <c r="J912" s="452"/>
      <c r="K912" s="61" t="s">
        <v>46</v>
      </c>
      <c r="L912" s="62"/>
      <c r="M912" s="55" t="s">
        <v>75</v>
      </c>
      <c r="N912" s="52" t="s">
        <v>41</v>
      </c>
      <c r="O912" s="56"/>
      <c r="P912" s="57"/>
      <c r="Q912" s="58" t="s">
        <v>76</v>
      </c>
      <c r="R912" s="58"/>
      <c r="S912" s="58"/>
      <c r="T912" s="52" t="s">
        <v>41</v>
      </c>
      <c r="U912" s="452" t="e">
        <f>X909</f>
        <v>#DIV/0!</v>
      </c>
      <c r="V912" s="452"/>
      <c r="W912" s="61" t="s">
        <v>46</v>
      </c>
      <c r="X912" s="62"/>
    </row>
    <row r="913" spans="1:24" ht="18.75" customHeight="1">
      <c r="A913" s="456" t="s">
        <v>77</v>
      </c>
      <c r="B913" s="457"/>
      <c r="C913" s="457"/>
      <c r="D913" s="457"/>
      <c r="E913" s="457"/>
      <c r="F913" s="457"/>
      <c r="G913" s="52" t="s">
        <v>41</v>
      </c>
      <c r="H913" s="458" t="e">
        <f>I900+I901+I902+I903+I904+I907+I911+I912+I905+I906+I908+I909+I910+C911</f>
        <v>#DIV/0!</v>
      </c>
      <c r="I913" s="459"/>
      <c r="J913" s="459"/>
      <c r="K913" s="61" t="s">
        <v>46</v>
      </c>
      <c r="M913" s="456" t="s">
        <v>77</v>
      </c>
      <c r="N913" s="457"/>
      <c r="O913" s="457"/>
      <c r="P913" s="457"/>
      <c r="Q913" s="457"/>
      <c r="R913" s="457"/>
      <c r="S913" s="52" t="s">
        <v>41</v>
      </c>
      <c r="T913" s="458" t="e">
        <f>U900+U901+U902+U903+U904+U907+U911+U912+U905+U906+U908+U909+U910+O911</f>
        <v>#DIV/0!</v>
      </c>
      <c r="U913" s="459"/>
      <c r="V913" s="459"/>
      <c r="W913" s="61" t="s">
        <v>46</v>
      </c>
    </row>
    <row r="914" spans="1:24" ht="18.75" customHeight="1">
      <c r="A914" s="67"/>
      <c r="B914" s="68"/>
      <c r="C914" s="68"/>
      <c r="D914" s="68"/>
      <c r="E914" s="68"/>
      <c r="F914" s="68"/>
      <c r="G914" s="68"/>
      <c r="H914" s="68"/>
      <c r="I914" s="68"/>
      <c r="J914" s="68"/>
      <c r="K914" s="69"/>
      <c r="M914" s="67"/>
      <c r="N914" s="68"/>
      <c r="O914" s="68"/>
      <c r="P914" s="68"/>
      <c r="Q914" s="68"/>
      <c r="R914" s="68"/>
      <c r="S914" s="68"/>
      <c r="T914" s="68"/>
      <c r="U914" s="68"/>
      <c r="V914" s="68"/>
      <c r="W914" s="69"/>
    </row>
    <row r="915" spans="1:24" ht="18.75" customHeight="1">
      <c r="A915" s="468" t="s">
        <v>78</v>
      </c>
      <c r="B915" s="469"/>
      <c r="C915" s="469"/>
      <c r="D915" s="469"/>
      <c r="E915" s="469"/>
      <c r="F915" s="469"/>
      <c r="G915" s="52"/>
      <c r="H915" s="52"/>
      <c r="I915" s="52"/>
      <c r="J915" s="52"/>
      <c r="K915" s="61"/>
      <c r="M915" s="468" t="s">
        <v>78</v>
      </c>
      <c r="N915" s="469"/>
      <c r="O915" s="469"/>
      <c r="P915" s="469"/>
      <c r="Q915" s="469"/>
      <c r="R915" s="469"/>
      <c r="S915" s="52"/>
      <c r="T915" s="52"/>
      <c r="U915" s="52"/>
      <c r="V915" s="52"/>
      <c r="W915" s="61"/>
    </row>
    <row r="916" spans="1:24" ht="18.75" customHeight="1">
      <c r="A916" s="462" t="s">
        <v>79</v>
      </c>
      <c r="B916" s="463"/>
      <c r="C916" s="463"/>
      <c r="D916" s="463"/>
      <c r="E916" s="463"/>
      <c r="F916" s="463"/>
      <c r="G916" s="52" t="s">
        <v>41</v>
      </c>
      <c r="H916" s="470">
        <f>IF(($L$1-(C900+C901+C902+C903))&gt;12,0,F897*8%)</f>
        <v>0</v>
      </c>
      <c r="I916" s="470"/>
      <c r="J916" s="470"/>
      <c r="K916" s="61" t="s">
        <v>46</v>
      </c>
      <c r="M916" s="462" t="s">
        <v>79</v>
      </c>
      <c r="N916" s="463"/>
      <c r="O916" s="463"/>
      <c r="P916" s="463"/>
      <c r="Q916" s="463"/>
      <c r="R916" s="463"/>
      <c r="S916" s="52" t="s">
        <v>41</v>
      </c>
      <c r="T916" s="470">
        <f>IF(($L$1-(O900+O901+O902+O903))&gt;12,0,R897*8%)</f>
        <v>0</v>
      </c>
      <c r="U916" s="470"/>
      <c r="V916" s="470"/>
      <c r="W916" s="61" t="s">
        <v>46</v>
      </c>
    </row>
    <row r="917" spans="1:24" ht="18.75" customHeight="1">
      <c r="A917" s="462" t="s">
        <v>80</v>
      </c>
      <c r="B917" s="463"/>
      <c r="C917" s="463"/>
      <c r="D917" s="463"/>
      <c r="E917" s="463"/>
      <c r="F917" s="463"/>
      <c r="G917" s="52" t="s">
        <v>41</v>
      </c>
      <c r="H917" s="464">
        <f>IF(($L$1-(C900+C901+C902+C903))&gt;12,0,F897*1.5%)</f>
        <v>0</v>
      </c>
      <c r="I917" s="464"/>
      <c r="J917" s="464"/>
      <c r="K917" s="61" t="s">
        <v>46</v>
      </c>
      <c r="M917" s="462" t="s">
        <v>80</v>
      </c>
      <c r="N917" s="463"/>
      <c r="O917" s="463"/>
      <c r="P917" s="463"/>
      <c r="Q917" s="463"/>
      <c r="R917" s="463"/>
      <c r="S917" s="52" t="s">
        <v>41</v>
      </c>
      <c r="T917" s="464">
        <f>IF(($L$1-(O900+O901+O902+O903))&gt;12,0,R897*1.5%)</f>
        <v>0</v>
      </c>
      <c r="U917" s="464"/>
      <c r="V917" s="464"/>
      <c r="W917" s="61" t="s">
        <v>46</v>
      </c>
    </row>
    <row r="918" spans="1:24" ht="18.75" customHeight="1">
      <c r="A918" s="462" t="s">
        <v>81</v>
      </c>
      <c r="B918" s="463"/>
      <c r="C918" s="463"/>
      <c r="D918" s="463"/>
      <c r="E918" s="463"/>
      <c r="F918" s="463"/>
      <c r="G918" s="52" t="s">
        <v>41</v>
      </c>
      <c r="H918" s="464">
        <f>IF(($L$1-(C900+C901+C902+C903))&gt;12,0,F897*1%)</f>
        <v>0</v>
      </c>
      <c r="I918" s="464"/>
      <c r="J918" s="464"/>
      <c r="K918" s="61" t="s">
        <v>46</v>
      </c>
      <c r="M918" s="462" t="s">
        <v>81</v>
      </c>
      <c r="N918" s="463"/>
      <c r="O918" s="463"/>
      <c r="P918" s="463"/>
      <c r="Q918" s="463"/>
      <c r="R918" s="463"/>
      <c r="S918" s="52" t="s">
        <v>41</v>
      </c>
      <c r="T918" s="464">
        <f>IF(($L$1-(O900+O901+O902+O903))&gt;12,0,R897*1%)</f>
        <v>0</v>
      </c>
      <c r="U918" s="464"/>
      <c r="V918" s="464"/>
      <c r="W918" s="61" t="s">
        <v>46</v>
      </c>
    </row>
    <row r="919" spans="1:24" ht="18.75" customHeight="1">
      <c r="A919" s="462" t="s">
        <v>82</v>
      </c>
      <c r="B919" s="463"/>
      <c r="C919" s="463"/>
      <c r="D919" s="463"/>
      <c r="E919" s="463"/>
      <c r="F919" s="463"/>
      <c r="G919" s="52" t="s">
        <v>41</v>
      </c>
      <c r="H919" s="464">
        <v>0</v>
      </c>
      <c r="I919" s="464"/>
      <c r="J919" s="464"/>
      <c r="K919" s="61" t="s">
        <v>46</v>
      </c>
      <c r="M919" s="462" t="s">
        <v>82</v>
      </c>
      <c r="N919" s="463"/>
      <c r="O919" s="463"/>
      <c r="P919" s="463"/>
      <c r="Q919" s="463"/>
      <c r="R919" s="463"/>
      <c r="S919" s="52" t="s">
        <v>41</v>
      </c>
      <c r="T919" s="464">
        <v>0</v>
      </c>
      <c r="U919" s="464"/>
      <c r="V919" s="464"/>
      <c r="W919" s="61" t="s">
        <v>46</v>
      </c>
    </row>
    <row r="920" spans="1:24" ht="18.75" customHeight="1">
      <c r="A920" s="465" t="s">
        <v>83</v>
      </c>
      <c r="B920" s="466"/>
      <c r="C920" s="466"/>
      <c r="D920" s="466"/>
      <c r="E920" s="466"/>
      <c r="F920" s="466"/>
      <c r="G920" s="52" t="s">
        <v>41</v>
      </c>
      <c r="H920" s="467">
        <f>SUM(H916:J919)</f>
        <v>0</v>
      </c>
      <c r="I920" s="467"/>
      <c r="J920" s="467"/>
      <c r="K920" s="61" t="s">
        <v>46</v>
      </c>
      <c r="M920" s="465" t="s">
        <v>83</v>
      </c>
      <c r="N920" s="466"/>
      <c r="O920" s="466"/>
      <c r="P920" s="466"/>
      <c r="Q920" s="466"/>
      <c r="R920" s="466"/>
      <c r="S920" s="52" t="s">
        <v>41</v>
      </c>
      <c r="T920" s="467">
        <f>SUM(T916:V919)</f>
        <v>0</v>
      </c>
      <c r="U920" s="467"/>
      <c r="V920" s="467"/>
      <c r="W920" s="61" t="s">
        <v>46</v>
      </c>
    </row>
    <row r="921" spans="1:24" ht="18.75" customHeight="1">
      <c r="A921" s="462" t="s">
        <v>84</v>
      </c>
      <c r="B921" s="463"/>
      <c r="C921" s="463"/>
      <c r="D921" s="463"/>
      <c r="E921" s="463"/>
      <c r="F921" s="463"/>
      <c r="G921" s="52" t="s">
        <v>41</v>
      </c>
      <c r="H921" s="475" t="e">
        <f>ROUND(H913-H920,-2)</f>
        <v>#DIV/0!</v>
      </c>
      <c r="I921" s="475"/>
      <c r="J921" s="475"/>
      <c r="K921" s="61" t="s">
        <v>46</v>
      </c>
      <c r="M921" s="462" t="s">
        <v>84</v>
      </c>
      <c r="N921" s="463"/>
      <c r="O921" s="463"/>
      <c r="P921" s="463"/>
      <c r="Q921" s="463"/>
      <c r="R921" s="463"/>
      <c r="S921" s="52" t="s">
        <v>41</v>
      </c>
      <c r="T921" s="475" t="e">
        <f>ROUND(T913-T920,-2)</f>
        <v>#DIV/0!</v>
      </c>
      <c r="U921" s="475"/>
      <c r="V921" s="475"/>
      <c r="W921" s="61" t="s">
        <v>46</v>
      </c>
    </row>
    <row r="922" spans="1:24" ht="18.75" customHeight="1">
      <c r="A922" s="70"/>
      <c r="B922" s="71"/>
      <c r="C922" s="71"/>
      <c r="D922" s="71"/>
      <c r="E922" s="71"/>
      <c r="F922" s="71"/>
      <c r="G922" s="71"/>
      <c r="H922" s="71"/>
      <c r="I922" s="71"/>
      <c r="J922" s="71"/>
      <c r="K922" s="72"/>
      <c r="M922" s="70"/>
      <c r="N922" s="71"/>
      <c r="O922" s="71"/>
      <c r="P922" s="71"/>
      <c r="Q922" s="71"/>
      <c r="R922" s="71"/>
      <c r="S922" s="71"/>
      <c r="T922" s="71"/>
      <c r="U922" s="71"/>
      <c r="V922" s="71"/>
      <c r="W922" s="72"/>
    </row>
    <row r="923" spans="1:24" ht="18.75" customHeight="1">
      <c r="A923" s="73"/>
      <c r="B923" s="52"/>
      <c r="C923" s="52"/>
      <c r="D923" s="52"/>
      <c r="E923" s="52"/>
      <c r="F923" s="52"/>
      <c r="G923" s="52"/>
      <c r="H923" s="52"/>
      <c r="I923" s="472" t="s">
        <v>85</v>
      </c>
      <c r="J923" s="472"/>
      <c r="K923" s="476"/>
      <c r="M923" s="73"/>
      <c r="N923" s="52"/>
      <c r="O923" s="52"/>
      <c r="P923" s="52"/>
      <c r="Q923" s="52"/>
      <c r="R923" s="52"/>
      <c r="S923" s="52"/>
      <c r="T923" s="52"/>
      <c r="U923" s="472" t="s">
        <v>85</v>
      </c>
      <c r="V923" s="472"/>
      <c r="W923" s="476"/>
    </row>
    <row r="924" spans="1:24" ht="18.75" customHeight="1">
      <c r="A924" s="73"/>
      <c r="B924" s="471"/>
      <c r="C924" s="472"/>
      <c r="D924" s="472"/>
      <c r="E924" s="472"/>
      <c r="F924" s="52"/>
      <c r="G924" s="52"/>
      <c r="H924" s="52"/>
      <c r="I924" s="52"/>
      <c r="J924" s="52"/>
      <c r="K924" s="54"/>
      <c r="M924" s="73"/>
      <c r="N924" s="471"/>
      <c r="O924" s="472"/>
      <c r="P924" s="472"/>
      <c r="Q924" s="472"/>
      <c r="R924" s="52"/>
      <c r="S924" s="52"/>
      <c r="T924" s="52"/>
      <c r="U924" s="52"/>
      <c r="V924" s="52"/>
      <c r="W924" s="54"/>
    </row>
    <row r="925" spans="1:24" ht="18.75" customHeight="1" thickBot="1">
      <c r="A925" s="75"/>
      <c r="B925" s="76"/>
      <c r="C925" s="76"/>
      <c r="D925" s="76"/>
      <c r="E925" s="76"/>
      <c r="F925" s="76"/>
      <c r="G925" s="76"/>
      <c r="H925" s="76"/>
      <c r="I925" s="473" t="s">
        <v>86</v>
      </c>
      <c r="J925" s="473"/>
      <c r="K925" s="474"/>
      <c r="M925" s="75"/>
      <c r="N925" s="76"/>
      <c r="O925" s="76"/>
      <c r="P925" s="76"/>
      <c r="Q925" s="76"/>
      <c r="R925" s="76"/>
      <c r="S925" s="76"/>
      <c r="T925" s="76"/>
      <c r="U925" s="473" t="s">
        <v>86</v>
      </c>
      <c r="V925" s="473"/>
      <c r="W925" s="474"/>
    </row>
    <row r="926" spans="1:24" ht="18.75" customHeight="1" thickTop="1" thickBot="1"/>
    <row r="927" spans="1:24" ht="18.75" customHeight="1" thickTop="1">
      <c r="A927" s="445" t="s">
        <v>13</v>
      </c>
      <c r="B927" s="446"/>
      <c r="C927" s="446"/>
      <c r="D927" s="446"/>
      <c r="E927" s="446"/>
      <c r="F927" s="446"/>
      <c r="G927" s="446"/>
      <c r="H927" s="446"/>
      <c r="I927" s="446"/>
      <c r="J927" s="446"/>
      <c r="K927" s="447"/>
      <c r="L927" s="48">
        <v>24</v>
      </c>
      <c r="M927" s="445" t="s">
        <v>13</v>
      </c>
      <c r="N927" s="446"/>
      <c r="O927" s="446"/>
      <c r="P927" s="446"/>
      <c r="Q927" s="446"/>
      <c r="R927" s="446"/>
      <c r="S927" s="446"/>
      <c r="T927" s="446"/>
      <c r="U927" s="446"/>
      <c r="V927" s="446"/>
      <c r="W927" s="447"/>
      <c r="X927" s="48">
        <v>24</v>
      </c>
    </row>
    <row r="928" spans="1:24" ht="18.75" customHeight="1">
      <c r="A928" s="49" t="s">
        <v>137</v>
      </c>
      <c r="B928" s="50"/>
      <c r="C928" s="50"/>
      <c r="D928" s="50"/>
      <c r="E928" s="50"/>
      <c r="F928" s="50"/>
      <c r="G928" s="50"/>
      <c r="H928" s="50"/>
      <c r="I928" s="50"/>
      <c r="J928" s="50"/>
      <c r="K928" s="51"/>
      <c r="M928" s="49" t="s">
        <v>138</v>
      </c>
      <c r="N928" s="50"/>
      <c r="O928" s="50"/>
      <c r="P928" s="50"/>
      <c r="Q928" s="50"/>
      <c r="R928" s="50"/>
      <c r="S928" s="50"/>
      <c r="T928" s="50"/>
      <c r="U928" s="50"/>
      <c r="V928" s="50"/>
      <c r="W928" s="51"/>
    </row>
    <row r="929" spans="1:24" ht="18.75" customHeight="1">
      <c r="A929" s="448" t="s">
        <v>39</v>
      </c>
      <c r="B929" s="449"/>
      <c r="C929" s="449"/>
      <c r="D929" s="449"/>
      <c r="E929" s="449"/>
      <c r="F929" s="449"/>
      <c r="G929" s="449"/>
      <c r="H929" s="449"/>
      <c r="I929" s="449"/>
      <c r="J929" s="449"/>
      <c r="K929" s="450"/>
      <c r="M929" s="448" t="s">
        <v>39</v>
      </c>
      <c r="N929" s="449"/>
      <c r="O929" s="449"/>
      <c r="P929" s="449"/>
      <c r="Q929" s="449"/>
      <c r="R929" s="449"/>
      <c r="S929" s="449"/>
      <c r="T929" s="449"/>
      <c r="U929" s="449"/>
      <c r="V929" s="449"/>
      <c r="W929" s="450"/>
    </row>
    <row r="930" spans="1:24" ht="18.75" customHeight="1">
      <c r="A930" s="440" t="s">
        <v>40</v>
      </c>
      <c r="B930" s="441"/>
      <c r="C930" s="441"/>
      <c r="D930" s="441"/>
      <c r="E930" s="52" t="s">
        <v>41</v>
      </c>
      <c r="F930" s="441"/>
      <c r="G930" s="441"/>
      <c r="H930" s="441"/>
      <c r="I930" s="441"/>
      <c r="J930" s="441"/>
      <c r="K930" s="444"/>
      <c r="M930" s="440" t="s">
        <v>40</v>
      </c>
      <c r="N930" s="441"/>
      <c r="O930" s="441"/>
      <c r="P930" s="441"/>
      <c r="Q930" s="52" t="s">
        <v>41</v>
      </c>
      <c r="R930" s="441"/>
      <c r="S930" s="441"/>
      <c r="T930" s="441"/>
      <c r="U930" s="441"/>
      <c r="V930" s="441"/>
      <c r="W930" s="444"/>
    </row>
    <row r="931" spans="1:24" ht="18.75" customHeight="1">
      <c r="A931" s="440" t="s">
        <v>42</v>
      </c>
      <c r="B931" s="441"/>
      <c r="C931" s="441"/>
      <c r="D931" s="441"/>
      <c r="E931" s="52" t="s">
        <v>41</v>
      </c>
      <c r="F931" s="442"/>
      <c r="G931" s="442"/>
      <c r="H931" s="442"/>
      <c r="I931" s="442"/>
      <c r="J931" s="442"/>
      <c r="K931" s="443"/>
      <c r="M931" s="440" t="s">
        <v>42</v>
      </c>
      <c r="N931" s="441"/>
      <c r="O931" s="441"/>
      <c r="P931" s="441"/>
      <c r="Q931" s="52" t="s">
        <v>41</v>
      </c>
      <c r="R931" s="442"/>
      <c r="S931" s="442"/>
      <c r="T931" s="442"/>
      <c r="U931" s="442"/>
      <c r="V931" s="442"/>
      <c r="W931" s="443"/>
    </row>
    <row r="932" spans="1:24" ht="18.75" customHeight="1">
      <c r="A932" s="440" t="s">
        <v>43</v>
      </c>
      <c r="B932" s="441"/>
      <c r="C932" s="441"/>
      <c r="D932" s="441"/>
      <c r="E932" s="52" t="s">
        <v>41</v>
      </c>
      <c r="F932" s="441" t="str">
        <f>+$L$2</f>
        <v xml:space="preserve">Tổ  </v>
      </c>
      <c r="G932" s="441"/>
      <c r="H932" s="441"/>
      <c r="I932" s="441"/>
      <c r="J932" s="441"/>
      <c r="K932" s="444"/>
      <c r="M932" s="440" t="s">
        <v>43</v>
      </c>
      <c r="N932" s="441"/>
      <c r="O932" s="441"/>
      <c r="P932" s="441"/>
      <c r="Q932" s="52" t="s">
        <v>41</v>
      </c>
      <c r="R932" s="441" t="str">
        <f>+$L$2</f>
        <v xml:space="preserve">Tổ  </v>
      </c>
      <c r="S932" s="441"/>
      <c r="T932" s="441"/>
      <c r="U932" s="441"/>
      <c r="V932" s="441"/>
      <c r="W932" s="444"/>
    </row>
    <row r="933" spans="1:24" ht="18.75" customHeight="1">
      <c r="A933" s="448" t="s">
        <v>44</v>
      </c>
      <c r="B933" s="449"/>
      <c r="C933" s="449"/>
      <c r="D933" s="449"/>
      <c r="E933" s="449"/>
      <c r="F933" s="449"/>
      <c r="G933" s="449"/>
      <c r="H933" s="449"/>
      <c r="I933" s="449"/>
      <c r="J933" s="449"/>
      <c r="K933" s="450"/>
      <c r="M933" s="448" t="s">
        <v>44</v>
      </c>
      <c r="N933" s="449"/>
      <c r="O933" s="449"/>
      <c r="P933" s="449"/>
      <c r="Q933" s="449"/>
      <c r="R933" s="449"/>
      <c r="S933" s="449"/>
      <c r="T933" s="449"/>
      <c r="U933" s="449"/>
      <c r="V933" s="449"/>
      <c r="W933" s="450"/>
    </row>
    <row r="934" spans="1:24" ht="18.75" customHeight="1">
      <c r="A934" s="440" t="s">
        <v>45</v>
      </c>
      <c r="B934" s="441"/>
      <c r="C934" s="441"/>
      <c r="D934" s="441"/>
      <c r="E934" s="52" t="s">
        <v>41</v>
      </c>
      <c r="F934" s="455" t="e">
        <f>VLOOKUP(F931,'Bang TH nop'!$C$9:$AP$266,44,0)</f>
        <v>#REF!</v>
      </c>
      <c r="G934" s="455"/>
      <c r="H934" s="455"/>
      <c r="I934" s="455"/>
      <c r="J934" s="52" t="s">
        <v>46</v>
      </c>
      <c r="K934" s="54"/>
      <c r="M934" s="440" t="s">
        <v>45</v>
      </c>
      <c r="N934" s="441"/>
      <c r="O934" s="441"/>
      <c r="P934" s="441"/>
      <c r="Q934" s="52" t="s">
        <v>41</v>
      </c>
      <c r="R934" s="455" t="e">
        <f>VLOOKUP(R931,'Bang TH nop'!$C$9:$AP$266,44,0)</f>
        <v>#REF!</v>
      </c>
      <c r="S934" s="455"/>
      <c r="T934" s="455"/>
      <c r="U934" s="455"/>
      <c r="V934" s="52" t="s">
        <v>46</v>
      </c>
      <c r="W934" s="54"/>
    </row>
    <row r="935" spans="1:24" ht="18.75" customHeight="1">
      <c r="A935" s="55" t="s">
        <v>47</v>
      </c>
      <c r="B935" s="52"/>
      <c r="C935" s="56"/>
      <c r="D935" s="57"/>
      <c r="E935" s="58"/>
      <c r="F935" s="58"/>
      <c r="G935" s="58"/>
      <c r="H935" s="52"/>
      <c r="I935" s="59"/>
      <c r="J935" s="60"/>
      <c r="K935" s="61"/>
      <c r="M935" s="55" t="s">
        <v>47</v>
      </c>
      <c r="N935" s="52"/>
      <c r="O935" s="56"/>
      <c r="P935" s="57"/>
      <c r="Q935" s="58"/>
      <c r="R935" s="58"/>
      <c r="S935" s="58"/>
      <c r="T935" s="52"/>
      <c r="U935" s="59"/>
      <c r="V935" s="60"/>
      <c r="W935" s="61"/>
    </row>
    <row r="936" spans="1:24" ht="18.75" customHeight="1">
      <c r="A936" s="55" t="s">
        <v>48</v>
      </c>
      <c r="B936" s="52"/>
      <c r="C936" s="56"/>
      <c r="D936" s="57"/>
      <c r="E936" s="58"/>
      <c r="F936" s="58"/>
      <c r="G936" s="58"/>
      <c r="H936" s="52"/>
      <c r="I936" s="59" t="e">
        <f>I937/C937/8</f>
        <v>#DIV/0!</v>
      </c>
      <c r="J936" s="60"/>
      <c r="K936" s="61"/>
      <c r="M936" s="55" t="s">
        <v>48</v>
      </c>
      <c r="N936" s="52"/>
      <c r="O936" s="56"/>
      <c r="P936" s="57"/>
      <c r="Q936" s="58"/>
      <c r="R936" s="58"/>
      <c r="S936" s="58"/>
      <c r="T936" s="52"/>
      <c r="U936" s="59" t="e">
        <f>U937/O937/8</f>
        <v>#DIV/0!</v>
      </c>
      <c r="V936" s="60"/>
      <c r="W936" s="61"/>
    </row>
    <row r="937" spans="1:24" ht="18.75" customHeight="1">
      <c r="A937" s="55" t="s">
        <v>49</v>
      </c>
      <c r="B937" s="52" t="s">
        <v>41</v>
      </c>
      <c r="C937" s="56"/>
      <c r="D937" s="57" t="s">
        <v>50</v>
      </c>
      <c r="E937" s="453" t="s">
        <v>51</v>
      </c>
      <c r="F937" s="453"/>
      <c r="G937" s="453"/>
      <c r="H937" s="52" t="s">
        <v>41</v>
      </c>
      <c r="I937" s="454" t="e">
        <f>I935*680/((C937-C944)*8+C944*7+C941)*((C937-C944)*8+C944*7)</f>
        <v>#DIV/0!</v>
      </c>
      <c r="J937" s="454"/>
      <c r="K937" s="61" t="s">
        <v>46</v>
      </c>
      <c r="L937" s="62" t="e">
        <f>F934/L927*C937</f>
        <v>#REF!</v>
      </c>
      <c r="M937" s="55" t="s">
        <v>49</v>
      </c>
      <c r="N937" s="52" t="s">
        <v>41</v>
      </c>
      <c r="O937" s="56"/>
      <c r="P937" s="57" t="s">
        <v>50</v>
      </c>
      <c r="Q937" s="453" t="s">
        <v>51</v>
      </c>
      <c r="R937" s="453"/>
      <c r="S937" s="453"/>
      <c r="T937" s="52" t="s">
        <v>41</v>
      </c>
      <c r="U937" s="454" t="e">
        <f>U935*680/((O937-O944)*8+O944*7+O941)*((O937-O944)*8+O944*7)</f>
        <v>#DIV/0!</v>
      </c>
      <c r="V937" s="454"/>
      <c r="W937" s="61" t="s">
        <v>46</v>
      </c>
      <c r="X937" s="62" t="e">
        <f>R934/X927*O937</f>
        <v>#REF!</v>
      </c>
    </row>
    <row r="938" spans="1:24" ht="18.75" customHeight="1">
      <c r="A938" s="55" t="s">
        <v>52</v>
      </c>
      <c r="B938" s="52" t="s">
        <v>41</v>
      </c>
      <c r="C938" s="56"/>
      <c r="D938" s="57" t="s">
        <v>50</v>
      </c>
      <c r="E938" s="441" t="s">
        <v>53</v>
      </c>
      <c r="F938" s="441"/>
      <c r="G938" s="441"/>
      <c r="H938" s="52" t="s">
        <v>41</v>
      </c>
      <c r="I938" s="452">
        <f>$F$8/$L$1*C938</f>
        <v>0</v>
      </c>
      <c r="J938" s="452"/>
      <c r="K938" s="61" t="s">
        <v>46</v>
      </c>
      <c r="L938" s="62"/>
      <c r="M938" s="55" t="s">
        <v>52</v>
      </c>
      <c r="N938" s="52" t="s">
        <v>41</v>
      </c>
      <c r="O938" s="56"/>
      <c r="P938" s="57" t="s">
        <v>50</v>
      </c>
      <c r="Q938" s="441" t="s">
        <v>53</v>
      </c>
      <c r="R938" s="441"/>
      <c r="S938" s="441"/>
      <c r="T938" s="52" t="s">
        <v>41</v>
      </c>
      <c r="U938" s="452">
        <f>$F$8/$L$1*O938</f>
        <v>0</v>
      </c>
      <c r="V938" s="452"/>
      <c r="W938" s="61" t="s">
        <v>46</v>
      </c>
      <c r="X938" s="62"/>
    </row>
    <row r="939" spans="1:24" ht="18.75" customHeight="1">
      <c r="A939" s="55" t="s">
        <v>54</v>
      </c>
      <c r="B939" s="52" t="s">
        <v>41</v>
      </c>
      <c r="C939" s="56"/>
      <c r="D939" s="57" t="s">
        <v>50</v>
      </c>
      <c r="E939" s="451" t="s">
        <v>55</v>
      </c>
      <c r="F939" s="451"/>
      <c r="G939" s="451"/>
      <c r="H939" s="52" t="s">
        <v>41</v>
      </c>
      <c r="I939" s="452">
        <f>$F$8/$L$1*C939</f>
        <v>0</v>
      </c>
      <c r="J939" s="452"/>
      <c r="K939" s="61" t="s">
        <v>46</v>
      </c>
      <c r="L939" s="62"/>
      <c r="M939" s="55" t="s">
        <v>54</v>
      </c>
      <c r="N939" s="52" t="s">
        <v>41</v>
      </c>
      <c r="O939" s="56"/>
      <c r="P939" s="57" t="s">
        <v>50</v>
      </c>
      <c r="Q939" s="451" t="s">
        <v>55</v>
      </c>
      <c r="R939" s="451"/>
      <c r="S939" s="451"/>
      <c r="T939" s="52" t="s">
        <v>41</v>
      </c>
      <c r="U939" s="452">
        <f>$F$8/$L$1*O939</f>
        <v>0</v>
      </c>
      <c r="V939" s="452"/>
      <c r="W939" s="61" t="s">
        <v>46</v>
      </c>
      <c r="X939" s="62"/>
    </row>
    <row r="940" spans="1:24" ht="18.75" customHeight="1">
      <c r="A940" s="55" t="s">
        <v>56</v>
      </c>
      <c r="B940" s="52" t="s">
        <v>41</v>
      </c>
      <c r="C940" s="56"/>
      <c r="D940" s="57" t="s">
        <v>50</v>
      </c>
      <c r="E940" s="451" t="s">
        <v>57</v>
      </c>
      <c r="F940" s="451"/>
      <c r="G940" s="451"/>
      <c r="H940" s="52" t="s">
        <v>41</v>
      </c>
      <c r="I940" s="452">
        <f>$F$8/$L$1*C940</f>
        <v>0</v>
      </c>
      <c r="J940" s="452"/>
      <c r="K940" s="61" t="s">
        <v>46</v>
      </c>
      <c r="L940" s="62"/>
      <c r="M940" s="55" t="s">
        <v>56</v>
      </c>
      <c r="N940" s="52" t="s">
        <v>41</v>
      </c>
      <c r="O940" s="56"/>
      <c r="P940" s="57" t="s">
        <v>50</v>
      </c>
      <c r="Q940" s="451" t="s">
        <v>57</v>
      </c>
      <c r="R940" s="451"/>
      <c r="S940" s="451"/>
      <c r="T940" s="52" t="s">
        <v>41</v>
      </c>
      <c r="U940" s="452">
        <f>$F$8/$L$1*O940</f>
        <v>0</v>
      </c>
      <c r="V940" s="452"/>
      <c r="W940" s="61" t="s">
        <v>46</v>
      </c>
      <c r="X940" s="62"/>
    </row>
    <row r="941" spans="1:24" ht="18.75" customHeight="1">
      <c r="A941" s="55" t="s">
        <v>58</v>
      </c>
      <c r="B941" s="52" t="s">
        <v>41</v>
      </c>
      <c r="C941" s="56"/>
      <c r="D941" s="57" t="s">
        <v>59</v>
      </c>
      <c r="E941" s="441" t="s">
        <v>60</v>
      </c>
      <c r="F941" s="441"/>
      <c r="G941" s="441"/>
      <c r="H941" s="52" t="s">
        <v>41</v>
      </c>
      <c r="I941" s="452" t="e">
        <f>I937/C937/8*C941</f>
        <v>#DIV/0!</v>
      </c>
      <c r="J941" s="452"/>
      <c r="K941" s="61" t="s">
        <v>46</v>
      </c>
      <c r="L941" s="62" t="e">
        <f>F934*C941/L927/8*1.5</f>
        <v>#REF!</v>
      </c>
      <c r="M941" s="55" t="s">
        <v>58</v>
      </c>
      <c r="N941" s="52" t="s">
        <v>41</v>
      </c>
      <c r="O941" s="56"/>
      <c r="P941" s="57" t="s">
        <v>59</v>
      </c>
      <c r="Q941" s="441" t="s">
        <v>60</v>
      </c>
      <c r="R941" s="441"/>
      <c r="S941" s="441"/>
      <c r="T941" s="52" t="s">
        <v>41</v>
      </c>
      <c r="U941" s="452" t="e">
        <f>U937/O937/8*O941</f>
        <v>#DIV/0!</v>
      </c>
      <c r="V941" s="452"/>
      <c r="W941" s="61" t="s">
        <v>46</v>
      </c>
      <c r="X941" s="62" t="e">
        <f>R934*O941/X927/8*1.5</f>
        <v>#REF!</v>
      </c>
    </row>
    <row r="942" spans="1:24" ht="18.75" customHeight="1">
      <c r="A942" s="440" t="s">
        <v>61</v>
      </c>
      <c r="B942" s="441"/>
      <c r="C942" s="56"/>
      <c r="D942" s="57" t="s">
        <v>50</v>
      </c>
      <c r="E942" s="441" t="s">
        <v>62</v>
      </c>
      <c r="F942" s="441"/>
      <c r="G942" s="441"/>
      <c r="H942" s="63" t="s">
        <v>41</v>
      </c>
      <c r="I942" s="452"/>
      <c r="J942" s="452"/>
      <c r="K942" s="61" t="s">
        <v>46</v>
      </c>
      <c r="L942" s="62"/>
      <c r="M942" s="440" t="s">
        <v>61</v>
      </c>
      <c r="N942" s="441"/>
      <c r="O942" s="56"/>
      <c r="P942" s="57" t="s">
        <v>50</v>
      </c>
      <c r="Q942" s="441" t="s">
        <v>62</v>
      </c>
      <c r="R942" s="441"/>
      <c r="S942" s="441"/>
      <c r="T942" s="63" t="s">
        <v>41</v>
      </c>
      <c r="U942" s="452"/>
      <c r="V942" s="452"/>
      <c r="W942" s="61" t="s">
        <v>46</v>
      </c>
      <c r="X942" s="62"/>
    </row>
    <row r="943" spans="1:24" ht="18.75" customHeight="1">
      <c r="A943" s="55" t="s">
        <v>63</v>
      </c>
      <c r="B943" s="52" t="s">
        <v>41</v>
      </c>
      <c r="C943" s="56"/>
      <c r="D943" s="57" t="s">
        <v>50</v>
      </c>
      <c r="E943" s="441" t="s">
        <v>64</v>
      </c>
      <c r="F943" s="441"/>
      <c r="G943" s="441"/>
      <c r="H943" s="52" t="s">
        <v>41</v>
      </c>
      <c r="I943" s="452"/>
      <c r="J943" s="452"/>
      <c r="K943" s="61" t="s">
        <v>46</v>
      </c>
      <c r="L943" s="62"/>
      <c r="M943" s="55" t="s">
        <v>63</v>
      </c>
      <c r="N943" s="52" t="s">
        <v>41</v>
      </c>
      <c r="O943" s="56"/>
      <c r="P943" s="57" t="s">
        <v>50</v>
      </c>
      <c r="Q943" s="441" t="s">
        <v>64</v>
      </c>
      <c r="R943" s="441"/>
      <c r="S943" s="441"/>
      <c r="T943" s="52" t="s">
        <v>41</v>
      </c>
      <c r="U943" s="452"/>
      <c r="V943" s="452"/>
      <c r="W943" s="61" t="s">
        <v>46</v>
      </c>
      <c r="X943" s="62"/>
    </row>
    <row r="944" spans="1:24" ht="18.75" customHeight="1">
      <c r="A944" s="64" t="s">
        <v>65</v>
      </c>
      <c r="B944" s="52"/>
      <c r="C944" s="56"/>
      <c r="D944" s="57" t="s">
        <v>59</v>
      </c>
      <c r="E944" s="441" t="s">
        <v>66</v>
      </c>
      <c r="F944" s="441"/>
      <c r="G944" s="441"/>
      <c r="H944" s="52" t="s">
        <v>41</v>
      </c>
      <c r="I944" s="452">
        <f>$F$8*C944/8/$L$1</f>
        <v>0</v>
      </c>
      <c r="J944" s="452"/>
      <c r="K944" s="61" t="s">
        <v>46</v>
      </c>
      <c r="L944" s="62"/>
      <c r="M944" s="64" t="s">
        <v>65</v>
      </c>
      <c r="N944" s="52"/>
      <c r="O944" s="56"/>
      <c r="P944" s="57" t="s">
        <v>59</v>
      </c>
      <c r="Q944" s="441" t="s">
        <v>66</v>
      </c>
      <c r="R944" s="441"/>
      <c r="S944" s="441"/>
      <c r="T944" s="52" t="s">
        <v>41</v>
      </c>
      <c r="U944" s="452">
        <f>$F$8*O944/8/$L$1</f>
        <v>0</v>
      </c>
      <c r="V944" s="452"/>
      <c r="W944" s="61" t="s">
        <v>46</v>
      </c>
      <c r="X944" s="62"/>
    </row>
    <row r="945" spans="1:24" ht="18.75" customHeight="1">
      <c r="A945" s="55" t="s">
        <v>67</v>
      </c>
      <c r="B945" s="52" t="s">
        <v>41</v>
      </c>
      <c r="C945" s="56"/>
      <c r="D945" s="57" t="s">
        <v>59</v>
      </c>
      <c r="E945" s="441" t="s">
        <v>68</v>
      </c>
      <c r="F945" s="441"/>
      <c r="G945" s="441"/>
      <c r="H945" s="52" t="s">
        <v>41</v>
      </c>
      <c r="I945" s="454"/>
      <c r="J945" s="454"/>
      <c r="K945" s="61" t="s">
        <v>46</v>
      </c>
      <c r="L945" s="62"/>
      <c r="M945" s="55" t="s">
        <v>67</v>
      </c>
      <c r="N945" s="52" t="s">
        <v>41</v>
      </c>
      <c r="O945" s="56"/>
      <c r="P945" s="57" t="s">
        <v>59</v>
      </c>
      <c r="Q945" s="441" t="s">
        <v>68</v>
      </c>
      <c r="R945" s="441"/>
      <c r="S945" s="441"/>
      <c r="T945" s="52" t="s">
        <v>41</v>
      </c>
      <c r="U945" s="454"/>
      <c r="V945" s="454"/>
      <c r="W945" s="61" t="s">
        <v>46</v>
      </c>
      <c r="X945" s="62"/>
    </row>
    <row r="946" spans="1:24" ht="18.75" customHeight="1">
      <c r="A946" s="55" t="s">
        <v>69</v>
      </c>
      <c r="B946" s="52" t="s">
        <v>41</v>
      </c>
      <c r="C946" s="56"/>
      <c r="D946" s="57" t="s">
        <v>70</v>
      </c>
      <c r="E946" s="53" t="s">
        <v>71</v>
      </c>
      <c r="F946" s="53"/>
      <c r="G946" s="53"/>
      <c r="H946" s="52" t="s">
        <v>41</v>
      </c>
      <c r="I946" s="452"/>
      <c r="J946" s="452"/>
      <c r="K946" s="61" t="s">
        <v>46</v>
      </c>
      <c r="L946" s="62" t="e">
        <f>+IF(L937-I937&lt;0,0,L937-I937)+IF(L941-I941&lt;0,0,L941-I941)</f>
        <v>#REF!</v>
      </c>
      <c r="M946" s="55" t="s">
        <v>69</v>
      </c>
      <c r="N946" s="52" t="s">
        <v>41</v>
      </c>
      <c r="O946" s="56"/>
      <c r="P946" s="57" t="s">
        <v>70</v>
      </c>
      <c r="Q946" s="53" t="s">
        <v>71</v>
      </c>
      <c r="R946" s="53"/>
      <c r="S946" s="53"/>
      <c r="T946" s="52" t="s">
        <v>41</v>
      </c>
      <c r="U946" s="452"/>
      <c r="V946" s="452"/>
      <c r="W946" s="61" t="s">
        <v>46</v>
      </c>
      <c r="X946" s="62" t="e">
        <f>+IF(X937-U937&lt;0,0,X937-U937)+IF(X941-U941&lt;0,0,X941-U941)</f>
        <v>#REF!</v>
      </c>
    </row>
    <row r="947" spans="1:24" ht="18.75" customHeight="1">
      <c r="A947" s="65" t="s">
        <v>72</v>
      </c>
      <c r="B947" s="66"/>
      <c r="C947" s="56"/>
      <c r="D947" s="57" t="s">
        <v>50</v>
      </c>
      <c r="E947" s="441" t="s">
        <v>73</v>
      </c>
      <c r="F947" s="441"/>
      <c r="G947" s="441"/>
      <c r="H947" s="52" t="s">
        <v>41</v>
      </c>
      <c r="I947" s="452"/>
      <c r="J947" s="452"/>
      <c r="K947" s="61" t="s">
        <v>46</v>
      </c>
      <c r="L947" s="62"/>
      <c r="M947" s="65" t="s">
        <v>72</v>
      </c>
      <c r="N947" s="66"/>
      <c r="O947" s="56"/>
      <c r="P947" s="57" t="s">
        <v>50</v>
      </c>
      <c r="Q947" s="441" t="s">
        <v>73</v>
      </c>
      <c r="R947" s="441"/>
      <c r="S947" s="441"/>
      <c r="T947" s="52" t="s">
        <v>41</v>
      </c>
      <c r="U947" s="452"/>
      <c r="V947" s="452"/>
      <c r="W947" s="61" t="s">
        <v>46</v>
      </c>
      <c r="X947" s="62"/>
    </row>
    <row r="948" spans="1:24" ht="18.75" customHeight="1">
      <c r="A948" s="477" t="s">
        <v>74</v>
      </c>
      <c r="B948" s="453"/>
      <c r="C948" s="56"/>
      <c r="D948" s="57"/>
      <c r="E948" s="58"/>
      <c r="F948" s="58"/>
      <c r="G948" s="58"/>
      <c r="H948" s="52" t="s">
        <v>41</v>
      </c>
      <c r="I948" s="452"/>
      <c r="J948" s="452"/>
      <c r="K948" s="61" t="s">
        <v>46</v>
      </c>
      <c r="L948" s="62"/>
      <c r="M948" s="477" t="s">
        <v>74</v>
      </c>
      <c r="N948" s="453"/>
      <c r="O948" s="56"/>
      <c r="P948" s="57"/>
      <c r="Q948" s="58"/>
      <c r="R948" s="58"/>
      <c r="S948" s="58"/>
      <c r="T948" s="52" t="s">
        <v>41</v>
      </c>
      <c r="U948" s="452"/>
      <c r="V948" s="452"/>
      <c r="W948" s="61" t="s">
        <v>46</v>
      </c>
      <c r="X948" s="62"/>
    </row>
    <row r="949" spans="1:24" ht="18.75" customHeight="1">
      <c r="A949" s="55" t="s">
        <v>75</v>
      </c>
      <c r="B949" s="52" t="s">
        <v>41</v>
      </c>
      <c r="C949" s="56"/>
      <c r="D949" s="57"/>
      <c r="E949" s="58" t="s">
        <v>76</v>
      </c>
      <c r="F949" s="58"/>
      <c r="G949" s="58"/>
      <c r="H949" s="52" t="s">
        <v>41</v>
      </c>
      <c r="I949" s="452" t="e">
        <f>L946</f>
        <v>#REF!</v>
      </c>
      <c r="J949" s="452"/>
      <c r="K949" s="61" t="s">
        <v>46</v>
      </c>
      <c r="L949" s="62"/>
      <c r="M949" s="55" t="s">
        <v>75</v>
      </c>
      <c r="N949" s="52" t="s">
        <v>41</v>
      </c>
      <c r="O949" s="56"/>
      <c r="P949" s="57"/>
      <c r="Q949" s="58" t="s">
        <v>76</v>
      </c>
      <c r="R949" s="58"/>
      <c r="S949" s="58"/>
      <c r="T949" s="52" t="s">
        <v>41</v>
      </c>
      <c r="U949" s="452" t="e">
        <f>X946</f>
        <v>#REF!</v>
      </c>
      <c r="V949" s="452"/>
      <c r="W949" s="61" t="s">
        <v>46</v>
      </c>
      <c r="X949" s="62"/>
    </row>
    <row r="950" spans="1:24" ht="18.75" customHeight="1">
      <c r="A950" s="456" t="s">
        <v>77</v>
      </c>
      <c r="B950" s="457"/>
      <c r="C950" s="457"/>
      <c r="D950" s="457"/>
      <c r="E950" s="457"/>
      <c r="F950" s="457"/>
      <c r="G950" s="52" t="s">
        <v>41</v>
      </c>
      <c r="H950" s="459" t="e">
        <f>I937+I938+I939+I940+I941+I944+I948+I949</f>
        <v>#DIV/0!</v>
      </c>
      <c r="I950" s="459"/>
      <c r="J950" s="459"/>
      <c r="K950" s="61" t="s">
        <v>46</v>
      </c>
      <c r="M950" s="456" t="s">
        <v>77</v>
      </c>
      <c r="N950" s="457"/>
      <c r="O950" s="457"/>
      <c r="P950" s="457"/>
      <c r="Q950" s="457"/>
      <c r="R950" s="457"/>
      <c r="S950" s="52" t="s">
        <v>41</v>
      </c>
      <c r="T950" s="459" t="e">
        <f>U937+U938+U939+U940+U941+U944+U948+U949</f>
        <v>#DIV/0!</v>
      </c>
      <c r="U950" s="459"/>
      <c r="V950" s="459"/>
      <c r="W950" s="61" t="s">
        <v>46</v>
      </c>
    </row>
    <row r="951" spans="1:24" ht="18.75" customHeight="1">
      <c r="A951" s="67"/>
      <c r="B951" s="68"/>
      <c r="C951" s="68"/>
      <c r="D951" s="68"/>
      <c r="E951" s="68"/>
      <c r="F951" s="68"/>
      <c r="G951" s="68"/>
      <c r="H951" s="68"/>
      <c r="I951" s="68"/>
      <c r="J951" s="68"/>
      <c r="K951" s="69"/>
      <c r="M951" s="67"/>
      <c r="N951" s="68"/>
      <c r="O951" s="68"/>
      <c r="P951" s="68"/>
      <c r="Q951" s="68"/>
      <c r="R951" s="68"/>
      <c r="S951" s="68"/>
      <c r="T951" s="68"/>
      <c r="U951" s="68"/>
      <c r="V951" s="68"/>
      <c r="W951" s="69"/>
    </row>
    <row r="952" spans="1:24" ht="18.75" customHeight="1">
      <c r="A952" s="468" t="s">
        <v>78</v>
      </c>
      <c r="B952" s="469"/>
      <c r="C952" s="469"/>
      <c r="D952" s="469"/>
      <c r="E952" s="469"/>
      <c r="F952" s="469"/>
      <c r="G952" s="52"/>
      <c r="H952" s="52"/>
      <c r="I952" s="52"/>
      <c r="J952" s="52"/>
      <c r="K952" s="61"/>
      <c r="M952" s="468" t="s">
        <v>78</v>
      </c>
      <c r="N952" s="469"/>
      <c r="O952" s="469"/>
      <c r="P952" s="469"/>
      <c r="Q952" s="469"/>
      <c r="R952" s="469"/>
      <c r="S952" s="52"/>
      <c r="T952" s="52"/>
      <c r="U952" s="52"/>
      <c r="V952" s="52"/>
      <c r="W952" s="61"/>
    </row>
    <row r="953" spans="1:24" ht="18.75" customHeight="1">
      <c r="A953" s="462" t="s">
        <v>79</v>
      </c>
      <c r="B953" s="463"/>
      <c r="C953" s="463"/>
      <c r="D953" s="463"/>
      <c r="E953" s="463"/>
      <c r="F953" s="463"/>
      <c r="G953" s="52" t="s">
        <v>41</v>
      </c>
      <c r="H953" s="470">
        <f>IF(($L$1-(C937+C938+C939+C940))&gt;12,0,F934*8%)</f>
        <v>0</v>
      </c>
      <c r="I953" s="470"/>
      <c r="J953" s="470"/>
      <c r="K953" s="61" t="s">
        <v>46</v>
      </c>
      <c r="M953" s="462" t="s">
        <v>79</v>
      </c>
      <c r="N953" s="463"/>
      <c r="O953" s="463"/>
      <c r="P953" s="463"/>
      <c r="Q953" s="463"/>
      <c r="R953" s="463"/>
      <c r="S953" s="52" t="s">
        <v>41</v>
      </c>
      <c r="T953" s="470">
        <f>IF(($L$1-(O937+O938+O939+O940))&gt;12,0,R934*8%)</f>
        <v>0</v>
      </c>
      <c r="U953" s="470"/>
      <c r="V953" s="470"/>
      <c r="W953" s="61" t="s">
        <v>46</v>
      </c>
    </row>
    <row r="954" spans="1:24" ht="18.75" customHeight="1">
      <c r="A954" s="462" t="s">
        <v>80</v>
      </c>
      <c r="B954" s="463"/>
      <c r="C954" s="463"/>
      <c r="D954" s="463"/>
      <c r="E954" s="463"/>
      <c r="F954" s="463"/>
      <c r="G954" s="52" t="s">
        <v>41</v>
      </c>
      <c r="H954" s="464">
        <f>IF(($L$1-(C937+C938+C939+C940))&gt;12,0,F934*1.5%)</f>
        <v>0</v>
      </c>
      <c r="I954" s="464"/>
      <c r="J954" s="464"/>
      <c r="K954" s="61" t="s">
        <v>46</v>
      </c>
      <c r="M954" s="462" t="s">
        <v>80</v>
      </c>
      <c r="N954" s="463"/>
      <c r="O954" s="463"/>
      <c r="P954" s="463"/>
      <c r="Q954" s="463"/>
      <c r="R954" s="463"/>
      <c r="S954" s="52" t="s">
        <v>41</v>
      </c>
      <c r="T954" s="464">
        <f>IF(($L$1-(O937+O938+O939+O940))&gt;12,0,R934*1.5%)</f>
        <v>0</v>
      </c>
      <c r="U954" s="464"/>
      <c r="V954" s="464"/>
      <c r="W954" s="61" t="s">
        <v>46</v>
      </c>
    </row>
    <row r="955" spans="1:24" ht="18.75" customHeight="1">
      <c r="A955" s="462" t="s">
        <v>81</v>
      </c>
      <c r="B955" s="463"/>
      <c r="C955" s="463"/>
      <c r="D955" s="463"/>
      <c r="E955" s="463"/>
      <c r="F955" s="463"/>
      <c r="G955" s="52" t="s">
        <v>41</v>
      </c>
      <c r="H955" s="464">
        <f>IF(($L$1-(C937+C938+C939+C940))&gt;12,0,F934*1%)</f>
        <v>0</v>
      </c>
      <c r="I955" s="464"/>
      <c r="J955" s="464"/>
      <c r="K955" s="61" t="s">
        <v>46</v>
      </c>
      <c r="M955" s="462" t="s">
        <v>81</v>
      </c>
      <c r="N955" s="463"/>
      <c r="O955" s="463"/>
      <c r="P955" s="463"/>
      <c r="Q955" s="463"/>
      <c r="R955" s="463"/>
      <c r="S955" s="52" t="s">
        <v>41</v>
      </c>
      <c r="T955" s="464">
        <f>IF(($L$1-(O937+O938+O939+O940))&gt;12,0,R934*1%)</f>
        <v>0</v>
      </c>
      <c r="U955" s="464"/>
      <c r="V955" s="464"/>
      <c r="W955" s="61" t="s">
        <v>46</v>
      </c>
    </row>
    <row r="956" spans="1:24" ht="18.75" customHeight="1">
      <c r="A956" s="462" t="s">
        <v>82</v>
      </c>
      <c r="B956" s="463"/>
      <c r="C956" s="463"/>
      <c r="D956" s="463"/>
      <c r="E956" s="463"/>
      <c r="F956" s="463"/>
      <c r="G956" s="52" t="s">
        <v>41</v>
      </c>
      <c r="H956" s="464">
        <v>0</v>
      </c>
      <c r="I956" s="464"/>
      <c r="J956" s="464"/>
      <c r="K956" s="61" t="s">
        <v>46</v>
      </c>
      <c r="M956" s="462" t="s">
        <v>82</v>
      </c>
      <c r="N956" s="463"/>
      <c r="O956" s="463"/>
      <c r="P956" s="463"/>
      <c r="Q956" s="463"/>
      <c r="R956" s="463"/>
      <c r="S956" s="52" t="s">
        <v>41</v>
      </c>
      <c r="T956" s="464">
        <v>0</v>
      </c>
      <c r="U956" s="464"/>
      <c r="V956" s="464"/>
      <c r="W956" s="61" t="s">
        <v>46</v>
      </c>
    </row>
    <row r="957" spans="1:24" ht="18.75" customHeight="1">
      <c r="A957" s="465" t="s">
        <v>83</v>
      </c>
      <c r="B957" s="466"/>
      <c r="C957" s="466"/>
      <c r="D957" s="466"/>
      <c r="E957" s="466"/>
      <c r="F957" s="466"/>
      <c r="G957" s="52" t="s">
        <v>41</v>
      </c>
      <c r="H957" s="467">
        <f>SUM(H953:J956)</f>
        <v>0</v>
      </c>
      <c r="I957" s="467"/>
      <c r="J957" s="467"/>
      <c r="K957" s="61" t="s">
        <v>46</v>
      </c>
      <c r="M957" s="465" t="s">
        <v>83</v>
      </c>
      <c r="N957" s="466"/>
      <c r="O957" s="466"/>
      <c r="P957" s="466"/>
      <c r="Q957" s="466"/>
      <c r="R957" s="466"/>
      <c r="S957" s="52" t="s">
        <v>41</v>
      </c>
      <c r="T957" s="467">
        <f>SUM(T953:V956)</f>
        <v>0</v>
      </c>
      <c r="U957" s="467"/>
      <c r="V957" s="467"/>
      <c r="W957" s="61" t="s">
        <v>46</v>
      </c>
    </row>
    <row r="958" spans="1:24" ht="18.75" customHeight="1">
      <c r="A958" s="462" t="s">
        <v>84</v>
      </c>
      <c r="B958" s="463"/>
      <c r="C958" s="463"/>
      <c r="D958" s="463"/>
      <c r="E958" s="463"/>
      <c r="F958" s="463"/>
      <c r="G958" s="52" t="s">
        <v>41</v>
      </c>
      <c r="H958" s="475" t="e">
        <f>ROUND(H950-H957,-2)</f>
        <v>#DIV/0!</v>
      </c>
      <c r="I958" s="475"/>
      <c r="J958" s="475"/>
      <c r="K958" s="61" t="s">
        <v>46</v>
      </c>
      <c r="M958" s="462" t="s">
        <v>84</v>
      </c>
      <c r="N958" s="463"/>
      <c r="O958" s="463"/>
      <c r="P958" s="463"/>
      <c r="Q958" s="463"/>
      <c r="R958" s="463"/>
      <c r="S958" s="52" t="s">
        <v>41</v>
      </c>
      <c r="T958" s="475" t="e">
        <f>ROUND(T950-T957,-2)</f>
        <v>#DIV/0!</v>
      </c>
      <c r="U958" s="475"/>
      <c r="V958" s="475"/>
      <c r="W958" s="61" t="s">
        <v>46</v>
      </c>
    </row>
    <row r="959" spans="1:24" ht="18.75" customHeight="1">
      <c r="A959" s="70"/>
      <c r="B959" s="71"/>
      <c r="C959" s="71"/>
      <c r="D959" s="71"/>
      <c r="E959" s="71"/>
      <c r="F959" s="71"/>
      <c r="G959" s="71"/>
      <c r="H959" s="71"/>
      <c r="I959" s="71"/>
      <c r="J959" s="71"/>
      <c r="K959" s="72"/>
      <c r="M959" s="70"/>
      <c r="N959" s="71"/>
      <c r="O959" s="71"/>
      <c r="P959" s="71"/>
      <c r="Q959" s="71"/>
      <c r="R959" s="71"/>
      <c r="S959" s="71"/>
      <c r="T959" s="71"/>
      <c r="U959" s="71"/>
      <c r="V959" s="71"/>
      <c r="W959" s="72"/>
    </row>
    <row r="960" spans="1:24" ht="18.75" customHeight="1">
      <c r="A960" s="73"/>
      <c r="B960" s="52"/>
      <c r="C960" s="52"/>
      <c r="D960" s="52"/>
      <c r="E960" s="52"/>
      <c r="F960" s="52"/>
      <c r="G960" s="52"/>
      <c r="H960" s="52"/>
      <c r="I960" s="472" t="s">
        <v>85</v>
      </c>
      <c r="J960" s="472"/>
      <c r="K960" s="476"/>
      <c r="M960" s="73"/>
      <c r="N960" s="52"/>
      <c r="O960" s="52"/>
      <c r="P960" s="52"/>
      <c r="Q960" s="52"/>
      <c r="R960" s="52"/>
      <c r="S960" s="52"/>
      <c r="T960" s="52"/>
      <c r="U960" s="472" t="s">
        <v>85</v>
      </c>
      <c r="V960" s="472"/>
      <c r="W960" s="476"/>
    </row>
    <row r="961" spans="1:24" ht="18.75" customHeight="1">
      <c r="A961" s="73"/>
      <c r="B961" s="471"/>
      <c r="C961" s="472"/>
      <c r="D961" s="472"/>
      <c r="E961" s="472"/>
      <c r="F961" s="52"/>
      <c r="G961" s="52"/>
      <c r="H961" s="52"/>
      <c r="I961" s="52"/>
      <c r="J961" s="52"/>
      <c r="K961" s="54"/>
      <c r="M961" s="73"/>
      <c r="N961" s="471"/>
      <c r="O961" s="472"/>
      <c r="P961" s="472"/>
      <c r="Q961" s="472"/>
      <c r="R961" s="52"/>
      <c r="S961" s="52"/>
      <c r="T961" s="52"/>
      <c r="U961" s="52"/>
      <c r="V961" s="52"/>
      <c r="W961" s="54"/>
    </row>
    <row r="962" spans="1:24" ht="18.75" customHeight="1" thickBot="1">
      <c r="A962" s="75"/>
      <c r="B962" s="76"/>
      <c r="C962" s="76"/>
      <c r="D962" s="76"/>
      <c r="E962" s="76"/>
      <c r="F962" s="76"/>
      <c r="G962" s="76"/>
      <c r="H962" s="76"/>
      <c r="I962" s="473" t="s">
        <v>86</v>
      </c>
      <c r="J962" s="473"/>
      <c r="K962" s="474"/>
      <c r="M962" s="75"/>
      <c r="N962" s="76"/>
      <c r="O962" s="76"/>
      <c r="P962" s="76"/>
      <c r="Q962" s="76"/>
      <c r="R962" s="76"/>
      <c r="S962" s="76"/>
      <c r="T962" s="76"/>
      <c r="U962" s="473" t="s">
        <v>86</v>
      </c>
      <c r="V962" s="473"/>
      <c r="W962" s="474"/>
    </row>
    <row r="963" spans="1:24" ht="18.75" customHeight="1" thickTop="1" thickBot="1"/>
    <row r="964" spans="1:24" ht="18.75" customHeight="1" thickTop="1">
      <c r="A964" s="445" t="s">
        <v>13</v>
      </c>
      <c r="B964" s="446"/>
      <c r="C964" s="446"/>
      <c r="D964" s="446"/>
      <c r="E964" s="446"/>
      <c r="F964" s="446"/>
      <c r="G964" s="446"/>
      <c r="H964" s="446"/>
      <c r="I964" s="446"/>
      <c r="J964" s="446"/>
      <c r="K964" s="447"/>
      <c r="L964" s="48">
        <v>24</v>
      </c>
      <c r="M964" s="445" t="s">
        <v>13</v>
      </c>
      <c r="N964" s="446"/>
      <c r="O964" s="446"/>
      <c r="P964" s="446"/>
      <c r="Q964" s="446"/>
      <c r="R964" s="446"/>
      <c r="S964" s="446"/>
      <c r="T964" s="446"/>
      <c r="U964" s="446"/>
      <c r="V964" s="446"/>
      <c r="W964" s="447"/>
      <c r="X964" s="48">
        <v>24</v>
      </c>
    </row>
    <row r="965" spans="1:24" ht="18.75" customHeight="1">
      <c r="A965" s="49" t="s">
        <v>139</v>
      </c>
      <c r="B965" s="50"/>
      <c r="C965" s="50"/>
      <c r="D965" s="50"/>
      <c r="E965" s="50"/>
      <c r="F965" s="50"/>
      <c r="G965" s="50"/>
      <c r="H965" s="50"/>
      <c r="I965" s="50"/>
      <c r="J965" s="50"/>
      <c r="K965" s="51"/>
      <c r="M965" s="49" t="s">
        <v>140</v>
      </c>
      <c r="N965" s="50"/>
      <c r="O965" s="50"/>
      <c r="P965" s="50"/>
      <c r="Q965" s="50"/>
      <c r="R965" s="50"/>
      <c r="S965" s="50"/>
      <c r="T965" s="50"/>
      <c r="U965" s="50"/>
      <c r="V965" s="50"/>
      <c r="W965" s="51"/>
    </row>
    <row r="966" spans="1:24" ht="18.75" customHeight="1">
      <c r="A966" s="448" t="s">
        <v>39</v>
      </c>
      <c r="B966" s="449"/>
      <c r="C966" s="449"/>
      <c r="D966" s="449"/>
      <c r="E966" s="449"/>
      <c r="F966" s="449"/>
      <c r="G966" s="449"/>
      <c r="H966" s="449"/>
      <c r="I966" s="449"/>
      <c r="J966" s="449"/>
      <c r="K966" s="450"/>
      <c r="M966" s="448" t="s">
        <v>39</v>
      </c>
      <c r="N966" s="449"/>
      <c r="O966" s="449"/>
      <c r="P966" s="449"/>
      <c r="Q966" s="449"/>
      <c r="R966" s="449"/>
      <c r="S966" s="449"/>
      <c r="T966" s="449"/>
      <c r="U966" s="449"/>
      <c r="V966" s="449"/>
      <c r="W966" s="450"/>
    </row>
    <row r="967" spans="1:24" ht="18.75" customHeight="1">
      <c r="A967" s="440" t="s">
        <v>40</v>
      </c>
      <c r="B967" s="441"/>
      <c r="C967" s="441"/>
      <c r="D967" s="441"/>
      <c r="E967" s="52" t="s">
        <v>41</v>
      </c>
      <c r="F967" s="441"/>
      <c r="G967" s="441"/>
      <c r="H967" s="441"/>
      <c r="I967" s="441"/>
      <c r="J967" s="441"/>
      <c r="K967" s="444"/>
      <c r="M967" s="440" t="s">
        <v>40</v>
      </c>
      <c r="N967" s="441"/>
      <c r="O967" s="441"/>
      <c r="P967" s="441"/>
      <c r="Q967" s="52" t="s">
        <v>41</v>
      </c>
      <c r="R967" s="441"/>
      <c r="S967" s="441"/>
      <c r="T967" s="441"/>
      <c r="U967" s="441"/>
      <c r="V967" s="441"/>
      <c r="W967" s="444"/>
    </row>
    <row r="968" spans="1:24" ht="18.75" customHeight="1">
      <c r="A968" s="440" t="s">
        <v>42</v>
      </c>
      <c r="B968" s="441"/>
      <c r="C968" s="441"/>
      <c r="D968" s="441"/>
      <c r="E968" s="52" t="s">
        <v>41</v>
      </c>
      <c r="F968" s="442"/>
      <c r="G968" s="442"/>
      <c r="H968" s="442"/>
      <c r="I968" s="442"/>
      <c r="J968" s="442"/>
      <c r="K968" s="443"/>
      <c r="M968" s="440" t="s">
        <v>42</v>
      </c>
      <c r="N968" s="441"/>
      <c r="O968" s="441"/>
      <c r="P968" s="441"/>
      <c r="Q968" s="52" t="s">
        <v>41</v>
      </c>
      <c r="R968" s="442"/>
      <c r="S968" s="442"/>
      <c r="T968" s="442"/>
      <c r="U968" s="442"/>
      <c r="V968" s="442"/>
      <c r="W968" s="443"/>
    </row>
    <row r="969" spans="1:24" ht="18.75" customHeight="1">
      <c r="A969" s="440" t="s">
        <v>43</v>
      </c>
      <c r="B969" s="441"/>
      <c r="C969" s="441"/>
      <c r="D969" s="441"/>
      <c r="E969" s="52" t="s">
        <v>41</v>
      </c>
      <c r="F969" s="441" t="str">
        <f>+$L$2</f>
        <v xml:space="preserve">Tổ  </v>
      </c>
      <c r="G969" s="441"/>
      <c r="H969" s="441"/>
      <c r="I969" s="441"/>
      <c r="J969" s="441"/>
      <c r="K969" s="444"/>
      <c r="M969" s="440" t="s">
        <v>43</v>
      </c>
      <c r="N969" s="441"/>
      <c r="O969" s="441"/>
      <c r="P969" s="441"/>
      <c r="Q969" s="52" t="s">
        <v>41</v>
      </c>
      <c r="R969" s="441" t="s">
        <v>151</v>
      </c>
      <c r="S969" s="441"/>
      <c r="T969" s="441"/>
      <c r="U969" s="441"/>
      <c r="V969" s="441"/>
      <c r="W969" s="444"/>
    </row>
    <row r="970" spans="1:24" ht="18.75" customHeight="1">
      <c r="A970" s="448" t="s">
        <v>44</v>
      </c>
      <c r="B970" s="449"/>
      <c r="C970" s="449"/>
      <c r="D970" s="449"/>
      <c r="E970" s="449"/>
      <c r="F970" s="449"/>
      <c r="G970" s="449"/>
      <c r="H970" s="449"/>
      <c r="I970" s="449"/>
      <c r="J970" s="449"/>
      <c r="K970" s="450"/>
      <c r="M970" s="448" t="s">
        <v>44</v>
      </c>
      <c r="N970" s="449"/>
      <c r="O970" s="449"/>
      <c r="P970" s="449"/>
      <c r="Q970" s="449"/>
      <c r="R970" s="449"/>
      <c r="S970" s="449"/>
      <c r="T970" s="449"/>
      <c r="U970" s="449"/>
      <c r="V970" s="449"/>
      <c r="W970" s="450"/>
    </row>
    <row r="971" spans="1:24" ht="18.75" customHeight="1">
      <c r="A971" s="440" t="s">
        <v>45</v>
      </c>
      <c r="B971" s="441"/>
      <c r="C971" s="441"/>
      <c r="D971" s="441"/>
      <c r="E971" s="52" t="s">
        <v>41</v>
      </c>
      <c r="F971" s="455">
        <v>2915400</v>
      </c>
      <c r="G971" s="455"/>
      <c r="H971" s="455"/>
      <c r="I971" s="455"/>
      <c r="J971" s="52" t="s">
        <v>46</v>
      </c>
      <c r="K971" s="54"/>
      <c r="M971" s="440" t="s">
        <v>45</v>
      </c>
      <c r="N971" s="441"/>
      <c r="O971" s="441"/>
      <c r="P971" s="441"/>
      <c r="Q971" s="52" t="s">
        <v>41</v>
      </c>
      <c r="R971" s="455">
        <v>2915400</v>
      </c>
      <c r="S971" s="455"/>
      <c r="T971" s="455"/>
      <c r="U971" s="455"/>
      <c r="V971" s="52" t="s">
        <v>46</v>
      </c>
      <c r="W971" s="54"/>
    </row>
    <row r="972" spans="1:24" ht="18.75" customHeight="1">
      <c r="A972" s="55" t="s">
        <v>47</v>
      </c>
      <c r="B972" s="52"/>
      <c r="C972" s="56"/>
      <c r="D972" s="57"/>
      <c r="E972" s="58"/>
      <c r="F972" s="58"/>
      <c r="G972" s="58"/>
      <c r="H972" s="52"/>
      <c r="I972" s="59"/>
      <c r="J972" s="60"/>
      <c r="K972" s="61"/>
      <c r="M972" s="55" t="s">
        <v>47</v>
      </c>
      <c r="N972" s="52"/>
      <c r="O972" s="56"/>
      <c r="P972" s="57"/>
      <c r="Q972" s="58"/>
      <c r="R972" s="58"/>
      <c r="S972" s="58"/>
      <c r="T972" s="52"/>
      <c r="U972" s="59"/>
      <c r="V972" s="60"/>
      <c r="W972" s="61"/>
    </row>
    <row r="973" spans="1:24" ht="18.75" customHeight="1">
      <c r="A973" s="55" t="s">
        <v>48</v>
      </c>
      <c r="B973" s="52"/>
      <c r="C973" s="56"/>
      <c r="D973" s="57"/>
      <c r="E973" s="58"/>
      <c r="F973" s="58"/>
      <c r="G973" s="58"/>
      <c r="H973" s="52"/>
      <c r="I973" s="59" t="e">
        <f>I974/C974/8</f>
        <v>#DIV/0!</v>
      </c>
      <c r="J973" s="60"/>
      <c r="K973" s="61"/>
      <c r="M973" s="55" t="s">
        <v>48</v>
      </c>
      <c r="N973" s="52"/>
      <c r="O973" s="56"/>
      <c r="P973" s="57"/>
      <c r="Q973" s="58"/>
      <c r="R973" s="58"/>
      <c r="S973" s="58"/>
      <c r="T973" s="52"/>
      <c r="U973" s="59" t="e">
        <f>U974/O974/8</f>
        <v>#DIV/0!</v>
      </c>
      <c r="V973" s="60"/>
      <c r="W973" s="61"/>
    </row>
    <row r="974" spans="1:24" ht="18.75" customHeight="1">
      <c r="A974" s="55" t="s">
        <v>49</v>
      </c>
      <c r="B974" s="52" t="s">
        <v>41</v>
      </c>
      <c r="C974" s="56"/>
      <c r="D974" s="57" t="s">
        <v>50</v>
      </c>
      <c r="E974" s="453" t="s">
        <v>51</v>
      </c>
      <c r="F974" s="453"/>
      <c r="G974" s="453"/>
      <c r="H974" s="52" t="s">
        <v>41</v>
      </c>
      <c r="I974" s="454" t="e">
        <f>I972*680/((C974-C981)*8+C981*7+C978)*((C974-C981)*8+C981*7)</f>
        <v>#DIV/0!</v>
      </c>
      <c r="J974" s="454"/>
      <c r="K974" s="61" t="s">
        <v>46</v>
      </c>
      <c r="L974" s="62">
        <f>F971/L964*C974</f>
        <v>0</v>
      </c>
      <c r="M974" s="55" t="s">
        <v>49</v>
      </c>
      <c r="N974" s="52" t="s">
        <v>41</v>
      </c>
      <c r="O974" s="56"/>
      <c r="P974" s="57" t="s">
        <v>50</v>
      </c>
      <c r="Q974" s="453" t="s">
        <v>51</v>
      </c>
      <c r="R974" s="453"/>
      <c r="S974" s="453"/>
      <c r="T974" s="52" t="s">
        <v>41</v>
      </c>
      <c r="U974" s="454" t="e">
        <f>U972*680/((O974-O981)*8+O981*7+O978)*((O974-O981)*8+O981*7)</f>
        <v>#DIV/0!</v>
      </c>
      <c r="V974" s="454"/>
      <c r="W974" s="61" t="s">
        <v>46</v>
      </c>
      <c r="X974" s="62">
        <f>R971/X964*O974</f>
        <v>0</v>
      </c>
    </row>
    <row r="975" spans="1:24" ht="18.75" customHeight="1">
      <c r="A975" s="55" t="s">
        <v>52</v>
      </c>
      <c r="B975" s="52" t="s">
        <v>41</v>
      </c>
      <c r="C975" s="56"/>
      <c r="D975" s="57" t="s">
        <v>50</v>
      </c>
      <c r="E975" s="441" t="s">
        <v>53</v>
      </c>
      <c r="F975" s="441"/>
      <c r="G975" s="441"/>
      <c r="H975" s="52" t="s">
        <v>41</v>
      </c>
      <c r="I975" s="452">
        <f>$F$8/$L$1*C975</f>
        <v>0</v>
      </c>
      <c r="J975" s="452"/>
      <c r="K975" s="61" t="s">
        <v>46</v>
      </c>
      <c r="L975" s="62"/>
      <c r="M975" s="55" t="s">
        <v>52</v>
      </c>
      <c r="N975" s="52" t="s">
        <v>41</v>
      </c>
      <c r="O975" s="56"/>
      <c r="P975" s="57" t="s">
        <v>50</v>
      </c>
      <c r="Q975" s="441" t="s">
        <v>53</v>
      </c>
      <c r="R975" s="441"/>
      <c r="S975" s="441"/>
      <c r="T975" s="52" t="s">
        <v>41</v>
      </c>
      <c r="U975" s="452">
        <f>$F$8/$L$1*O975</f>
        <v>0</v>
      </c>
      <c r="V975" s="452"/>
      <c r="W975" s="61" t="s">
        <v>46</v>
      </c>
      <c r="X975" s="62"/>
    </row>
    <row r="976" spans="1:24" ht="18.75" customHeight="1">
      <c r="A976" s="55" t="s">
        <v>54</v>
      </c>
      <c r="B976" s="52" t="s">
        <v>41</v>
      </c>
      <c r="C976" s="56"/>
      <c r="D976" s="57" t="s">
        <v>50</v>
      </c>
      <c r="E976" s="451" t="s">
        <v>55</v>
      </c>
      <c r="F976" s="451"/>
      <c r="G976" s="451"/>
      <c r="H976" s="52" t="s">
        <v>41</v>
      </c>
      <c r="I976" s="452">
        <f>$F$8/$L$1*C976</f>
        <v>0</v>
      </c>
      <c r="J976" s="452"/>
      <c r="K976" s="61" t="s">
        <v>46</v>
      </c>
      <c r="L976" s="62"/>
      <c r="M976" s="55" t="s">
        <v>54</v>
      </c>
      <c r="N976" s="52" t="s">
        <v>41</v>
      </c>
      <c r="O976" s="56"/>
      <c r="P976" s="57" t="s">
        <v>50</v>
      </c>
      <c r="Q976" s="451" t="s">
        <v>55</v>
      </c>
      <c r="R976" s="451"/>
      <c r="S976" s="451"/>
      <c r="T976" s="52" t="s">
        <v>41</v>
      </c>
      <c r="U976" s="452">
        <f>$F$8/$L$1*O976</f>
        <v>0</v>
      </c>
      <c r="V976" s="452"/>
      <c r="W976" s="61" t="s">
        <v>46</v>
      </c>
      <c r="X976" s="62"/>
    </row>
    <row r="977" spans="1:24" ht="18.75" customHeight="1">
      <c r="A977" s="55" t="s">
        <v>56</v>
      </c>
      <c r="B977" s="52" t="s">
        <v>41</v>
      </c>
      <c r="C977" s="56"/>
      <c r="D977" s="57" t="s">
        <v>50</v>
      </c>
      <c r="E977" s="451" t="s">
        <v>57</v>
      </c>
      <c r="F977" s="451"/>
      <c r="G977" s="451"/>
      <c r="H977" s="52" t="s">
        <v>41</v>
      </c>
      <c r="I977" s="452">
        <f>$F$8/$L$1*C977</f>
        <v>0</v>
      </c>
      <c r="J977" s="452"/>
      <c r="K977" s="61" t="s">
        <v>46</v>
      </c>
      <c r="L977" s="62"/>
      <c r="M977" s="55" t="s">
        <v>56</v>
      </c>
      <c r="N977" s="52" t="s">
        <v>41</v>
      </c>
      <c r="O977" s="56"/>
      <c r="P977" s="57" t="s">
        <v>50</v>
      </c>
      <c r="Q977" s="451" t="s">
        <v>57</v>
      </c>
      <c r="R977" s="451"/>
      <c r="S977" s="451"/>
      <c r="T977" s="52" t="s">
        <v>41</v>
      </c>
      <c r="U977" s="452">
        <f>$F$8/$L$1*O977</f>
        <v>0</v>
      </c>
      <c r="V977" s="452"/>
      <c r="W977" s="61" t="s">
        <v>46</v>
      </c>
      <c r="X977" s="62"/>
    </row>
    <row r="978" spans="1:24" ht="18.75" customHeight="1">
      <c r="A978" s="55" t="s">
        <v>58</v>
      </c>
      <c r="B978" s="52" t="s">
        <v>41</v>
      </c>
      <c r="C978" s="56"/>
      <c r="D978" s="57" t="s">
        <v>59</v>
      </c>
      <c r="E978" s="441" t="s">
        <v>60</v>
      </c>
      <c r="F978" s="441"/>
      <c r="G978" s="441"/>
      <c r="H978" s="52" t="s">
        <v>41</v>
      </c>
      <c r="I978" s="452" t="e">
        <f>I974/C974/8*C978</f>
        <v>#DIV/0!</v>
      </c>
      <c r="J978" s="452"/>
      <c r="K978" s="61" t="s">
        <v>46</v>
      </c>
      <c r="L978" s="62">
        <f>F971*C978/L964/8*1.5</f>
        <v>0</v>
      </c>
      <c r="M978" s="55" t="s">
        <v>58</v>
      </c>
      <c r="N978" s="52" t="s">
        <v>41</v>
      </c>
      <c r="O978" s="56"/>
      <c r="P978" s="57" t="s">
        <v>59</v>
      </c>
      <c r="Q978" s="441" t="s">
        <v>60</v>
      </c>
      <c r="R978" s="441"/>
      <c r="S978" s="441"/>
      <c r="T978" s="52" t="s">
        <v>41</v>
      </c>
      <c r="U978" s="452" t="e">
        <f>U974/O974/8*O978</f>
        <v>#DIV/0!</v>
      </c>
      <c r="V978" s="452"/>
      <c r="W978" s="61" t="s">
        <v>46</v>
      </c>
      <c r="X978" s="62">
        <f>R971*O978/X964/8*1.5</f>
        <v>0</v>
      </c>
    </row>
    <row r="979" spans="1:24" ht="18.75" customHeight="1">
      <c r="A979" s="440" t="s">
        <v>61</v>
      </c>
      <c r="B979" s="441"/>
      <c r="C979" s="56"/>
      <c r="D979" s="57" t="s">
        <v>50</v>
      </c>
      <c r="E979" s="441" t="s">
        <v>62</v>
      </c>
      <c r="F979" s="441"/>
      <c r="G979" s="441"/>
      <c r="H979" s="63" t="s">
        <v>41</v>
      </c>
      <c r="I979" s="452"/>
      <c r="J979" s="452"/>
      <c r="K979" s="61" t="s">
        <v>46</v>
      </c>
      <c r="L979" s="62"/>
      <c r="M979" s="440" t="s">
        <v>61</v>
      </c>
      <c r="N979" s="441"/>
      <c r="O979" s="56"/>
      <c r="P979" s="57" t="s">
        <v>50</v>
      </c>
      <c r="Q979" s="441" t="s">
        <v>62</v>
      </c>
      <c r="R979" s="441"/>
      <c r="S979" s="441"/>
      <c r="T979" s="63" t="s">
        <v>41</v>
      </c>
      <c r="U979" s="452"/>
      <c r="V979" s="452"/>
      <c r="W979" s="61" t="s">
        <v>46</v>
      </c>
      <c r="X979" s="62"/>
    </row>
    <row r="980" spans="1:24" ht="18.75" customHeight="1">
      <c r="A980" s="55" t="s">
        <v>63</v>
      </c>
      <c r="B980" s="52" t="s">
        <v>41</v>
      </c>
      <c r="C980" s="56"/>
      <c r="D980" s="57" t="s">
        <v>50</v>
      </c>
      <c r="E980" s="441" t="s">
        <v>64</v>
      </c>
      <c r="F980" s="441"/>
      <c r="G980" s="441"/>
      <c r="H980" s="52" t="s">
        <v>41</v>
      </c>
      <c r="I980" s="452"/>
      <c r="J980" s="452"/>
      <c r="K980" s="61" t="s">
        <v>46</v>
      </c>
      <c r="L980" s="62"/>
      <c r="M980" s="55" t="s">
        <v>63</v>
      </c>
      <c r="N980" s="52" t="s">
        <v>41</v>
      </c>
      <c r="O980" s="56"/>
      <c r="P980" s="57" t="s">
        <v>50</v>
      </c>
      <c r="Q980" s="441" t="s">
        <v>64</v>
      </c>
      <c r="R980" s="441"/>
      <c r="S980" s="441"/>
      <c r="T980" s="52" t="s">
        <v>41</v>
      </c>
      <c r="U980" s="452"/>
      <c r="V980" s="452"/>
      <c r="W980" s="61" t="s">
        <v>46</v>
      </c>
      <c r="X980" s="62"/>
    </row>
    <row r="981" spans="1:24" ht="18.75" customHeight="1">
      <c r="A981" s="64" t="s">
        <v>65</v>
      </c>
      <c r="B981" s="52"/>
      <c r="C981" s="56"/>
      <c r="D981" s="57" t="s">
        <v>59</v>
      </c>
      <c r="E981" s="441" t="s">
        <v>66</v>
      </c>
      <c r="F981" s="441"/>
      <c r="G981" s="441"/>
      <c r="H981" s="52" t="s">
        <v>41</v>
      </c>
      <c r="I981" s="452">
        <f>$F$8*C981/8/$L$1</f>
        <v>0</v>
      </c>
      <c r="J981" s="452"/>
      <c r="K981" s="61" t="s">
        <v>46</v>
      </c>
      <c r="L981" s="62"/>
      <c r="M981" s="64" t="s">
        <v>65</v>
      </c>
      <c r="N981" s="52"/>
      <c r="O981" s="56"/>
      <c r="P981" s="57" t="s">
        <v>59</v>
      </c>
      <c r="Q981" s="441" t="s">
        <v>66</v>
      </c>
      <c r="R981" s="441"/>
      <c r="S981" s="441"/>
      <c r="T981" s="52" t="s">
        <v>41</v>
      </c>
      <c r="U981" s="452">
        <f>$F$8*O981/8/$L$1</f>
        <v>0</v>
      </c>
      <c r="V981" s="452"/>
      <c r="W981" s="61" t="s">
        <v>46</v>
      </c>
      <c r="X981" s="62"/>
    </row>
    <row r="982" spans="1:24" ht="18.75" customHeight="1">
      <c r="A982" s="55" t="s">
        <v>67</v>
      </c>
      <c r="B982" s="52" t="s">
        <v>41</v>
      </c>
      <c r="C982" s="56"/>
      <c r="D982" s="57" t="s">
        <v>59</v>
      </c>
      <c r="E982" s="441" t="s">
        <v>68</v>
      </c>
      <c r="F982" s="441"/>
      <c r="G982" s="441"/>
      <c r="H982" s="52" t="s">
        <v>41</v>
      </c>
      <c r="I982" s="454"/>
      <c r="J982" s="454"/>
      <c r="K982" s="61" t="s">
        <v>46</v>
      </c>
      <c r="L982" s="62"/>
      <c r="M982" s="55" t="s">
        <v>67</v>
      </c>
      <c r="N982" s="52" t="s">
        <v>41</v>
      </c>
      <c r="O982" s="56"/>
      <c r="P982" s="57" t="s">
        <v>59</v>
      </c>
      <c r="Q982" s="441" t="s">
        <v>68</v>
      </c>
      <c r="R982" s="441"/>
      <c r="S982" s="441"/>
      <c r="T982" s="52" t="s">
        <v>41</v>
      </c>
      <c r="U982" s="454"/>
      <c r="V982" s="454"/>
      <c r="W982" s="61" t="s">
        <v>46</v>
      </c>
      <c r="X982" s="62"/>
    </row>
    <row r="983" spans="1:24" ht="18.75" customHeight="1">
      <c r="A983" s="55" t="s">
        <v>69</v>
      </c>
      <c r="B983" s="52" t="s">
        <v>41</v>
      </c>
      <c r="C983" s="56"/>
      <c r="D983" s="57" t="s">
        <v>70</v>
      </c>
      <c r="E983" s="53" t="s">
        <v>71</v>
      </c>
      <c r="F983" s="53"/>
      <c r="G983" s="53"/>
      <c r="H983" s="52" t="s">
        <v>41</v>
      </c>
      <c r="I983" s="452"/>
      <c r="J983" s="452"/>
      <c r="K983" s="61" t="s">
        <v>46</v>
      </c>
      <c r="L983" s="62" t="e">
        <f>+IF(L974-I974&lt;0,0,L974-I974)+IF(L978-I978&lt;0,0,L978-I978)</f>
        <v>#DIV/0!</v>
      </c>
      <c r="M983" s="55" t="s">
        <v>69</v>
      </c>
      <c r="N983" s="52" t="s">
        <v>41</v>
      </c>
      <c r="O983" s="56"/>
      <c r="P983" s="57" t="s">
        <v>70</v>
      </c>
      <c r="Q983" s="53" t="s">
        <v>71</v>
      </c>
      <c r="R983" s="53"/>
      <c r="S983" s="53"/>
      <c r="T983" s="52" t="s">
        <v>41</v>
      </c>
      <c r="U983" s="452"/>
      <c r="V983" s="452"/>
      <c r="W983" s="61" t="s">
        <v>46</v>
      </c>
      <c r="X983" s="62" t="e">
        <f>+IF(X974-U974&lt;0,0,X974-U974)+IF(X978-U978&lt;0,0,X978-U978)</f>
        <v>#DIV/0!</v>
      </c>
    </row>
    <row r="984" spans="1:24" ht="18.75" customHeight="1">
      <c r="A984" s="65" t="s">
        <v>72</v>
      </c>
      <c r="B984" s="66"/>
      <c r="C984" s="56"/>
      <c r="D984" s="57" t="s">
        <v>50</v>
      </c>
      <c r="E984" s="441" t="s">
        <v>73</v>
      </c>
      <c r="F984" s="441"/>
      <c r="G984" s="441"/>
      <c r="H984" s="52" t="s">
        <v>41</v>
      </c>
      <c r="I984" s="452"/>
      <c r="J984" s="452"/>
      <c r="K984" s="61" t="s">
        <v>46</v>
      </c>
      <c r="L984" s="62"/>
      <c r="M984" s="65" t="s">
        <v>72</v>
      </c>
      <c r="N984" s="66"/>
      <c r="O984" s="56"/>
      <c r="P984" s="57" t="s">
        <v>50</v>
      </c>
      <c r="Q984" s="441" t="s">
        <v>73</v>
      </c>
      <c r="R984" s="441"/>
      <c r="S984" s="441"/>
      <c r="T984" s="52" t="s">
        <v>41</v>
      </c>
      <c r="U984" s="452"/>
      <c r="V984" s="452"/>
      <c r="W984" s="61" t="s">
        <v>46</v>
      </c>
      <c r="X984" s="62"/>
    </row>
    <row r="985" spans="1:24" ht="18.75" customHeight="1">
      <c r="A985" s="477" t="s">
        <v>74</v>
      </c>
      <c r="B985" s="453"/>
      <c r="C985" s="56"/>
      <c r="D985" s="57"/>
      <c r="E985" s="58"/>
      <c r="F985" s="58"/>
      <c r="G985" s="58"/>
      <c r="H985" s="52" t="s">
        <v>41</v>
      </c>
      <c r="I985" s="452"/>
      <c r="J985" s="452"/>
      <c r="K985" s="61" t="s">
        <v>46</v>
      </c>
      <c r="L985" s="62"/>
      <c r="M985" s="477" t="s">
        <v>74</v>
      </c>
      <c r="N985" s="453"/>
      <c r="O985" s="56"/>
      <c r="P985" s="57"/>
      <c r="Q985" s="58"/>
      <c r="R985" s="58"/>
      <c r="S985" s="58"/>
      <c r="T985" s="52" t="s">
        <v>41</v>
      </c>
      <c r="U985" s="452"/>
      <c r="V985" s="452"/>
      <c r="W985" s="61" t="s">
        <v>46</v>
      </c>
      <c r="X985" s="62"/>
    </row>
    <row r="986" spans="1:24" ht="18.75" customHeight="1">
      <c r="A986" s="55" t="s">
        <v>75</v>
      </c>
      <c r="B986" s="52" t="s">
        <v>41</v>
      </c>
      <c r="C986" s="56"/>
      <c r="D986" s="57"/>
      <c r="E986" s="58" t="s">
        <v>76</v>
      </c>
      <c r="F986" s="58"/>
      <c r="G986" s="58"/>
      <c r="H986" s="52" t="s">
        <v>41</v>
      </c>
      <c r="I986" s="452" t="e">
        <f>L983</f>
        <v>#DIV/0!</v>
      </c>
      <c r="J986" s="452"/>
      <c r="K986" s="61" t="s">
        <v>46</v>
      </c>
      <c r="L986" s="62"/>
      <c r="M986" s="55" t="s">
        <v>75</v>
      </c>
      <c r="N986" s="52" t="s">
        <v>41</v>
      </c>
      <c r="O986" s="56"/>
      <c r="P986" s="57"/>
      <c r="Q986" s="58" t="s">
        <v>76</v>
      </c>
      <c r="R986" s="58"/>
      <c r="S986" s="58"/>
      <c r="T986" s="52" t="s">
        <v>41</v>
      </c>
      <c r="U986" s="452" t="e">
        <f>X983</f>
        <v>#DIV/0!</v>
      </c>
      <c r="V986" s="452"/>
      <c r="W986" s="61" t="s">
        <v>46</v>
      </c>
      <c r="X986" s="62"/>
    </row>
    <row r="987" spans="1:24" ht="18.75" customHeight="1">
      <c r="A987" s="456" t="s">
        <v>77</v>
      </c>
      <c r="B987" s="457"/>
      <c r="C987" s="457"/>
      <c r="D987" s="457"/>
      <c r="E987" s="457"/>
      <c r="F987" s="457"/>
      <c r="G987" s="52" t="s">
        <v>41</v>
      </c>
      <c r="H987" s="459" t="e">
        <f>I974+I975+I976+I977+I978+I981+I985+I986</f>
        <v>#DIV/0!</v>
      </c>
      <c r="I987" s="459"/>
      <c r="J987" s="459"/>
      <c r="K987" s="61" t="s">
        <v>46</v>
      </c>
      <c r="M987" s="456" t="s">
        <v>77</v>
      </c>
      <c r="N987" s="457"/>
      <c r="O987" s="457"/>
      <c r="P987" s="457"/>
      <c r="Q987" s="457"/>
      <c r="R987" s="457"/>
      <c r="S987" s="52" t="s">
        <v>41</v>
      </c>
      <c r="T987" s="459" t="e">
        <f>U974+U975+U976+U977+U978+U981+U985+U986</f>
        <v>#DIV/0!</v>
      </c>
      <c r="U987" s="459"/>
      <c r="V987" s="459"/>
      <c r="W987" s="61" t="s">
        <v>46</v>
      </c>
    </row>
    <row r="988" spans="1:24" ht="18.75" customHeight="1">
      <c r="A988" s="67"/>
      <c r="B988" s="68"/>
      <c r="C988" s="68"/>
      <c r="D988" s="68"/>
      <c r="E988" s="68"/>
      <c r="F988" s="68"/>
      <c r="G988" s="68"/>
      <c r="H988" s="68"/>
      <c r="I988" s="68"/>
      <c r="J988" s="68"/>
      <c r="K988" s="69"/>
      <c r="M988" s="67"/>
      <c r="N988" s="68"/>
      <c r="O988" s="68"/>
      <c r="P988" s="68"/>
      <c r="Q988" s="68"/>
      <c r="R988" s="68"/>
      <c r="S988" s="68"/>
      <c r="T988" s="68"/>
      <c r="U988" s="68"/>
      <c r="V988" s="68"/>
      <c r="W988" s="69"/>
    </row>
    <row r="989" spans="1:24" ht="18.75" customHeight="1">
      <c r="A989" s="468" t="s">
        <v>78</v>
      </c>
      <c r="B989" s="469"/>
      <c r="C989" s="469"/>
      <c r="D989" s="469"/>
      <c r="E989" s="469"/>
      <c r="F989" s="469"/>
      <c r="G989" s="52"/>
      <c r="H989" s="52"/>
      <c r="I989" s="52"/>
      <c r="J989" s="52"/>
      <c r="K989" s="61"/>
      <c r="M989" s="468" t="s">
        <v>78</v>
      </c>
      <c r="N989" s="469"/>
      <c r="O989" s="469"/>
      <c r="P989" s="469"/>
      <c r="Q989" s="469"/>
      <c r="R989" s="469"/>
      <c r="S989" s="52"/>
      <c r="T989" s="52"/>
      <c r="U989" s="52"/>
      <c r="V989" s="52"/>
      <c r="W989" s="61"/>
    </row>
    <row r="990" spans="1:24" ht="18.75" customHeight="1">
      <c r="A990" s="462" t="s">
        <v>79</v>
      </c>
      <c r="B990" s="463"/>
      <c r="C990" s="463"/>
      <c r="D990" s="463"/>
      <c r="E990" s="463"/>
      <c r="F990" s="463"/>
      <c r="G990" s="52" t="s">
        <v>41</v>
      </c>
      <c r="H990" s="470">
        <f>IF(($L$1-(C974+C975+C976+C977))&gt;12,0,F971*8%)</f>
        <v>0</v>
      </c>
      <c r="I990" s="470"/>
      <c r="J990" s="470"/>
      <c r="K990" s="61" t="s">
        <v>46</v>
      </c>
      <c r="M990" s="462" t="s">
        <v>79</v>
      </c>
      <c r="N990" s="463"/>
      <c r="O990" s="463"/>
      <c r="P990" s="463"/>
      <c r="Q990" s="463"/>
      <c r="R990" s="463"/>
      <c r="S990" s="52" t="s">
        <v>41</v>
      </c>
      <c r="T990" s="470">
        <f>IF(($L$1-(O974+O975+O976+O977))&gt;12,0,R971*8%)</f>
        <v>0</v>
      </c>
      <c r="U990" s="470"/>
      <c r="V990" s="470"/>
      <c r="W990" s="61" t="s">
        <v>46</v>
      </c>
    </row>
    <row r="991" spans="1:24" ht="18.75" customHeight="1">
      <c r="A991" s="462" t="s">
        <v>80</v>
      </c>
      <c r="B991" s="463"/>
      <c r="C991" s="463"/>
      <c r="D991" s="463"/>
      <c r="E991" s="463"/>
      <c r="F991" s="463"/>
      <c r="G991" s="52" t="s">
        <v>41</v>
      </c>
      <c r="H991" s="464">
        <f>IF(($L$1-(C974+C975+C976+C977))&gt;12,0,F971*1.5%)</f>
        <v>0</v>
      </c>
      <c r="I991" s="464"/>
      <c r="J991" s="464"/>
      <c r="K991" s="61" t="s">
        <v>46</v>
      </c>
      <c r="M991" s="462" t="s">
        <v>80</v>
      </c>
      <c r="N991" s="463"/>
      <c r="O991" s="463"/>
      <c r="P991" s="463"/>
      <c r="Q991" s="463"/>
      <c r="R991" s="463"/>
      <c r="S991" s="52" t="s">
        <v>41</v>
      </c>
      <c r="T991" s="464">
        <f>IF(($L$1-(O974+O975+O976+O977))&gt;12,0,R971*1.5%)</f>
        <v>0</v>
      </c>
      <c r="U991" s="464"/>
      <c r="V991" s="464"/>
      <c r="W991" s="61" t="s">
        <v>46</v>
      </c>
    </row>
    <row r="992" spans="1:24" ht="18.75" customHeight="1">
      <c r="A992" s="462" t="s">
        <v>81</v>
      </c>
      <c r="B992" s="463"/>
      <c r="C992" s="463"/>
      <c r="D992" s="463"/>
      <c r="E992" s="463"/>
      <c r="F992" s="463"/>
      <c r="G992" s="52" t="s">
        <v>41</v>
      </c>
      <c r="H992" s="464">
        <f>IF(($L$1-(C974+C975+C976+C977))&gt;12,0,F971*1%)</f>
        <v>0</v>
      </c>
      <c r="I992" s="464"/>
      <c r="J992" s="464"/>
      <c r="K992" s="61" t="s">
        <v>46</v>
      </c>
      <c r="M992" s="462" t="s">
        <v>81</v>
      </c>
      <c r="N992" s="463"/>
      <c r="O992" s="463"/>
      <c r="P992" s="463"/>
      <c r="Q992" s="463"/>
      <c r="R992" s="463"/>
      <c r="S992" s="52" t="s">
        <v>41</v>
      </c>
      <c r="T992" s="464">
        <f>IF(($L$1-(O974+O975+O976+O977))&gt;12,0,R971*1%)</f>
        <v>0</v>
      </c>
      <c r="U992" s="464"/>
      <c r="V992" s="464"/>
      <c r="W992" s="61" t="s">
        <v>46</v>
      </c>
    </row>
    <row r="993" spans="1:24" ht="18.75" customHeight="1">
      <c r="A993" s="462" t="s">
        <v>82</v>
      </c>
      <c r="B993" s="463"/>
      <c r="C993" s="463"/>
      <c r="D993" s="463"/>
      <c r="E993" s="463"/>
      <c r="F993" s="463"/>
      <c r="G993" s="52" t="s">
        <v>41</v>
      </c>
      <c r="H993" s="464">
        <v>0</v>
      </c>
      <c r="I993" s="464"/>
      <c r="J993" s="464"/>
      <c r="K993" s="61" t="s">
        <v>46</v>
      </c>
      <c r="M993" s="462" t="s">
        <v>82</v>
      </c>
      <c r="N993" s="463"/>
      <c r="O993" s="463"/>
      <c r="P993" s="463"/>
      <c r="Q993" s="463"/>
      <c r="R993" s="463"/>
      <c r="S993" s="52" t="s">
        <v>41</v>
      </c>
      <c r="T993" s="464">
        <v>0</v>
      </c>
      <c r="U993" s="464"/>
      <c r="V993" s="464"/>
      <c r="W993" s="61" t="s">
        <v>46</v>
      </c>
    </row>
    <row r="994" spans="1:24" ht="18.75" customHeight="1">
      <c r="A994" s="465" t="s">
        <v>83</v>
      </c>
      <c r="B994" s="466"/>
      <c r="C994" s="466"/>
      <c r="D994" s="466"/>
      <c r="E994" s="466"/>
      <c r="F994" s="466"/>
      <c r="G994" s="52" t="s">
        <v>41</v>
      </c>
      <c r="H994" s="467">
        <f>SUM(H990:J993)</f>
        <v>0</v>
      </c>
      <c r="I994" s="467"/>
      <c r="J994" s="467"/>
      <c r="K994" s="61" t="s">
        <v>46</v>
      </c>
      <c r="M994" s="465" t="s">
        <v>83</v>
      </c>
      <c r="N994" s="466"/>
      <c r="O994" s="466"/>
      <c r="P994" s="466"/>
      <c r="Q994" s="466"/>
      <c r="R994" s="466"/>
      <c r="S994" s="52" t="s">
        <v>41</v>
      </c>
      <c r="T994" s="467">
        <f>SUM(T990:V993)</f>
        <v>0</v>
      </c>
      <c r="U994" s="467"/>
      <c r="V994" s="467"/>
      <c r="W994" s="61" t="s">
        <v>46</v>
      </c>
    </row>
    <row r="995" spans="1:24" ht="18.75" customHeight="1">
      <c r="A995" s="462" t="s">
        <v>84</v>
      </c>
      <c r="B995" s="463"/>
      <c r="C995" s="463"/>
      <c r="D995" s="463"/>
      <c r="E995" s="463"/>
      <c r="F995" s="463"/>
      <c r="G995" s="52" t="s">
        <v>41</v>
      </c>
      <c r="H995" s="475" t="e">
        <f>ROUND(H987-H994,-2)</f>
        <v>#DIV/0!</v>
      </c>
      <c r="I995" s="475"/>
      <c r="J995" s="475"/>
      <c r="K995" s="61" t="s">
        <v>46</v>
      </c>
      <c r="M995" s="462" t="s">
        <v>84</v>
      </c>
      <c r="N995" s="463"/>
      <c r="O995" s="463"/>
      <c r="P995" s="463"/>
      <c r="Q995" s="463"/>
      <c r="R995" s="463"/>
      <c r="S995" s="52" t="s">
        <v>41</v>
      </c>
      <c r="T995" s="475" t="e">
        <f>ROUND(T987-T994,-2)</f>
        <v>#DIV/0!</v>
      </c>
      <c r="U995" s="475"/>
      <c r="V995" s="475"/>
      <c r="W995" s="61" t="s">
        <v>46</v>
      </c>
    </row>
    <row r="996" spans="1:24" ht="18.75" customHeight="1">
      <c r="A996" s="70"/>
      <c r="B996" s="71"/>
      <c r="C996" s="71"/>
      <c r="D996" s="71"/>
      <c r="E996" s="71"/>
      <c r="F996" s="71"/>
      <c r="G996" s="71"/>
      <c r="H996" s="71"/>
      <c r="I996" s="71"/>
      <c r="J996" s="71"/>
      <c r="K996" s="72"/>
      <c r="M996" s="70"/>
      <c r="N996" s="71"/>
      <c r="O996" s="71"/>
      <c r="P996" s="71"/>
      <c r="Q996" s="71"/>
      <c r="R996" s="71"/>
      <c r="S996" s="71"/>
      <c r="T996" s="71"/>
      <c r="U996" s="71"/>
      <c r="V996" s="71"/>
      <c r="W996" s="72"/>
    </row>
    <row r="997" spans="1:24" ht="18.75" customHeight="1">
      <c r="A997" s="73"/>
      <c r="B997" s="52"/>
      <c r="C997" s="52"/>
      <c r="D997" s="52"/>
      <c r="E997" s="52"/>
      <c r="F997" s="52"/>
      <c r="G997" s="52"/>
      <c r="H997" s="52"/>
      <c r="I997" s="472" t="s">
        <v>85</v>
      </c>
      <c r="J997" s="472"/>
      <c r="K997" s="476"/>
      <c r="M997" s="73"/>
      <c r="N997" s="52"/>
      <c r="O997" s="52"/>
      <c r="P997" s="52"/>
      <c r="Q997" s="52"/>
      <c r="R997" s="52"/>
      <c r="S997" s="52"/>
      <c r="T997" s="52"/>
      <c r="U997" s="472" t="s">
        <v>85</v>
      </c>
      <c r="V997" s="472"/>
      <c r="W997" s="476"/>
    </row>
    <row r="998" spans="1:24" ht="18.75" customHeight="1">
      <c r="A998" s="73"/>
      <c r="B998" s="471"/>
      <c r="C998" s="472"/>
      <c r="D998" s="472"/>
      <c r="E998" s="472"/>
      <c r="F998" s="52"/>
      <c r="G998" s="52"/>
      <c r="H998" s="52"/>
      <c r="I998" s="52"/>
      <c r="J998" s="52"/>
      <c r="K998" s="54"/>
      <c r="M998" s="73"/>
      <c r="N998" s="471"/>
      <c r="O998" s="472"/>
      <c r="P998" s="472"/>
      <c r="Q998" s="472"/>
      <c r="R998" s="52"/>
      <c r="S998" s="52"/>
      <c r="T998" s="52"/>
      <c r="U998" s="52"/>
      <c r="V998" s="52"/>
      <c r="W998" s="54"/>
    </row>
    <row r="999" spans="1:24" ht="18.75" customHeight="1" thickBot="1">
      <c r="A999" s="75"/>
      <c r="B999" s="76"/>
      <c r="C999" s="76"/>
      <c r="D999" s="76"/>
      <c r="E999" s="76"/>
      <c r="F999" s="76"/>
      <c r="G999" s="76"/>
      <c r="H999" s="76"/>
      <c r="I999" s="473" t="s">
        <v>86</v>
      </c>
      <c r="J999" s="473"/>
      <c r="K999" s="474"/>
      <c r="M999" s="75"/>
      <c r="N999" s="76"/>
      <c r="O999" s="76"/>
      <c r="P999" s="76"/>
      <c r="Q999" s="76"/>
      <c r="R999" s="76"/>
      <c r="S999" s="76"/>
      <c r="T999" s="76"/>
      <c r="U999" s="473" t="s">
        <v>86</v>
      </c>
      <c r="V999" s="473"/>
      <c r="W999" s="474"/>
    </row>
    <row r="1000" spans="1:24" ht="18.75" customHeight="1" thickTop="1" thickBot="1"/>
    <row r="1001" spans="1:24" ht="18.75" customHeight="1" thickTop="1">
      <c r="A1001" s="445" t="s">
        <v>13</v>
      </c>
      <c r="B1001" s="446"/>
      <c r="C1001" s="446"/>
      <c r="D1001" s="446"/>
      <c r="E1001" s="446"/>
      <c r="F1001" s="446"/>
      <c r="G1001" s="446"/>
      <c r="H1001" s="446"/>
      <c r="I1001" s="446"/>
      <c r="J1001" s="446"/>
      <c r="K1001" s="447"/>
      <c r="L1001" s="48">
        <v>24</v>
      </c>
      <c r="M1001" s="445" t="s">
        <v>13</v>
      </c>
      <c r="N1001" s="446"/>
      <c r="O1001" s="446"/>
      <c r="P1001" s="446"/>
      <c r="Q1001" s="446"/>
      <c r="R1001" s="446"/>
      <c r="S1001" s="446"/>
      <c r="T1001" s="446"/>
      <c r="U1001" s="446"/>
      <c r="V1001" s="446"/>
      <c r="W1001" s="447"/>
      <c r="X1001" s="48">
        <v>24</v>
      </c>
    </row>
    <row r="1002" spans="1:24" ht="18.75" customHeight="1">
      <c r="A1002" s="49" t="s">
        <v>141</v>
      </c>
      <c r="B1002" s="50"/>
      <c r="C1002" s="50"/>
      <c r="D1002" s="50"/>
      <c r="E1002" s="50"/>
      <c r="F1002" s="50"/>
      <c r="G1002" s="50"/>
      <c r="H1002" s="50"/>
      <c r="I1002" s="50"/>
      <c r="J1002" s="50"/>
      <c r="K1002" s="51"/>
      <c r="M1002" s="49" t="s">
        <v>142</v>
      </c>
      <c r="N1002" s="50"/>
      <c r="O1002" s="50"/>
      <c r="P1002" s="50"/>
      <c r="Q1002" s="50"/>
      <c r="R1002" s="50"/>
      <c r="S1002" s="50"/>
      <c r="T1002" s="50"/>
      <c r="U1002" s="50"/>
      <c r="V1002" s="50"/>
      <c r="W1002" s="51"/>
    </row>
    <row r="1003" spans="1:24" ht="18.75" customHeight="1">
      <c r="A1003" s="448" t="s">
        <v>39</v>
      </c>
      <c r="B1003" s="449"/>
      <c r="C1003" s="449"/>
      <c r="D1003" s="449"/>
      <c r="E1003" s="449"/>
      <c r="F1003" s="449"/>
      <c r="G1003" s="449"/>
      <c r="H1003" s="449"/>
      <c r="I1003" s="449"/>
      <c r="J1003" s="449"/>
      <c r="K1003" s="450"/>
      <c r="M1003" s="448" t="s">
        <v>39</v>
      </c>
      <c r="N1003" s="449"/>
      <c r="O1003" s="449"/>
      <c r="P1003" s="449"/>
      <c r="Q1003" s="449"/>
      <c r="R1003" s="449"/>
      <c r="S1003" s="449"/>
      <c r="T1003" s="449"/>
      <c r="U1003" s="449"/>
      <c r="V1003" s="449"/>
      <c r="W1003" s="450"/>
    </row>
    <row r="1004" spans="1:24" ht="18.75" customHeight="1">
      <c r="A1004" s="440" t="s">
        <v>40</v>
      </c>
      <c r="B1004" s="441"/>
      <c r="C1004" s="441"/>
      <c r="D1004" s="441"/>
      <c r="E1004" s="52" t="s">
        <v>41</v>
      </c>
      <c r="F1004" s="441"/>
      <c r="G1004" s="441"/>
      <c r="H1004" s="441"/>
      <c r="I1004" s="441"/>
      <c r="J1004" s="441"/>
      <c r="K1004" s="444"/>
      <c r="M1004" s="440" t="s">
        <v>40</v>
      </c>
      <c r="N1004" s="441"/>
      <c r="O1004" s="441"/>
      <c r="P1004" s="441"/>
      <c r="Q1004" s="52" t="s">
        <v>41</v>
      </c>
      <c r="R1004" s="441"/>
      <c r="S1004" s="441"/>
      <c r="T1004" s="441"/>
      <c r="U1004" s="441"/>
      <c r="V1004" s="441"/>
      <c r="W1004" s="444"/>
    </row>
    <row r="1005" spans="1:24" ht="18.75" customHeight="1">
      <c r="A1005" s="440" t="s">
        <v>42</v>
      </c>
      <c r="B1005" s="441"/>
      <c r="C1005" s="441"/>
      <c r="D1005" s="441"/>
      <c r="E1005" s="52" t="s">
        <v>41</v>
      </c>
      <c r="F1005" s="442"/>
      <c r="G1005" s="442"/>
      <c r="H1005" s="442"/>
      <c r="I1005" s="442"/>
      <c r="J1005" s="442"/>
      <c r="K1005" s="443"/>
      <c r="M1005" s="440" t="s">
        <v>42</v>
      </c>
      <c r="N1005" s="441"/>
      <c r="O1005" s="441"/>
      <c r="P1005" s="441"/>
      <c r="Q1005" s="52" t="s">
        <v>41</v>
      </c>
      <c r="R1005" s="442"/>
      <c r="S1005" s="442"/>
      <c r="T1005" s="442"/>
      <c r="U1005" s="442"/>
      <c r="V1005" s="442"/>
      <c r="W1005" s="443"/>
    </row>
    <row r="1006" spans="1:24" ht="18.75" customHeight="1">
      <c r="A1006" s="440" t="s">
        <v>43</v>
      </c>
      <c r="B1006" s="441"/>
      <c r="C1006" s="441"/>
      <c r="D1006" s="441"/>
      <c r="E1006" s="52" t="s">
        <v>41</v>
      </c>
      <c r="F1006" s="441" t="s">
        <v>151</v>
      </c>
      <c r="G1006" s="441"/>
      <c r="H1006" s="441"/>
      <c r="I1006" s="441"/>
      <c r="J1006" s="441"/>
      <c r="K1006" s="444"/>
      <c r="M1006" s="440" t="s">
        <v>43</v>
      </c>
      <c r="N1006" s="441"/>
      <c r="O1006" s="441"/>
      <c r="P1006" s="441"/>
      <c r="Q1006" s="52" t="s">
        <v>41</v>
      </c>
      <c r="R1006" s="441" t="s">
        <v>151</v>
      </c>
      <c r="S1006" s="441"/>
      <c r="T1006" s="441"/>
      <c r="U1006" s="441"/>
      <c r="V1006" s="441"/>
      <c r="W1006" s="444"/>
    </row>
    <row r="1007" spans="1:24" ht="18.75" customHeight="1">
      <c r="A1007" s="448" t="s">
        <v>44</v>
      </c>
      <c r="B1007" s="449"/>
      <c r="C1007" s="449"/>
      <c r="D1007" s="449"/>
      <c r="E1007" s="449"/>
      <c r="F1007" s="449"/>
      <c r="G1007" s="449"/>
      <c r="H1007" s="449"/>
      <c r="I1007" s="449"/>
      <c r="J1007" s="449"/>
      <c r="K1007" s="450"/>
      <c r="M1007" s="448" t="s">
        <v>44</v>
      </c>
      <c r="N1007" s="449"/>
      <c r="O1007" s="449"/>
      <c r="P1007" s="449"/>
      <c r="Q1007" s="449"/>
      <c r="R1007" s="449"/>
      <c r="S1007" s="449"/>
      <c r="T1007" s="449"/>
      <c r="U1007" s="449"/>
      <c r="V1007" s="449"/>
      <c r="W1007" s="450"/>
    </row>
    <row r="1008" spans="1:24" ht="18.75" customHeight="1">
      <c r="A1008" s="440" t="s">
        <v>45</v>
      </c>
      <c r="B1008" s="441"/>
      <c r="C1008" s="441"/>
      <c r="D1008" s="441"/>
      <c r="E1008" s="52" t="s">
        <v>41</v>
      </c>
      <c r="F1008" s="455">
        <v>2915400</v>
      </c>
      <c r="G1008" s="455"/>
      <c r="H1008" s="455"/>
      <c r="I1008" s="455"/>
      <c r="J1008" s="52" t="s">
        <v>46</v>
      </c>
      <c r="K1008" s="54"/>
      <c r="M1008" s="440" t="s">
        <v>45</v>
      </c>
      <c r="N1008" s="441"/>
      <c r="O1008" s="441"/>
      <c r="P1008" s="441"/>
      <c r="Q1008" s="52" t="s">
        <v>41</v>
      </c>
      <c r="R1008" s="455">
        <v>2915400</v>
      </c>
      <c r="S1008" s="455"/>
      <c r="T1008" s="455"/>
      <c r="U1008" s="455"/>
      <c r="V1008" s="52" t="s">
        <v>46</v>
      </c>
      <c r="W1008" s="54"/>
    </row>
    <row r="1009" spans="1:24" ht="18.75" customHeight="1">
      <c r="A1009" s="55" t="s">
        <v>47</v>
      </c>
      <c r="B1009" s="52"/>
      <c r="C1009" s="56"/>
      <c r="D1009" s="57"/>
      <c r="E1009" s="58"/>
      <c r="F1009" s="58"/>
      <c r="G1009" s="58"/>
      <c r="H1009" s="52"/>
      <c r="I1009" s="59"/>
      <c r="J1009" s="60"/>
      <c r="K1009" s="61"/>
      <c r="M1009" s="55" t="s">
        <v>47</v>
      </c>
      <c r="N1009" s="52"/>
      <c r="O1009" s="56"/>
      <c r="P1009" s="57"/>
      <c r="Q1009" s="58"/>
      <c r="R1009" s="58"/>
      <c r="S1009" s="58"/>
      <c r="T1009" s="52"/>
      <c r="U1009" s="59"/>
      <c r="V1009" s="60"/>
      <c r="W1009" s="61"/>
    </row>
    <row r="1010" spans="1:24" ht="18.75" customHeight="1">
      <c r="A1010" s="55" t="s">
        <v>48</v>
      </c>
      <c r="B1010" s="52"/>
      <c r="C1010" s="56"/>
      <c r="D1010" s="57"/>
      <c r="E1010" s="58"/>
      <c r="F1010" s="58"/>
      <c r="G1010" s="58"/>
      <c r="H1010" s="52"/>
      <c r="I1010" s="59" t="e">
        <f>I1011/C1011/8</f>
        <v>#DIV/0!</v>
      </c>
      <c r="J1010" s="60"/>
      <c r="K1010" s="61"/>
      <c r="M1010" s="55" t="s">
        <v>48</v>
      </c>
      <c r="N1010" s="52"/>
      <c r="O1010" s="56"/>
      <c r="P1010" s="57"/>
      <c r="Q1010" s="58"/>
      <c r="R1010" s="58"/>
      <c r="S1010" s="58"/>
      <c r="T1010" s="52"/>
      <c r="U1010" s="59" t="e">
        <f>U1011/O1011/8</f>
        <v>#DIV/0!</v>
      </c>
      <c r="V1010" s="60"/>
      <c r="W1010" s="61"/>
    </row>
    <row r="1011" spans="1:24" ht="18.75" customHeight="1">
      <c r="A1011" s="55" t="s">
        <v>49</v>
      </c>
      <c r="B1011" s="52" t="s">
        <v>41</v>
      </c>
      <c r="C1011" s="56"/>
      <c r="D1011" s="57" t="s">
        <v>50</v>
      </c>
      <c r="E1011" s="453" t="s">
        <v>51</v>
      </c>
      <c r="F1011" s="453"/>
      <c r="G1011" s="453"/>
      <c r="H1011" s="52" t="s">
        <v>41</v>
      </c>
      <c r="I1011" s="454" t="e">
        <f>I1009*680/((C1011-C1018)*8+C1018*7+C1015)*((C1011-C1018)*8+C1018*7)</f>
        <v>#DIV/0!</v>
      </c>
      <c r="J1011" s="454"/>
      <c r="K1011" s="61" t="s">
        <v>46</v>
      </c>
      <c r="L1011" s="62">
        <f>F1008/L1001*C1011</f>
        <v>0</v>
      </c>
      <c r="M1011" s="55" t="s">
        <v>49</v>
      </c>
      <c r="N1011" s="52" t="s">
        <v>41</v>
      </c>
      <c r="O1011" s="56"/>
      <c r="P1011" s="57" t="s">
        <v>50</v>
      </c>
      <c r="Q1011" s="453" t="s">
        <v>51</v>
      </c>
      <c r="R1011" s="453"/>
      <c r="S1011" s="453"/>
      <c r="T1011" s="52" t="s">
        <v>41</v>
      </c>
      <c r="U1011" s="454" t="e">
        <f>U1009*680/((O1011-O1018)*8+O1018*7+O1015)*((O1011-O1018)*8+O1018*7)</f>
        <v>#DIV/0!</v>
      </c>
      <c r="V1011" s="454"/>
      <c r="W1011" s="61" t="s">
        <v>46</v>
      </c>
      <c r="X1011" s="62">
        <f>R1008/X1001*O1011</f>
        <v>0</v>
      </c>
    </row>
    <row r="1012" spans="1:24" ht="18.75" customHeight="1">
      <c r="A1012" s="55" t="s">
        <v>52</v>
      </c>
      <c r="B1012" s="52" t="s">
        <v>41</v>
      </c>
      <c r="C1012" s="56"/>
      <c r="D1012" s="57" t="s">
        <v>50</v>
      </c>
      <c r="E1012" s="441" t="s">
        <v>53</v>
      </c>
      <c r="F1012" s="441"/>
      <c r="G1012" s="441"/>
      <c r="H1012" s="52" t="s">
        <v>41</v>
      </c>
      <c r="I1012" s="452">
        <f>$F$8/$L$1*C1012</f>
        <v>0</v>
      </c>
      <c r="J1012" s="452"/>
      <c r="K1012" s="61" t="s">
        <v>46</v>
      </c>
      <c r="L1012" s="62"/>
      <c r="M1012" s="55" t="s">
        <v>52</v>
      </c>
      <c r="N1012" s="52" t="s">
        <v>41</v>
      </c>
      <c r="O1012" s="56"/>
      <c r="P1012" s="57" t="s">
        <v>50</v>
      </c>
      <c r="Q1012" s="441" t="s">
        <v>53</v>
      </c>
      <c r="R1012" s="441"/>
      <c r="S1012" s="441"/>
      <c r="T1012" s="52" t="s">
        <v>41</v>
      </c>
      <c r="U1012" s="452">
        <f>$F$8/$L$1*O1012</f>
        <v>0</v>
      </c>
      <c r="V1012" s="452"/>
      <c r="W1012" s="61" t="s">
        <v>46</v>
      </c>
      <c r="X1012" s="62"/>
    </row>
    <row r="1013" spans="1:24" ht="18.75" customHeight="1">
      <c r="A1013" s="55" t="s">
        <v>54</v>
      </c>
      <c r="B1013" s="52" t="s">
        <v>41</v>
      </c>
      <c r="C1013" s="56"/>
      <c r="D1013" s="57" t="s">
        <v>50</v>
      </c>
      <c r="E1013" s="451" t="s">
        <v>55</v>
      </c>
      <c r="F1013" s="451"/>
      <c r="G1013" s="451"/>
      <c r="H1013" s="52" t="s">
        <v>41</v>
      </c>
      <c r="I1013" s="452">
        <f>$F$8/$L$1*C1013</f>
        <v>0</v>
      </c>
      <c r="J1013" s="452"/>
      <c r="K1013" s="61" t="s">
        <v>46</v>
      </c>
      <c r="L1013" s="62"/>
      <c r="M1013" s="55" t="s">
        <v>54</v>
      </c>
      <c r="N1013" s="52" t="s">
        <v>41</v>
      </c>
      <c r="O1013" s="56"/>
      <c r="P1013" s="57" t="s">
        <v>50</v>
      </c>
      <c r="Q1013" s="451" t="s">
        <v>55</v>
      </c>
      <c r="R1013" s="451"/>
      <c r="S1013" s="451"/>
      <c r="T1013" s="52" t="s">
        <v>41</v>
      </c>
      <c r="U1013" s="452">
        <f>$F$8/$L$1*O1013</f>
        <v>0</v>
      </c>
      <c r="V1013" s="452"/>
      <c r="W1013" s="61" t="s">
        <v>46</v>
      </c>
      <c r="X1013" s="62"/>
    </row>
    <row r="1014" spans="1:24" ht="18.75" customHeight="1">
      <c r="A1014" s="55" t="s">
        <v>56</v>
      </c>
      <c r="B1014" s="52" t="s">
        <v>41</v>
      </c>
      <c r="C1014" s="56"/>
      <c r="D1014" s="57" t="s">
        <v>50</v>
      </c>
      <c r="E1014" s="451" t="s">
        <v>57</v>
      </c>
      <c r="F1014" s="451"/>
      <c r="G1014" s="451"/>
      <c r="H1014" s="52" t="s">
        <v>41</v>
      </c>
      <c r="I1014" s="452">
        <f>$F$8/$L$1*C1014</f>
        <v>0</v>
      </c>
      <c r="J1014" s="452"/>
      <c r="K1014" s="61" t="s">
        <v>46</v>
      </c>
      <c r="L1014" s="62"/>
      <c r="M1014" s="55" t="s">
        <v>56</v>
      </c>
      <c r="N1014" s="52" t="s">
        <v>41</v>
      </c>
      <c r="O1014" s="56"/>
      <c r="P1014" s="57" t="s">
        <v>50</v>
      </c>
      <c r="Q1014" s="451" t="s">
        <v>57</v>
      </c>
      <c r="R1014" s="451"/>
      <c r="S1014" s="451"/>
      <c r="T1014" s="52" t="s">
        <v>41</v>
      </c>
      <c r="U1014" s="452">
        <f>$F$8/$L$1*O1014</f>
        <v>0</v>
      </c>
      <c r="V1014" s="452"/>
      <c r="W1014" s="61" t="s">
        <v>46</v>
      </c>
      <c r="X1014" s="62"/>
    </row>
    <row r="1015" spans="1:24" ht="18.75" customHeight="1">
      <c r="A1015" s="55" t="s">
        <v>58</v>
      </c>
      <c r="B1015" s="52" t="s">
        <v>41</v>
      </c>
      <c r="C1015" s="56"/>
      <c r="D1015" s="57" t="s">
        <v>59</v>
      </c>
      <c r="E1015" s="441" t="s">
        <v>60</v>
      </c>
      <c r="F1015" s="441"/>
      <c r="G1015" s="441"/>
      <c r="H1015" s="52" t="s">
        <v>41</v>
      </c>
      <c r="I1015" s="452" t="e">
        <f>I1011/C1011/8*C1015</f>
        <v>#DIV/0!</v>
      </c>
      <c r="J1015" s="452"/>
      <c r="K1015" s="61" t="s">
        <v>46</v>
      </c>
      <c r="L1015" s="62">
        <f>F1008*C1015/L1001/8*1.5</f>
        <v>0</v>
      </c>
      <c r="M1015" s="55" t="s">
        <v>58</v>
      </c>
      <c r="N1015" s="52" t="s">
        <v>41</v>
      </c>
      <c r="O1015" s="56"/>
      <c r="P1015" s="57" t="s">
        <v>59</v>
      </c>
      <c r="Q1015" s="441" t="s">
        <v>60</v>
      </c>
      <c r="R1015" s="441"/>
      <c r="S1015" s="441"/>
      <c r="T1015" s="52" t="s">
        <v>41</v>
      </c>
      <c r="U1015" s="452" t="e">
        <f>U1011/O1011/8*O1015</f>
        <v>#DIV/0!</v>
      </c>
      <c r="V1015" s="452"/>
      <c r="W1015" s="61" t="s">
        <v>46</v>
      </c>
      <c r="X1015" s="62">
        <f>R1008*O1015/X1001/8*1.5</f>
        <v>0</v>
      </c>
    </row>
    <row r="1016" spans="1:24" ht="18.75" customHeight="1">
      <c r="A1016" s="440" t="s">
        <v>61</v>
      </c>
      <c r="B1016" s="441"/>
      <c r="C1016" s="56"/>
      <c r="D1016" s="57" t="s">
        <v>50</v>
      </c>
      <c r="E1016" s="441" t="s">
        <v>62</v>
      </c>
      <c r="F1016" s="441"/>
      <c r="G1016" s="441"/>
      <c r="H1016" s="63" t="s">
        <v>41</v>
      </c>
      <c r="I1016" s="452"/>
      <c r="J1016" s="452"/>
      <c r="K1016" s="61" t="s">
        <v>46</v>
      </c>
      <c r="L1016" s="62"/>
      <c r="M1016" s="440" t="s">
        <v>61</v>
      </c>
      <c r="N1016" s="441"/>
      <c r="O1016" s="56"/>
      <c r="P1016" s="57" t="s">
        <v>50</v>
      </c>
      <c r="Q1016" s="441" t="s">
        <v>62</v>
      </c>
      <c r="R1016" s="441"/>
      <c r="S1016" s="441"/>
      <c r="T1016" s="63" t="s">
        <v>41</v>
      </c>
      <c r="U1016" s="452"/>
      <c r="V1016" s="452"/>
      <c r="W1016" s="61" t="s">
        <v>46</v>
      </c>
      <c r="X1016" s="62"/>
    </row>
    <row r="1017" spans="1:24" ht="18.75" customHeight="1">
      <c r="A1017" s="55" t="s">
        <v>63</v>
      </c>
      <c r="B1017" s="52" t="s">
        <v>41</v>
      </c>
      <c r="C1017" s="56"/>
      <c r="D1017" s="57" t="s">
        <v>50</v>
      </c>
      <c r="E1017" s="441" t="s">
        <v>64</v>
      </c>
      <c r="F1017" s="441"/>
      <c r="G1017" s="441"/>
      <c r="H1017" s="52" t="s">
        <v>41</v>
      </c>
      <c r="I1017" s="452"/>
      <c r="J1017" s="452"/>
      <c r="K1017" s="61" t="s">
        <v>46</v>
      </c>
      <c r="L1017" s="62"/>
      <c r="M1017" s="55" t="s">
        <v>63</v>
      </c>
      <c r="N1017" s="52" t="s">
        <v>41</v>
      </c>
      <c r="O1017" s="56"/>
      <c r="P1017" s="57" t="s">
        <v>50</v>
      </c>
      <c r="Q1017" s="441" t="s">
        <v>64</v>
      </c>
      <c r="R1017" s="441"/>
      <c r="S1017" s="441"/>
      <c r="T1017" s="52" t="s">
        <v>41</v>
      </c>
      <c r="U1017" s="452"/>
      <c r="V1017" s="452"/>
      <c r="W1017" s="61" t="s">
        <v>46</v>
      </c>
      <c r="X1017" s="62"/>
    </row>
    <row r="1018" spans="1:24" ht="18.75" customHeight="1">
      <c r="A1018" s="64" t="s">
        <v>65</v>
      </c>
      <c r="B1018" s="52"/>
      <c r="C1018" s="56"/>
      <c r="D1018" s="57" t="s">
        <v>59</v>
      </c>
      <c r="E1018" s="441" t="s">
        <v>66</v>
      </c>
      <c r="F1018" s="441"/>
      <c r="G1018" s="441"/>
      <c r="H1018" s="52" t="s">
        <v>41</v>
      </c>
      <c r="I1018" s="452">
        <f>$F$8*C1018/8/$L$1</f>
        <v>0</v>
      </c>
      <c r="J1018" s="452"/>
      <c r="K1018" s="61" t="s">
        <v>46</v>
      </c>
      <c r="L1018" s="62"/>
      <c r="M1018" s="64" t="s">
        <v>65</v>
      </c>
      <c r="N1018" s="52"/>
      <c r="O1018" s="56"/>
      <c r="P1018" s="57" t="s">
        <v>59</v>
      </c>
      <c r="Q1018" s="441" t="s">
        <v>66</v>
      </c>
      <c r="R1018" s="441"/>
      <c r="S1018" s="441"/>
      <c r="T1018" s="52" t="s">
        <v>41</v>
      </c>
      <c r="U1018" s="452">
        <f>$F$8*O1018/8/$L$1</f>
        <v>0</v>
      </c>
      <c r="V1018" s="452"/>
      <c r="W1018" s="61" t="s">
        <v>46</v>
      </c>
      <c r="X1018" s="62"/>
    </row>
    <row r="1019" spans="1:24" ht="18.75" customHeight="1">
      <c r="A1019" s="55" t="s">
        <v>67</v>
      </c>
      <c r="B1019" s="52" t="s">
        <v>41</v>
      </c>
      <c r="C1019" s="56"/>
      <c r="D1019" s="57" t="s">
        <v>59</v>
      </c>
      <c r="E1019" s="441" t="s">
        <v>68</v>
      </c>
      <c r="F1019" s="441"/>
      <c r="G1019" s="441"/>
      <c r="H1019" s="52" t="s">
        <v>41</v>
      </c>
      <c r="I1019" s="454"/>
      <c r="J1019" s="454"/>
      <c r="K1019" s="61" t="s">
        <v>46</v>
      </c>
      <c r="L1019" s="62"/>
      <c r="M1019" s="55" t="s">
        <v>67</v>
      </c>
      <c r="N1019" s="52" t="s">
        <v>41</v>
      </c>
      <c r="O1019" s="56"/>
      <c r="P1019" s="57" t="s">
        <v>59</v>
      </c>
      <c r="Q1019" s="441" t="s">
        <v>68</v>
      </c>
      <c r="R1019" s="441"/>
      <c r="S1019" s="441"/>
      <c r="T1019" s="52" t="s">
        <v>41</v>
      </c>
      <c r="U1019" s="454"/>
      <c r="V1019" s="454"/>
      <c r="W1019" s="61" t="s">
        <v>46</v>
      </c>
      <c r="X1019" s="62"/>
    </row>
    <row r="1020" spans="1:24" ht="18.75" customHeight="1">
      <c r="A1020" s="55" t="s">
        <v>69</v>
      </c>
      <c r="B1020" s="52" t="s">
        <v>41</v>
      </c>
      <c r="C1020" s="56"/>
      <c r="D1020" s="57" t="s">
        <v>70</v>
      </c>
      <c r="E1020" s="53" t="s">
        <v>71</v>
      </c>
      <c r="F1020" s="53"/>
      <c r="G1020" s="53"/>
      <c r="H1020" s="52" t="s">
        <v>41</v>
      </c>
      <c r="I1020" s="452"/>
      <c r="J1020" s="452"/>
      <c r="K1020" s="61" t="s">
        <v>46</v>
      </c>
      <c r="L1020" s="62" t="e">
        <f>+IF(L1011-I1011&lt;0,0,L1011-I1011)+IF(L1015-I1015&lt;0,0,L1015-I1015)</f>
        <v>#DIV/0!</v>
      </c>
      <c r="M1020" s="55" t="s">
        <v>69</v>
      </c>
      <c r="N1020" s="52" t="s">
        <v>41</v>
      </c>
      <c r="O1020" s="56"/>
      <c r="P1020" s="57" t="s">
        <v>70</v>
      </c>
      <c r="Q1020" s="53" t="s">
        <v>71</v>
      </c>
      <c r="R1020" s="53"/>
      <c r="S1020" s="53"/>
      <c r="T1020" s="52" t="s">
        <v>41</v>
      </c>
      <c r="U1020" s="452"/>
      <c r="V1020" s="452"/>
      <c r="W1020" s="61" t="s">
        <v>46</v>
      </c>
      <c r="X1020" s="62" t="e">
        <f>+IF(X1011-U1011&lt;0,0,X1011-U1011)+IF(X1015-U1015&lt;0,0,X1015-U1015)</f>
        <v>#DIV/0!</v>
      </c>
    </row>
    <row r="1021" spans="1:24" ht="18.75" customHeight="1">
      <c r="A1021" s="65" t="s">
        <v>72</v>
      </c>
      <c r="B1021" s="66"/>
      <c r="C1021" s="56"/>
      <c r="D1021" s="57" t="s">
        <v>50</v>
      </c>
      <c r="E1021" s="441" t="s">
        <v>73</v>
      </c>
      <c r="F1021" s="441"/>
      <c r="G1021" s="441"/>
      <c r="H1021" s="52" t="s">
        <v>41</v>
      </c>
      <c r="I1021" s="452"/>
      <c r="J1021" s="452"/>
      <c r="K1021" s="61" t="s">
        <v>46</v>
      </c>
      <c r="L1021" s="62"/>
      <c r="M1021" s="65" t="s">
        <v>72</v>
      </c>
      <c r="N1021" s="66"/>
      <c r="O1021" s="56"/>
      <c r="P1021" s="57" t="s">
        <v>50</v>
      </c>
      <c r="Q1021" s="441" t="s">
        <v>73</v>
      </c>
      <c r="R1021" s="441"/>
      <c r="S1021" s="441"/>
      <c r="T1021" s="52" t="s">
        <v>41</v>
      </c>
      <c r="U1021" s="452"/>
      <c r="V1021" s="452"/>
      <c r="W1021" s="61" t="s">
        <v>46</v>
      </c>
      <c r="X1021" s="62"/>
    </row>
    <row r="1022" spans="1:24" ht="18.75" customHeight="1">
      <c r="A1022" s="477" t="s">
        <v>74</v>
      </c>
      <c r="B1022" s="453"/>
      <c r="C1022" s="56"/>
      <c r="D1022" s="57"/>
      <c r="E1022" s="58"/>
      <c r="F1022" s="58"/>
      <c r="G1022" s="58"/>
      <c r="H1022" s="52" t="s">
        <v>41</v>
      </c>
      <c r="I1022" s="452"/>
      <c r="J1022" s="452"/>
      <c r="K1022" s="61" t="s">
        <v>46</v>
      </c>
      <c r="L1022" s="62"/>
      <c r="M1022" s="477" t="s">
        <v>74</v>
      </c>
      <c r="N1022" s="453"/>
      <c r="O1022" s="56"/>
      <c r="P1022" s="57"/>
      <c r="Q1022" s="58"/>
      <c r="R1022" s="58"/>
      <c r="S1022" s="58"/>
      <c r="T1022" s="52" t="s">
        <v>41</v>
      </c>
      <c r="U1022" s="452"/>
      <c r="V1022" s="452"/>
      <c r="W1022" s="61" t="s">
        <v>46</v>
      </c>
      <c r="X1022" s="62"/>
    </row>
    <row r="1023" spans="1:24" ht="18.75" customHeight="1">
      <c r="A1023" s="55" t="s">
        <v>75</v>
      </c>
      <c r="B1023" s="52" t="s">
        <v>41</v>
      </c>
      <c r="C1023" s="56"/>
      <c r="D1023" s="57"/>
      <c r="E1023" s="58" t="s">
        <v>76</v>
      </c>
      <c r="F1023" s="58"/>
      <c r="G1023" s="58"/>
      <c r="H1023" s="52" t="s">
        <v>41</v>
      </c>
      <c r="I1023" s="452" t="e">
        <f>L1020</f>
        <v>#DIV/0!</v>
      </c>
      <c r="J1023" s="452"/>
      <c r="K1023" s="61" t="s">
        <v>46</v>
      </c>
      <c r="L1023" s="62"/>
      <c r="M1023" s="55" t="s">
        <v>75</v>
      </c>
      <c r="N1023" s="52" t="s">
        <v>41</v>
      </c>
      <c r="O1023" s="56"/>
      <c r="P1023" s="57"/>
      <c r="Q1023" s="58" t="s">
        <v>76</v>
      </c>
      <c r="R1023" s="58"/>
      <c r="S1023" s="58"/>
      <c r="T1023" s="52" t="s">
        <v>41</v>
      </c>
      <c r="U1023" s="452" t="e">
        <f>X1020</f>
        <v>#DIV/0!</v>
      </c>
      <c r="V1023" s="452"/>
      <c r="W1023" s="61" t="s">
        <v>46</v>
      </c>
      <c r="X1023" s="62"/>
    </row>
    <row r="1024" spans="1:24" ht="18.75" customHeight="1">
      <c r="A1024" s="456" t="s">
        <v>77</v>
      </c>
      <c r="B1024" s="457"/>
      <c r="C1024" s="457"/>
      <c r="D1024" s="457"/>
      <c r="E1024" s="457"/>
      <c r="F1024" s="457"/>
      <c r="G1024" s="52" t="s">
        <v>41</v>
      </c>
      <c r="H1024" s="459" t="e">
        <f>I1011+I1012+I1013+I1014+I1015+I1018+I1022+I1023</f>
        <v>#DIV/0!</v>
      </c>
      <c r="I1024" s="459"/>
      <c r="J1024" s="459"/>
      <c r="K1024" s="61" t="s">
        <v>46</v>
      </c>
      <c r="M1024" s="456" t="s">
        <v>77</v>
      </c>
      <c r="N1024" s="457"/>
      <c r="O1024" s="457"/>
      <c r="P1024" s="457"/>
      <c r="Q1024" s="457"/>
      <c r="R1024" s="457"/>
      <c r="S1024" s="52" t="s">
        <v>41</v>
      </c>
      <c r="T1024" s="459" t="e">
        <f>U1011+U1012+U1013+U1014+U1015+U1018+U1022+U1023</f>
        <v>#DIV/0!</v>
      </c>
      <c r="U1024" s="459"/>
      <c r="V1024" s="459"/>
      <c r="W1024" s="61" t="s">
        <v>46</v>
      </c>
    </row>
    <row r="1025" spans="1:24" ht="18.75" customHeight="1">
      <c r="A1025" s="67"/>
      <c r="B1025" s="68"/>
      <c r="C1025" s="68"/>
      <c r="D1025" s="68"/>
      <c r="E1025" s="68"/>
      <c r="F1025" s="68"/>
      <c r="G1025" s="68"/>
      <c r="H1025" s="68"/>
      <c r="I1025" s="68"/>
      <c r="J1025" s="68"/>
      <c r="K1025" s="69"/>
      <c r="M1025" s="67"/>
      <c r="N1025" s="68"/>
      <c r="O1025" s="68"/>
      <c r="P1025" s="68"/>
      <c r="Q1025" s="68"/>
      <c r="R1025" s="68"/>
      <c r="S1025" s="68"/>
      <c r="T1025" s="68"/>
      <c r="U1025" s="68"/>
      <c r="V1025" s="68"/>
      <c r="W1025" s="69"/>
    </row>
    <row r="1026" spans="1:24" ht="18.75" customHeight="1">
      <c r="A1026" s="468" t="s">
        <v>78</v>
      </c>
      <c r="B1026" s="469"/>
      <c r="C1026" s="469"/>
      <c r="D1026" s="469"/>
      <c r="E1026" s="469"/>
      <c r="F1026" s="469"/>
      <c r="G1026" s="52"/>
      <c r="H1026" s="52"/>
      <c r="I1026" s="52"/>
      <c r="J1026" s="52"/>
      <c r="K1026" s="61"/>
      <c r="M1026" s="468" t="s">
        <v>78</v>
      </c>
      <c r="N1026" s="469"/>
      <c r="O1026" s="469"/>
      <c r="P1026" s="469"/>
      <c r="Q1026" s="469"/>
      <c r="R1026" s="469"/>
      <c r="S1026" s="52"/>
      <c r="T1026" s="52"/>
      <c r="U1026" s="52"/>
      <c r="V1026" s="52"/>
      <c r="W1026" s="61"/>
    </row>
    <row r="1027" spans="1:24" ht="18.75" customHeight="1">
      <c r="A1027" s="462" t="s">
        <v>79</v>
      </c>
      <c r="B1027" s="463"/>
      <c r="C1027" s="463"/>
      <c r="D1027" s="463"/>
      <c r="E1027" s="463"/>
      <c r="F1027" s="463"/>
      <c r="G1027" s="52" t="s">
        <v>41</v>
      </c>
      <c r="H1027" s="470">
        <f>IF(($L$1-(C1011+C1012+C1013+C1014))&gt;12,0,F1008*8%)</f>
        <v>0</v>
      </c>
      <c r="I1027" s="470"/>
      <c r="J1027" s="470"/>
      <c r="K1027" s="61" t="s">
        <v>46</v>
      </c>
      <c r="M1027" s="462" t="s">
        <v>79</v>
      </c>
      <c r="N1027" s="463"/>
      <c r="O1027" s="463"/>
      <c r="P1027" s="463"/>
      <c r="Q1027" s="463"/>
      <c r="R1027" s="463"/>
      <c r="S1027" s="52" t="s">
        <v>41</v>
      </c>
      <c r="T1027" s="470">
        <f>IF(($L$1-(O1011+O1012+O1013+O1014))&gt;12,0,R1008*8%)</f>
        <v>0</v>
      </c>
      <c r="U1027" s="470"/>
      <c r="V1027" s="470"/>
      <c r="W1027" s="61" t="s">
        <v>46</v>
      </c>
    </row>
    <row r="1028" spans="1:24" ht="18.75" customHeight="1">
      <c r="A1028" s="462" t="s">
        <v>80</v>
      </c>
      <c r="B1028" s="463"/>
      <c r="C1028" s="463"/>
      <c r="D1028" s="463"/>
      <c r="E1028" s="463"/>
      <c r="F1028" s="463"/>
      <c r="G1028" s="52" t="s">
        <v>41</v>
      </c>
      <c r="H1028" s="464">
        <f>IF(($L$1-(C1011+C1012+C1013+C1014))&gt;12,0,F1008*1.5%)</f>
        <v>0</v>
      </c>
      <c r="I1028" s="464"/>
      <c r="J1028" s="464"/>
      <c r="K1028" s="61" t="s">
        <v>46</v>
      </c>
      <c r="M1028" s="462" t="s">
        <v>80</v>
      </c>
      <c r="N1028" s="463"/>
      <c r="O1028" s="463"/>
      <c r="P1028" s="463"/>
      <c r="Q1028" s="463"/>
      <c r="R1028" s="463"/>
      <c r="S1028" s="52" t="s">
        <v>41</v>
      </c>
      <c r="T1028" s="464">
        <f>IF(($L$1-(O1011+O1012+O1013+O1014))&gt;12,0,R1008*1.5%)</f>
        <v>0</v>
      </c>
      <c r="U1028" s="464"/>
      <c r="V1028" s="464"/>
      <c r="W1028" s="61" t="s">
        <v>46</v>
      </c>
    </row>
    <row r="1029" spans="1:24" ht="18.75" customHeight="1">
      <c r="A1029" s="462" t="s">
        <v>81</v>
      </c>
      <c r="B1029" s="463"/>
      <c r="C1029" s="463"/>
      <c r="D1029" s="463"/>
      <c r="E1029" s="463"/>
      <c r="F1029" s="463"/>
      <c r="G1029" s="52" t="s">
        <v>41</v>
      </c>
      <c r="H1029" s="464">
        <f>IF(($L$1-(C1011+C1012+C1013+C1014))&gt;12,0,F1008*1%)</f>
        <v>0</v>
      </c>
      <c r="I1029" s="464"/>
      <c r="J1029" s="464"/>
      <c r="K1029" s="61" t="s">
        <v>46</v>
      </c>
      <c r="M1029" s="462" t="s">
        <v>81</v>
      </c>
      <c r="N1029" s="463"/>
      <c r="O1029" s="463"/>
      <c r="P1029" s="463"/>
      <c r="Q1029" s="463"/>
      <c r="R1029" s="463"/>
      <c r="S1029" s="52" t="s">
        <v>41</v>
      </c>
      <c r="T1029" s="464">
        <f>IF(($L$1-(O1011+O1012+O1013+O1014))&gt;12,0,R1008*1%)</f>
        <v>0</v>
      </c>
      <c r="U1029" s="464"/>
      <c r="V1029" s="464"/>
      <c r="W1029" s="61" t="s">
        <v>46</v>
      </c>
    </row>
    <row r="1030" spans="1:24" ht="18.75" customHeight="1">
      <c r="A1030" s="462" t="s">
        <v>82</v>
      </c>
      <c r="B1030" s="463"/>
      <c r="C1030" s="463"/>
      <c r="D1030" s="463"/>
      <c r="E1030" s="463"/>
      <c r="F1030" s="463"/>
      <c r="G1030" s="52" t="s">
        <v>41</v>
      </c>
      <c r="H1030" s="464">
        <v>0</v>
      </c>
      <c r="I1030" s="464"/>
      <c r="J1030" s="464"/>
      <c r="K1030" s="61" t="s">
        <v>46</v>
      </c>
      <c r="M1030" s="462" t="s">
        <v>82</v>
      </c>
      <c r="N1030" s="463"/>
      <c r="O1030" s="463"/>
      <c r="P1030" s="463"/>
      <c r="Q1030" s="463"/>
      <c r="R1030" s="463"/>
      <c r="S1030" s="52" t="s">
        <v>41</v>
      </c>
      <c r="T1030" s="464">
        <v>0</v>
      </c>
      <c r="U1030" s="464"/>
      <c r="V1030" s="464"/>
      <c r="W1030" s="61" t="s">
        <v>46</v>
      </c>
    </row>
    <row r="1031" spans="1:24" ht="18.75" customHeight="1">
      <c r="A1031" s="465" t="s">
        <v>83</v>
      </c>
      <c r="B1031" s="466"/>
      <c r="C1031" s="466"/>
      <c r="D1031" s="466"/>
      <c r="E1031" s="466"/>
      <c r="F1031" s="466"/>
      <c r="G1031" s="52" t="s">
        <v>41</v>
      </c>
      <c r="H1031" s="467">
        <f>SUM(H1027:J1030)</f>
        <v>0</v>
      </c>
      <c r="I1031" s="467"/>
      <c r="J1031" s="467"/>
      <c r="K1031" s="61" t="s">
        <v>46</v>
      </c>
      <c r="M1031" s="465" t="s">
        <v>83</v>
      </c>
      <c r="N1031" s="466"/>
      <c r="O1031" s="466"/>
      <c r="P1031" s="466"/>
      <c r="Q1031" s="466"/>
      <c r="R1031" s="466"/>
      <c r="S1031" s="52" t="s">
        <v>41</v>
      </c>
      <c r="T1031" s="467">
        <f>SUM(T1027:V1030)</f>
        <v>0</v>
      </c>
      <c r="U1031" s="467"/>
      <c r="V1031" s="467"/>
      <c r="W1031" s="61" t="s">
        <v>46</v>
      </c>
    </row>
    <row r="1032" spans="1:24" ht="18.75" customHeight="1">
      <c r="A1032" s="462" t="s">
        <v>84</v>
      </c>
      <c r="B1032" s="463"/>
      <c r="C1032" s="463"/>
      <c r="D1032" s="463"/>
      <c r="E1032" s="463"/>
      <c r="F1032" s="463"/>
      <c r="G1032" s="52" t="s">
        <v>41</v>
      </c>
      <c r="H1032" s="475" t="e">
        <f>ROUND(H1024-H1031,-2)</f>
        <v>#DIV/0!</v>
      </c>
      <c r="I1032" s="475"/>
      <c r="J1032" s="475"/>
      <c r="K1032" s="61" t="s">
        <v>46</v>
      </c>
      <c r="M1032" s="462" t="s">
        <v>84</v>
      </c>
      <c r="N1032" s="463"/>
      <c r="O1032" s="463"/>
      <c r="P1032" s="463"/>
      <c r="Q1032" s="463"/>
      <c r="R1032" s="463"/>
      <c r="S1032" s="52" t="s">
        <v>41</v>
      </c>
      <c r="T1032" s="475" t="e">
        <f>ROUND(T1024-T1031,-2)</f>
        <v>#DIV/0!</v>
      </c>
      <c r="U1032" s="475"/>
      <c r="V1032" s="475"/>
      <c r="W1032" s="61" t="s">
        <v>46</v>
      </c>
    </row>
    <row r="1033" spans="1:24" ht="18.75" customHeight="1">
      <c r="A1033" s="70"/>
      <c r="B1033" s="71"/>
      <c r="C1033" s="71"/>
      <c r="D1033" s="71"/>
      <c r="E1033" s="71"/>
      <c r="F1033" s="71"/>
      <c r="G1033" s="71"/>
      <c r="H1033" s="71"/>
      <c r="I1033" s="71"/>
      <c r="J1033" s="71"/>
      <c r="K1033" s="72"/>
      <c r="M1033" s="70"/>
      <c r="N1033" s="71"/>
      <c r="O1033" s="71"/>
      <c r="P1033" s="71"/>
      <c r="Q1033" s="71"/>
      <c r="R1033" s="71"/>
      <c r="S1033" s="71"/>
      <c r="T1033" s="71"/>
      <c r="U1033" s="71"/>
      <c r="V1033" s="71"/>
      <c r="W1033" s="72"/>
    </row>
    <row r="1034" spans="1:24" ht="18.75" customHeight="1">
      <c r="A1034" s="73"/>
      <c r="B1034" s="52"/>
      <c r="C1034" s="52"/>
      <c r="D1034" s="52"/>
      <c r="E1034" s="52"/>
      <c r="F1034" s="52"/>
      <c r="G1034" s="52"/>
      <c r="H1034" s="52"/>
      <c r="I1034" s="472" t="s">
        <v>85</v>
      </c>
      <c r="J1034" s="472"/>
      <c r="K1034" s="476"/>
      <c r="M1034" s="73"/>
      <c r="N1034" s="52"/>
      <c r="O1034" s="52"/>
      <c r="P1034" s="52"/>
      <c r="Q1034" s="52"/>
      <c r="R1034" s="52"/>
      <c r="S1034" s="52"/>
      <c r="T1034" s="52"/>
      <c r="U1034" s="472" t="s">
        <v>85</v>
      </c>
      <c r="V1034" s="472"/>
      <c r="W1034" s="476"/>
    </row>
    <row r="1035" spans="1:24" ht="18.75" customHeight="1">
      <c r="A1035" s="73"/>
      <c r="B1035" s="471"/>
      <c r="C1035" s="472"/>
      <c r="D1035" s="472"/>
      <c r="E1035" s="472"/>
      <c r="F1035" s="52"/>
      <c r="G1035" s="52"/>
      <c r="H1035" s="52"/>
      <c r="I1035" s="52"/>
      <c r="J1035" s="52"/>
      <c r="K1035" s="54"/>
      <c r="M1035" s="73"/>
      <c r="N1035" s="471"/>
      <c r="O1035" s="472"/>
      <c r="P1035" s="472"/>
      <c r="Q1035" s="472"/>
      <c r="R1035" s="52"/>
      <c r="S1035" s="52"/>
      <c r="T1035" s="52"/>
      <c r="U1035" s="52"/>
      <c r="V1035" s="52"/>
      <c r="W1035" s="54"/>
    </row>
    <row r="1036" spans="1:24" ht="18.75" customHeight="1" thickBot="1">
      <c r="A1036" s="75"/>
      <c r="B1036" s="76"/>
      <c r="C1036" s="76"/>
      <c r="D1036" s="76"/>
      <c r="E1036" s="76"/>
      <c r="F1036" s="76"/>
      <c r="G1036" s="76"/>
      <c r="H1036" s="76"/>
      <c r="I1036" s="473" t="s">
        <v>86</v>
      </c>
      <c r="J1036" s="473"/>
      <c r="K1036" s="474"/>
      <c r="M1036" s="75"/>
      <c r="N1036" s="76"/>
      <c r="O1036" s="76"/>
      <c r="P1036" s="76"/>
      <c r="Q1036" s="76"/>
      <c r="R1036" s="76"/>
      <c r="S1036" s="76"/>
      <c r="T1036" s="76"/>
      <c r="U1036" s="473" t="s">
        <v>86</v>
      </c>
      <c r="V1036" s="473"/>
      <c r="W1036" s="474"/>
    </row>
    <row r="1037" spans="1:24" ht="18.75" customHeight="1" thickTop="1" thickBot="1"/>
    <row r="1038" spans="1:24" ht="18.75" customHeight="1" thickTop="1">
      <c r="A1038" s="445" t="s">
        <v>13</v>
      </c>
      <c r="B1038" s="446"/>
      <c r="C1038" s="446"/>
      <c r="D1038" s="446"/>
      <c r="E1038" s="446"/>
      <c r="F1038" s="446"/>
      <c r="G1038" s="446"/>
      <c r="H1038" s="446"/>
      <c r="I1038" s="446"/>
      <c r="J1038" s="446"/>
      <c r="K1038" s="447"/>
      <c r="L1038" s="48">
        <v>24</v>
      </c>
      <c r="M1038" s="445" t="s">
        <v>13</v>
      </c>
      <c r="N1038" s="446"/>
      <c r="O1038" s="446"/>
      <c r="P1038" s="446"/>
      <c r="Q1038" s="446"/>
      <c r="R1038" s="446"/>
      <c r="S1038" s="446"/>
      <c r="T1038" s="446"/>
      <c r="U1038" s="446"/>
      <c r="V1038" s="446"/>
      <c r="W1038" s="447"/>
      <c r="X1038" s="48">
        <v>24</v>
      </c>
    </row>
    <row r="1039" spans="1:24" ht="18.75" customHeight="1">
      <c r="A1039" s="49" t="s">
        <v>143</v>
      </c>
      <c r="B1039" s="50"/>
      <c r="C1039" s="50"/>
      <c r="D1039" s="50"/>
      <c r="E1039" s="50"/>
      <c r="F1039" s="50"/>
      <c r="G1039" s="50"/>
      <c r="H1039" s="50"/>
      <c r="I1039" s="50"/>
      <c r="J1039" s="50"/>
      <c r="K1039" s="51"/>
      <c r="M1039" s="49" t="s">
        <v>144</v>
      </c>
      <c r="N1039" s="50"/>
      <c r="O1039" s="50"/>
      <c r="P1039" s="50"/>
      <c r="Q1039" s="50"/>
      <c r="R1039" s="50"/>
      <c r="S1039" s="50"/>
      <c r="T1039" s="50"/>
      <c r="U1039" s="50"/>
      <c r="V1039" s="50"/>
      <c r="W1039" s="51"/>
    </row>
    <row r="1040" spans="1:24" ht="18.75" customHeight="1">
      <c r="A1040" s="448" t="s">
        <v>39</v>
      </c>
      <c r="B1040" s="449"/>
      <c r="C1040" s="449"/>
      <c r="D1040" s="449"/>
      <c r="E1040" s="449"/>
      <c r="F1040" s="449"/>
      <c r="G1040" s="449"/>
      <c r="H1040" s="449"/>
      <c r="I1040" s="449"/>
      <c r="J1040" s="449"/>
      <c r="K1040" s="450"/>
      <c r="M1040" s="448" t="s">
        <v>39</v>
      </c>
      <c r="N1040" s="449"/>
      <c r="O1040" s="449"/>
      <c r="P1040" s="449"/>
      <c r="Q1040" s="449"/>
      <c r="R1040" s="449"/>
      <c r="S1040" s="449"/>
      <c r="T1040" s="449"/>
      <c r="U1040" s="449"/>
      <c r="V1040" s="449"/>
      <c r="W1040" s="450"/>
    </row>
    <row r="1041" spans="1:24" ht="18.75" customHeight="1">
      <c r="A1041" s="440" t="s">
        <v>40</v>
      </c>
      <c r="B1041" s="441"/>
      <c r="C1041" s="441"/>
      <c r="D1041" s="441"/>
      <c r="E1041" s="52" t="s">
        <v>41</v>
      </c>
      <c r="F1041" s="441"/>
      <c r="G1041" s="441"/>
      <c r="H1041" s="441"/>
      <c r="I1041" s="441"/>
      <c r="J1041" s="441"/>
      <c r="K1041" s="444"/>
      <c r="M1041" s="440" t="s">
        <v>40</v>
      </c>
      <c r="N1041" s="441"/>
      <c r="O1041" s="441"/>
      <c r="P1041" s="441"/>
      <c r="Q1041" s="52" t="s">
        <v>41</v>
      </c>
      <c r="R1041" s="441"/>
      <c r="S1041" s="441"/>
      <c r="T1041" s="441"/>
      <c r="U1041" s="441"/>
      <c r="V1041" s="441"/>
      <c r="W1041" s="444"/>
    </row>
    <row r="1042" spans="1:24" ht="18.75" customHeight="1">
      <c r="A1042" s="440" t="s">
        <v>42</v>
      </c>
      <c r="B1042" s="441"/>
      <c r="C1042" s="441"/>
      <c r="D1042" s="441"/>
      <c r="E1042" s="52" t="s">
        <v>41</v>
      </c>
      <c r="F1042" s="442"/>
      <c r="G1042" s="442"/>
      <c r="H1042" s="442"/>
      <c r="I1042" s="442"/>
      <c r="J1042" s="442"/>
      <c r="K1042" s="443"/>
      <c r="M1042" s="440" t="s">
        <v>42</v>
      </c>
      <c r="N1042" s="441"/>
      <c r="O1042" s="441"/>
      <c r="P1042" s="441"/>
      <c r="Q1042" s="52" t="s">
        <v>41</v>
      </c>
      <c r="R1042" s="442"/>
      <c r="S1042" s="442"/>
      <c r="T1042" s="442"/>
      <c r="U1042" s="442"/>
      <c r="V1042" s="442"/>
      <c r="W1042" s="443"/>
    </row>
    <row r="1043" spans="1:24" ht="18.75" customHeight="1">
      <c r="A1043" s="440" t="s">
        <v>43</v>
      </c>
      <c r="B1043" s="441"/>
      <c r="C1043" s="441"/>
      <c r="D1043" s="441"/>
      <c r="E1043" s="52" t="s">
        <v>41</v>
      </c>
      <c r="F1043" s="441" t="s">
        <v>151</v>
      </c>
      <c r="G1043" s="441"/>
      <c r="H1043" s="441"/>
      <c r="I1043" s="441"/>
      <c r="J1043" s="441"/>
      <c r="K1043" s="444"/>
      <c r="M1043" s="440" t="s">
        <v>43</v>
      </c>
      <c r="N1043" s="441"/>
      <c r="O1043" s="441"/>
      <c r="P1043" s="441"/>
      <c r="Q1043" s="52" t="s">
        <v>41</v>
      </c>
      <c r="R1043" s="441" t="s">
        <v>151</v>
      </c>
      <c r="S1043" s="441"/>
      <c r="T1043" s="441"/>
      <c r="U1043" s="441"/>
      <c r="V1043" s="441"/>
      <c r="W1043" s="444"/>
    </row>
    <row r="1044" spans="1:24" ht="18.75" customHeight="1">
      <c r="A1044" s="448" t="s">
        <v>44</v>
      </c>
      <c r="B1044" s="449"/>
      <c r="C1044" s="449"/>
      <c r="D1044" s="449"/>
      <c r="E1044" s="449"/>
      <c r="F1044" s="449"/>
      <c r="G1044" s="449"/>
      <c r="H1044" s="449"/>
      <c r="I1044" s="449"/>
      <c r="J1044" s="449"/>
      <c r="K1044" s="450"/>
      <c r="M1044" s="448" t="s">
        <v>44</v>
      </c>
      <c r="N1044" s="449"/>
      <c r="O1044" s="449"/>
      <c r="P1044" s="449"/>
      <c r="Q1044" s="449"/>
      <c r="R1044" s="449"/>
      <c r="S1044" s="449"/>
      <c r="T1044" s="449"/>
      <c r="U1044" s="449"/>
      <c r="V1044" s="449"/>
      <c r="W1044" s="450"/>
    </row>
    <row r="1045" spans="1:24" ht="18.75" customHeight="1">
      <c r="A1045" s="440" t="s">
        <v>45</v>
      </c>
      <c r="B1045" s="441"/>
      <c r="C1045" s="441"/>
      <c r="D1045" s="441"/>
      <c r="E1045" s="52" t="s">
        <v>41</v>
      </c>
      <c r="F1045" s="455">
        <v>2915400</v>
      </c>
      <c r="G1045" s="455"/>
      <c r="H1045" s="455"/>
      <c r="I1045" s="455"/>
      <c r="J1045" s="52" t="s">
        <v>46</v>
      </c>
      <c r="K1045" s="54"/>
      <c r="M1045" s="440" t="s">
        <v>45</v>
      </c>
      <c r="N1045" s="441"/>
      <c r="O1045" s="441"/>
      <c r="P1045" s="441"/>
      <c r="Q1045" s="52" t="s">
        <v>41</v>
      </c>
      <c r="R1045" s="455">
        <v>2915400</v>
      </c>
      <c r="S1045" s="455"/>
      <c r="T1045" s="455"/>
      <c r="U1045" s="455"/>
      <c r="V1045" s="52" t="s">
        <v>46</v>
      </c>
      <c r="W1045" s="54"/>
    </row>
    <row r="1046" spans="1:24" ht="18.75" customHeight="1">
      <c r="A1046" s="55" t="s">
        <v>47</v>
      </c>
      <c r="B1046" s="52"/>
      <c r="C1046" s="56"/>
      <c r="D1046" s="57"/>
      <c r="E1046" s="58"/>
      <c r="F1046" s="58"/>
      <c r="G1046" s="58"/>
      <c r="H1046" s="52"/>
      <c r="I1046" s="59"/>
      <c r="J1046" s="60"/>
      <c r="K1046" s="61"/>
      <c r="M1046" s="55" t="s">
        <v>47</v>
      </c>
      <c r="N1046" s="52"/>
      <c r="O1046" s="56"/>
      <c r="P1046" s="57"/>
      <c r="Q1046" s="58"/>
      <c r="R1046" s="58"/>
      <c r="S1046" s="58"/>
      <c r="T1046" s="52"/>
      <c r="U1046" s="59"/>
      <c r="V1046" s="60"/>
      <c r="W1046" s="61"/>
    </row>
    <row r="1047" spans="1:24" ht="18.75" customHeight="1">
      <c r="A1047" s="55" t="s">
        <v>48</v>
      </c>
      <c r="B1047" s="52"/>
      <c r="C1047" s="56"/>
      <c r="D1047" s="57"/>
      <c r="E1047" s="58"/>
      <c r="F1047" s="58"/>
      <c r="G1047" s="58"/>
      <c r="H1047" s="52"/>
      <c r="I1047" s="59" t="e">
        <f>I1048/C1048/8</f>
        <v>#DIV/0!</v>
      </c>
      <c r="J1047" s="60"/>
      <c r="K1047" s="61"/>
      <c r="M1047" s="55" t="s">
        <v>48</v>
      </c>
      <c r="N1047" s="52"/>
      <c r="O1047" s="56"/>
      <c r="P1047" s="57"/>
      <c r="Q1047" s="58"/>
      <c r="R1047" s="58"/>
      <c r="S1047" s="58"/>
      <c r="T1047" s="52"/>
      <c r="U1047" s="59" t="e">
        <f>U1048/O1048/8</f>
        <v>#DIV/0!</v>
      </c>
      <c r="V1047" s="60"/>
      <c r="W1047" s="61"/>
    </row>
    <row r="1048" spans="1:24" ht="18.75" customHeight="1">
      <c r="A1048" s="55" t="s">
        <v>49</v>
      </c>
      <c r="B1048" s="52" t="s">
        <v>41</v>
      </c>
      <c r="C1048" s="56"/>
      <c r="D1048" s="57" t="s">
        <v>50</v>
      </c>
      <c r="E1048" s="453" t="s">
        <v>51</v>
      </c>
      <c r="F1048" s="453"/>
      <c r="G1048" s="453"/>
      <c r="H1048" s="52" t="s">
        <v>41</v>
      </c>
      <c r="I1048" s="454" t="e">
        <f>I1046*680/((C1048-C1055)*8+C1055*7+C1052)*((C1048-C1055)*8+C1055*7)</f>
        <v>#DIV/0!</v>
      </c>
      <c r="J1048" s="454"/>
      <c r="K1048" s="61" t="s">
        <v>46</v>
      </c>
      <c r="L1048" s="62">
        <f>F1045/L1038*C1048</f>
        <v>0</v>
      </c>
      <c r="M1048" s="55" t="s">
        <v>49</v>
      </c>
      <c r="N1048" s="52" t="s">
        <v>41</v>
      </c>
      <c r="O1048" s="56"/>
      <c r="P1048" s="57" t="s">
        <v>50</v>
      </c>
      <c r="Q1048" s="453" t="s">
        <v>51</v>
      </c>
      <c r="R1048" s="453"/>
      <c r="S1048" s="453"/>
      <c r="T1048" s="52" t="s">
        <v>41</v>
      </c>
      <c r="U1048" s="454" t="e">
        <f>U1046*680/((O1048-O1055)*8+O1055*7+O1052)*((O1048-O1055)*8+O1055*7)</f>
        <v>#DIV/0!</v>
      </c>
      <c r="V1048" s="454"/>
      <c r="W1048" s="61" t="s">
        <v>46</v>
      </c>
      <c r="X1048" s="62">
        <f>R1045/X1038*O1048</f>
        <v>0</v>
      </c>
    </row>
    <row r="1049" spans="1:24" ht="18.75" customHeight="1">
      <c r="A1049" s="55" t="s">
        <v>52</v>
      </c>
      <c r="B1049" s="52" t="s">
        <v>41</v>
      </c>
      <c r="C1049" s="56"/>
      <c r="D1049" s="57" t="s">
        <v>50</v>
      </c>
      <c r="E1049" s="441" t="s">
        <v>53</v>
      </c>
      <c r="F1049" s="441"/>
      <c r="G1049" s="441"/>
      <c r="H1049" s="52" t="s">
        <v>41</v>
      </c>
      <c r="I1049" s="452">
        <f>$F$8/$L$1*C1049</f>
        <v>0</v>
      </c>
      <c r="J1049" s="452"/>
      <c r="K1049" s="61" t="s">
        <v>46</v>
      </c>
      <c r="L1049" s="62"/>
      <c r="M1049" s="55" t="s">
        <v>52</v>
      </c>
      <c r="N1049" s="52" t="s">
        <v>41</v>
      </c>
      <c r="O1049" s="56"/>
      <c r="P1049" s="57" t="s">
        <v>50</v>
      </c>
      <c r="Q1049" s="441" t="s">
        <v>53</v>
      </c>
      <c r="R1049" s="441"/>
      <c r="S1049" s="441"/>
      <c r="T1049" s="52" t="s">
        <v>41</v>
      </c>
      <c r="U1049" s="452">
        <f>$F$8/$L$1*O1049</f>
        <v>0</v>
      </c>
      <c r="V1049" s="452"/>
      <c r="W1049" s="61" t="s">
        <v>46</v>
      </c>
      <c r="X1049" s="62"/>
    </row>
    <row r="1050" spans="1:24" ht="18.75" customHeight="1">
      <c r="A1050" s="55" t="s">
        <v>54</v>
      </c>
      <c r="B1050" s="52" t="s">
        <v>41</v>
      </c>
      <c r="C1050" s="56"/>
      <c r="D1050" s="57" t="s">
        <v>50</v>
      </c>
      <c r="E1050" s="451" t="s">
        <v>55</v>
      </c>
      <c r="F1050" s="451"/>
      <c r="G1050" s="451"/>
      <c r="H1050" s="52" t="s">
        <v>41</v>
      </c>
      <c r="I1050" s="452">
        <f>$F$8/$L$1*C1050</f>
        <v>0</v>
      </c>
      <c r="J1050" s="452"/>
      <c r="K1050" s="61" t="s">
        <v>46</v>
      </c>
      <c r="L1050" s="62"/>
      <c r="M1050" s="55" t="s">
        <v>54</v>
      </c>
      <c r="N1050" s="52" t="s">
        <v>41</v>
      </c>
      <c r="O1050" s="56"/>
      <c r="P1050" s="57" t="s">
        <v>50</v>
      </c>
      <c r="Q1050" s="451" t="s">
        <v>55</v>
      </c>
      <c r="R1050" s="451"/>
      <c r="S1050" s="451"/>
      <c r="T1050" s="52" t="s">
        <v>41</v>
      </c>
      <c r="U1050" s="452">
        <f>$F$8/$L$1*O1050</f>
        <v>0</v>
      </c>
      <c r="V1050" s="452"/>
      <c r="W1050" s="61" t="s">
        <v>46</v>
      </c>
      <c r="X1050" s="62"/>
    </row>
    <row r="1051" spans="1:24" ht="18.75" customHeight="1">
      <c r="A1051" s="55" t="s">
        <v>56</v>
      </c>
      <c r="B1051" s="52" t="s">
        <v>41</v>
      </c>
      <c r="C1051" s="56"/>
      <c r="D1051" s="57" t="s">
        <v>50</v>
      </c>
      <c r="E1051" s="451" t="s">
        <v>57</v>
      </c>
      <c r="F1051" s="451"/>
      <c r="G1051" s="451"/>
      <c r="H1051" s="52" t="s">
        <v>41</v>
      </c>
      <c r="I1051" s="452">
        <f>$F$8/$L$1*C1051</f>
        <v>0</v>
      </c>
      <c r="J1051" s="452"/>
      <c r="K1051" s="61" t="s">
        <v>46</v>
      </c>
      <c r="L1051" s="62"/>
      <c r="M1051" s="55" t="s">
        <v>56</v>
      </c>
      <c r="N1051" s="52" t="s">
        <v>41</v>
      </c>
      <c r="O1051" s="56"/>
      <c r="P1051" s="57" t="s">
        <v>50</v>
      </c>
      <c r="Q1051" s="451" t="s">
        <v>57</v>
      </c>
      <c r="R1051" s="451"/>
      <c r="S1051" s="451"/>
      <c r="T1051" s="52" t="s">
        <v>41</v>
      </c>
      <c r="U1051" s="452">
        <f>$F$8/$L$1*O1051</f>
        <v>0</v>
      </c>
      <c r="V1051" s="452"/>
      <c r="W1051" s="61" t="s">
        <v>46</v>
      </c>
      <c r="X1051" s="62"/>
    </row>
    <row r="1052" spans="1:24" ht="18.75" customHeight="1">
      <c r="A1052" s="55" t="s">
        <v>58</v>
      </c>
      <c r="B1052" s="52" t="s">
        <v>41</v>
      </c>
      <c r="C1052" s="56"/>
      <c r="D1052" s="57" t="s">
        <v>59</v>
      </c>
      <c r="E1052" s="441" t="s">
        <v>60</v>
      </c>
      <c r="F1052" s="441"/>
      <c r="G1052" s="441"/>
      <c r="H1052" s="52" t="s">
        <v>41</v>
      </c>
      <c r="I1052" s="452" t="e">
        <f>I1048/C1048/8*C1052</f>
        <v>#DIV/0!</v>
      </c>
      <c r="J1052" s="452"/>
      <c r="K1052" s="61" t="s">
        <v>46</v>
      </c>
      <c r="L1052" s="62">
        <f>F1045*C1052/L1038/8*1.5</f>
        <v>0</v>
      </c>
      <c r="M1052" s="55" t="s">
        <v>58</v>
      </c>
      <c r="N1052" s="52" t="s">
        <v>41</v>
      </c>
      <c r="O1052" s="56"/>
      <c r="P1052" s="57" t="s">
        <v>59</v>
      </c>
      <c r="Q1052" s="441" t="s">
        <v>60</v>
      </c>
      <c r="R1052" s="441"/>
      <c r="S1052" s="441"/>
      <c r="T1052" s="52" t="s">
        <v>41</v>
      </c>
      <c r="U1052" s="452" t="e">
        <f>U1048/O1048/8*O1052</f>
        <v>#DIV/0!</v>
      </c>
      <c r="V1052" s="452"/>
      <c r="W1052" s="61" t="s">
        <v>46</v>
      </c>
      <c r="X1052" s="62">
        <f>R1045*O1052/X1038/8*1.5</f>
        <v>0</v>
      </c>
    </row>
    <row r="1053" spans="1:24" ht="18.75" customHeight="1">
      <c r="A1053" s="440" t="s">
        <v>61</v>
      </c>
      <c r="B1053" s="441"/>
      <c r="C1053" s="56"/>
      <c r="D1053" s="57" t="s">
        <v>50</v>
      </c>
      <c r="E1053" s="441" t="s">
        <v>62</v>
      </c>
      <c r="F1053" s="441"/>
      <c r="G1053" s="441"/>
      <c r="H1053" s="63" t="s">
        <v>41</v>
      </c>
      <c r="I1053" s="452"/>
      <c r="J1053" s="452"/>
      <c r="K1053" s="61" t="s">
        <v>46</v>
      </c>
      <c r="L1053" s="62"/>
      <c r="M1053" s="440" t="s">
        <v>61</v>
      </c>
      <c r="N1053" s="441"/>
      <c r="O1053" s="56"/>
      <c r="P1053" s="57" t="s">
        <v>50</v>
      </c>
      <c r="Q1053" s="441" t="s">
        <v>62</v>
      </c>
      <c r="R1053" s="441"/>
      <c r="S1053" s="441"/>
      <c r="T1053" s="63" t="s">
        <v>41</v>
      </c>
      <c r="U1053" s="452"/>
      <c r="V1053" s="452"/>
      <c r="W1053" s="61" t="s">
        <v>46</v>
      </c>
      <c r="X1053" s="62"/>
    </row>
    <row r="1054" spans="1:24" ht="18.75" customHeight="1">
      <c r="A1054" s="55" t="s">
        <v>63</v>
      </c>
      <c r="B1054" s="52" t="s">
        <v>41</v>
      </c>
      <c r="C1054" s="56"/>
      <c r="D1054" s="57" t="s">
        <v>50</v>
      </c>
      <c r="E1054" s="441" t="s">
        <v>64</v>
      </c>
      <c r="F1054" s="441"/>
      <c r="G1054" s="441"/>
      <c r="H1054" s="52" t="s">
        <v>41</v>
      </c>
      <c r="I1054" s="452"/>
      <c r="J1054" s="452"/>
      <c r="K1054" s="61" t="s">
        <v>46</v>
      </c>
      <c r="L1054" s="62"/>
      <c r="M1054" s="55" t="s">
        <v>63</v>
      </c>
      <c r="N1054" s="52" t="s">
        <v>41</v>
      </c>
      <c r="O1054" s="56"/>
      <c r="P1054" s="57" t="s">
        <v>50</v>
      </c>
      <c r="Q1054" s="441" t="s">
        <v>64</v>
      </c>
      <c r="R1054" s="441"/>
      <c r="S1054" s="441"/>
      <c r="T1054" s="52" t="s">
        <v>41</v>
      </c>
      <c r="U1054" s="452"/>
      <c r="V1054" s="452"/>
      <c r="W1054" s="61" t="s">
        <v>46</v>
      </c>
      <c r="X1054" s="62"/>
    </row>
    <row r="1055" spans="1:24" ht="18.75" customHeight="1">
      <c r="A1055" s="64" t="s">
        <v>65</v>
      </c>
      <c r="B1055" s="52"/>
      <c r="C1055" s="56"/>
      <c r="D1055" s="57" t="s">
        <v>59</v>
      </c>
      <c r="E1055" s="441" t="s">
        <v>66</v>
      </c>
      <c r="F1055" s="441"/>
      <c r="G1055" s="441"/>
      <c r="H1055" s="52" t="s">
        <v>41</v>
      </c>
      <c r="I1055" s="452">
        <f>$F$8*C1055/8/$L$1</f>
        <v>0</v>
      </c>
      <c r="J1055" s="452"/>
      <c r="K1055" s="61" t="s">
        <v>46</v>
      </c>
      <c r="L1055" s="62"/>
      <c r="M1055" s="64" t="s">
        <v>65</v>
      </c>
      <c r="N1055" s="52"/>
      <c r="O1055" s="56"/>
      <c r="P1055" s="57" t="s">
        <v>59</v>
      </c>
      <c r="Q1055" s="441" t="s">
        <v>66</v>
      </c>
      <c r="R1055" s="441"/>
      <c r="S1055" s="441"/>
      <c r="T1055" s="52" t="s">
        <v>41</v>
      </c>
      <c r="U1055" s="452">
        <f>$F$8*O1055/8/$L$1</f>
        <v>0</v>
      </c>
      <c r="V1055" s="452"/>
      <c r="W1055" s="61" t="s">
        <v>46</v>
      </c>
      <c r="X1055" s="62"/>
    </row>
    <row r="1056" spans="1:24" ht="18.75" customHeight="1">
      <c r="A1056" s="55" t="s">
        <v>67</v>
      </c>
      <c r="B1056" s="52" t="s">
        <v>41</v>
      </c>
      <c r="C1056" s="56"/>
      <c r="D1056" s="57" t="s">
        <v>59</v>
      </c>
      <c r="E1056" s="441" t="s">
        <v>68</v>
      </c>
      <c r="F1056" s="441"/>
      <c r="G1056" s="441"/>
      <c r="H1056" s="52" t="s">
        <v>41</v>
      </c>
      <c r="I1056" s="454"/>
      <c r="J1056" s="454"/>
      <c r="K1056" s="61" t="s">
        <v>46</v>
      </c>
      <c r="L1056" s="62"/>
      <c r="M1056" s="55" t="s">
        <v>67</v>
      </c>
      <c r="N1056" s="52" t="s">
        <v>41</v>
      </c>
      <c r="O1056" s="56"/>
      <c r="P1056" s="57" t="s">
        <v>59</v>
      </c>
      <c r="Q1056" s="441" t="s">
        <v>68</v>
      </c>
      <c r="R1056" s="441"/>
      <c r="S1056" s="441"/>
      <c r="T1056" s="52" t="s">
        <v>41</v>
      </c>
      <c r="U1056" s="454"/>
      <c r="V1056" s="454"/>
      <c r="W1056" s="61" t="s">
        <v>46</v>
      </c>
      <c r="X1056" s="62"/>
    </row>
    <row r="1057" spans="1:24" ht="18.75" customHeight="1">
      <c r="A1057" s="55" t="s">
        <v>69</v>
      </c>
      <c r="B1057" s="52" t="s">
        <v>41</v>
      </c>
      <c r="C1057" s="56"/>
      <c r="D1057" s="57" t="s">
        <v>70</v>
      </c>
      <c r="E1057" s="53" t="s">
        <v>71</v>
      </c>
      <c r="F1057" s="53"/>
      <c r="G1057" s="53"/>
      <c r="H1057" s="52" t="s">
        <v>41</v>
      </c>
      <c r="I1057" s="452"/>
      <c r="J1057" s="452"/>
      <c r="K1057" s="61" t="s">
        <v>46</v>
      </c>
      <c r="L1057" s="62" t="e">
        <f>+IF(L1048-I1048&lt;0,0,L1048-I1048)+IF(L1052-I1052&lt;0,0,L1052-I1052)</f>
        <v>#DIV/0!</v>
      </c>
      <c r="M1057" s="55" t="s">
        <v>69</v>
      </c>
      <c r="N1057" s="52" t="s">
        <v>41</v>
      </c>
      <c r="O1057" s="56"/>
      <c r="P1057" s="57" t="s">
        <v>70</v>
      </c>
      <c r="Q1057" s="53" t="s">
        <v>71</v>
      </c>
      <c r="R1057" s="53"/>
      <c r="S1057" s="53"/>
      <c r="T1057" s="52" t="s">
        <v>41</v>
      </c>
      <c r="U1057" s="452"/>
      <c r="V1057" s="452"/>
      <c r="W1057" s="61" t="s">
        <v>46</v>
      </c>
      <c r="X1057" s="62" t="e">
        <f>+IF(X1048-U1048&lt;0,0,X1048-U1048)+IF(X1052-U1052&lt;0,0,X1052-U1052)</f>
        <v>#DIV/0!</v>
      </c>
    </row>
    <row r="1058" spans="1:24" ht="18.75" customHeight="1">
      <c r="A1058" s="65" t="s">
        <v>72</v>
      </c>
      <c r="B1058" s="66"/>
      <c r="C1058" s="56"/>
      <c r="D1058" s="57" t="s">
        <v>50</v>
      </c>
      <c r="E1058" s="441" t="s">
        <v>73</v>
      </c>
      <c r="F1058" s="441"/>
      <c r="G1058" s="441"/>
      <c r="H1058" s="52" t="s">
        <v>41</v>
      </c>
      <c r="I1058" s="452"/>
      <c r="J1058" s="452"/>
      <c r="K1058" s="61" t="s">
        <v>46</v>
      </c>
      <c r="L1058" s="62"/>
      <c r="M1058" s="65" t="s">
        <v>72</v>
      </c>
      <c r="N1058" s="66"/>
      <c r="O1058" s="56"/>
      <c r="P1058" s="57" t="s">
        <v>50</v>
      </c>
      <c r="Q1058" s="441" t="s">
        <v>73</v>
      </c>
      <c r="R1058" s="441"/>
      <c r="S1058" s="441"/>
      <c r="T1058" s="52" t="s">
        <v>41</v>
      </c>
      <c r="U1058" s="452"/>
      <c r="V1058" s="452"/>
      <c r="W1058" s="61" t="s">
        <v>46</v>
      </c>
      <c r="X1058" s="62"/>
    </row>
    <row r="1059" spans="1:24" ht="18.75" customHeight="1">
      <c r="A1059" s="477" t="s">
        <v>74</v>
      </c>
      <c r="B1059" s="453"/>
      <c r="C1059" s="56"/>
      <c r="D1059" s="57"/>
      <c r="E1059" s="58"/>
      <c r="F1059" s="58"/>
      <c r="G1059" s="58"/>
      <c r="H1059" s="52" t="s">
        <v>41</v>
      </c>
      <c r="I1059" s="452"/>
      <c r="J1059" s="452"/>
      <c r="K1059" s="61" t="s">
        <v>46</v>
      </c>
      <c r="L1059" s="62"/>
      <c r="M1059" s="477" t="s">
        <v>74</v>
      </c>
      <c r="N1059" s="453"/>
      <c r="O1059" s="56"/>
      <c r="P1059" s="57"/>
      <c r="Q1059" s="58"/>
      <c r="R1059" s="58"/>
      <c r="S1059" s="58"/>
      <c r="T1059" s="52" t="s">
        <v>41</v>
      </c>
      <c r="U1059" s="452"/>
      <c r="V1059" s="452"/>
      <c r="W1059" s="61" t="s">
        <v>46</v>
      </c>
      <c r="X1059" s="62"/>
    </row>
    <row r="1060" spans="1:24" ht="18.75" customHeight="1">
      <c r="A1060" s="55" t="s">
        <v>75</v>
      </c>
      <c r="B1060" s="52" t="s">
        <v>41</v>
      </c>
      <c r="C1060" s="56"/>
      <c r="D1060" s="57"/>
      <c r="E1060" s="58" t="s">
        <v>76</v>
      </c>
      <c r="F1060" s="58"/>
      <c r="G1060" s="58"/>
      <c r="H1060" s="52" t="s">
        <v>41</v>
      </c>
      <c r="I1060" s="452" t="e">
        <f>L1057</f>
        <v>#DIV/0!</v>
      </c>
      <c r="J1060" s="452"/>
      <c r="K1060" s="61" t="s">
        <v>46</v>
      </c>
      <c r="L1060" s="62"/>
      <c r="M1060" s="55" t="s">
        <v>75</v>
      </c>
      <c r="N1060" s="52" t="s">
        <v>41</v>
      </c>
      <c r="O1060" s="56"/>
      <c r="P1060" s="57"/>
      <c r="Q1060" s="58" t="s">
        <v>76</v>
      </c>
      <c r="R1060" s="58"/>
      <c r="S1060" s="58"/>
      <c r="T1060" s="52" t="s">
        <v>41</v>
      </c>
      <c r="U1060" s="452" t="e">
        <f>X1057</f>
        <v>#DIV/0!</v>
      </c>
      <c r="V1060" s="452"/>
      <c r="W1060" s="61" t="s">
        <v>46</v>
      </c>
      <c r="X1060" s="62"/>
    </row>
    <row r="1061" spans="1:24" ht="18.75" customHeight="1">
      <c r="A1061" s="456" t="s">
        <v>77</v>
      </c>
      <c r="B1061" s="457"/>
      <c r="C1061" s="457"/>
      <c r="D1061" s="457"/>
      <c r="E1061" s="457"/>
      <c r="F1061" s="457"/>
      <c r="G1061" s="52" t="s">
        <v>41</v>
      </c>
      <c r="H1061" s="459" t="e">
        <f>I1048+I1049+I1050+I1051+I1052+I1055+I1059+I1060</f>
        <v>#DIV/0!</v>
      </c>
      <c r="I1061" s="459"/>
      <c r="J1061" s="459"/>
      <c r="K1061" s="61" t="s">
        <v>46</v>
      </c>
      <c r="M1061" s="456" t="s">
        <v>77</v>
      </c>
      <c r="N1061" s="457"/>
      <c r="O1061" s="457"/>
      <c r="P1061" s="457"/>
      <c r="Q1061" s="457"/>
      <c r="R1061" s="457"/>
      <c r="S1061" s="52" t="s">
        <v>41</v>
      </c>
      <c r="T1061" s="459" t="e">
        <f>U1048+U1049+U1050+U1051+U1052+U1055+U1059+U1060</f>
        <v>#DIV/0!</v>
      </c>
      <c r="U1061" s="459"/>
      <c r="V1061" s="459"/>
      <c r="W1061" s="61" t="s">
        <v>46</v>
      </c>
    </row>
    <row r="1062" spans="1:24" ht="18.75" customHeight="1">
      <c r="A1062" s="67"/>
      <c r="B1062" s="68"/>
      <c r="C1062" s="68"/>
      <c r="D1062" s="68"/>
      <c r="E1062" s="68"/>
      <c r="F1062" s="68"/>
      <c r="G1062" s="68"/>
      <c r="H1062" s="68"/>
      <c r="I1062" s="68"/>
      <c r="J1062" s="68"/>
      <c r="K1062" s="69"/>
      <c r="M1062" s="67"/>
      <c r="N1062" s="68"/>
      <c r="O1062" s="68"/>
      <c r="P1062" s="68"/>
      <c r="Q1062" s="68"/>
      <c r="R1062" s="68"/>
      <c r="S1062" s="68"/>
      <c r="T1062" s="68"/>
      <c r="U1062" s="68"/>
      <c r="V1062" s="68"/>
      <c r="W1062" s="69"/>
    </row>
    <row r="1063" spans="1:24" ht="18.75" customHeight="1">
      <c r="A1063" s="468" t="s">
        <v>78</v>
      </c>
      <c r="B1063" s="469"/>
      <c r="C1063" s="469"/>
      <c r="D1063" s="469"/>
      <c r="E1063" s="469"/>
      <c r="F1063" s="469"/>
      <c r="G1063" s="52"/>
      <c r="H1063" s="52"/>
      <c r="I1063" s="52"/>
      <c r="J1063" s="52"/>
      <c r="K1063" s="61"/>
      <c r="M1063" s="468" t="s">
        <v>78</v>
      </c>
      <c r="N1063" s="469"/>
      <c r="O1063" s="469"/>
      <c r="P1063" s="469"/>
      <c r="Q1063" s="469"/>
      <c r="R1063" s="469"/>
      <c r="S1063" s="52"/>
      <c r="T1063" s="52"/>
      <c r="U1063" s="52"/>
      <c r="V1063" s="52"/>
      <c r="W1063" s="61"/>
    </row>
    <row r="1064" spans="1:24" ht="18.75" customHeight="1">
      <c r="A1064" s="462" t="s">
        <v>79</v>
      </c>
      <c r="B1064" s="463"/>
      <c r="C1064" s="463"/>
      <c r="D1064" s="463"/>
      <c r="E1064" s="463"/>
      <c r="F1064" s="463"/>
      <c r="G1064" s="52" t="s">
        <v>41</v>
      </c>
      <c r="H1064" s="470">
        <f>IF(($L$1-(C1048+C1049+C1050+C1051))&gt;12,0,F1045*8%)</f>
        <v>0</v>
      </c>
      <c r="I1064" s="470"/>
      <c r="J1064" s="470"/>
      <c r="K1064" s="61" t="s">
        <v>46</v>
      </c>
      <c r="M1064" s="462" t="s">
        <v>79</v>
      </c>
      <c r="N1064" s="463"/>
      <c r="O1064" s="463"/>
      <c r="P1064" s="463"/>
      <c r="Q1064" s="463"/>
      <c r="R1064" s="463"/>
      <c r="S1064" s="52" t="s">
        <v>41</v>
      </c>
      <c r="T1064" s="470">
        <f>IF(($L$1-(O1048+O1049+O1050+O1051))&gt;12,0,R1045*8%)</f>
        <v>0</v>
      </c>
      <c r="U1064" s="470"/>
      <c r="V1064" s="470"/>
      <c r="W1064" s="61" t="s">
        <v>46</v>
      </c>
    </row>
    <row r="1065" spans="1:24" ht="18.75" customHeight="1">
      <c r="A1065" s="462" t="s">
        <v>80</v>
      </c>
      <c r="B1065" s="463"/>
      <c r="C1065" s="463"/>
      <c r="D1065" s="463"/>
      <c r="E1065" s="463"/>
      <c r="F1065" s="463"/>
      <c r="G1065" s="52" t="s">
        <v>41</v>
      </c>
      <c r="H1065" s="464">
        <f>IF(($L$1-(C1048+C1049+C1050+C1051))&gt;12,0,F1045*1.5%)</f>
        <v>0</v>
      </c>
      <c r="I1065" s="464"/>
      <c r="J1065" s="464"/>
      <c r="K1065" s="61" t="s">
        <v>46</v>
      </c>
      <c r="M1065" s="462" t="s">
        <v>80</v>
      </c>
      <c r="N1065" s="463"/>
      <c r="O1065" s="463"/>
      <c r="P1065" s="463"/>
      <c r="Q1065" s="463"/>
      <c r="R1065" s="463"/>
      <c r="S1065" s="52" t="s">
        <v>41</v>
      </c>
      <c r="T1065" s="464">
        <f>IF(($L$1-(O1048+O1049+O1050+O1051))&gt;12,0,R1045*1.5%)</f>
        <v>0</v>
      </c>
      <c r="U1065" s="464"/>
      <c r="V1065" s="464"/>
      <c r="W1065" s="61" t="s">
        <v>46</v>
      </c>
    </row>
    <row r="1066" spans="1:24" ht="18.75" customHeight="1">
      <c r="A1066" s="462" t="s">
        <v>81</v>
      </c>
      <c r="B1066" s="463"/>
      <c r="C1066" s="463"/>
      <c r="D1066" s="463"/>
      <c r="E1066" s="463"/>
      <c r="F1066" s="463"/>
      <c r="G1066" s="52" t="s">
        <v>41</v>
      </c>
      <c r="H1066" s="464">
        <f>IF(($L$1-(C1048+C1049+C1050+C1051))&gt;12,0,F1045*1%)</f>
        <v>0</v>
      </c>
      <c r="I1066" s="464"/>
      <c r="J1066" s="464"/>
      <c r="K1066" s="61" t="s">
        <v>46</v>
      </c>
      <c r="M1066" s="462" t="s">
        <v>81</v>
      </c>
      <c r="N1066" s="463"/>
      <c r="O1066" s="463"/>
      <c r="P1066" s="463"/>
      <c r="Q1066" s="463"/>
      <c r="R1066" s="463"/>
      <c r="S1066" s="52" t="s">
        <v>41</v>
      </c>
      <c r="T1066" s="464">
        <f>IF(($L$1-(O1048+O1049+O1050+O1051))&gt;12,0,R1045*1%)</f>
        <v>0</v>
      </c>
      <c r="U1066" s="464"/>
      <c r="V1066" s="464"/>
      <c r="W1066" s="61" t="s">
        <v>46</v>
      </c>
    </row>
    <row r="1067" spans="1:24" ht="18.75" customHeight="1">
      <c r="A1067" s="462" t="s">
        <v>82</v>
      </c>
      <c r="B1067" s="463"/>
      <c r="C1067" s="463"/>
      <c r="D1067" s="463"/>
      <c r="E1067" s="463"/>
      <c r="F1067" s="463"/>
      <c r="G1067" s="52" t="s">
        <v>41</v>
      </c>
      <c r="H1067" s="464">
        <v>0</v>
      </c>
      <c r="I1067" s="464"/>
      <c r="J1067" s="464"/>
      <c r="K1067" s="61" t="s">
        <v>46</v>
      </c>
      <c r="M1067" s="462" t="s">
        <v>82</v>
      </c>
      <c r="N1067" s="463"/>
      <c r="O1067" s="463"/>
      <c r="P1067" s="463"/>
      <c r="Q1067" s="463"/>
      <c r="R1067" s="463"/>
      <c r="S1067" s="52" t="s">
        <v>41</v>
      </c>
      <c r="T1067" s="464">
        <v>0</v>
      </c>
      <c r="U1067" s="464"/>
      <c r="V1067" s="464"/>
      <c r="W1067" s="61" t="s">
        <v>46</v>
      </c>
    </row>
    <row r="1068" spans="1:24" ht="18.75" customHeight="1">
      <c r="A1068" s="465" t="s">
        <v>83</v>
      </c>
      <c r="B1068" s="466"/>
      <c r="C1068" s="466"/>
      <c r="D1068" s="466"/>
      <c r="E1068" s="466"/>
      <c r="F1068" s="466"/>
      <c r="G1068" s="52" t="s">
        <v>41</v>
      </c>
      <c r="H1068" s="467">
        <f>SUM(H1064:J1067)</f>
        <v>0</v>
      </c>
      <c r="I1068" s="467"/>
      <c r="J1068" s="467"/>
      <c r="K1068" s="61" t="s">
        <v>46</v>
      </c>
      <c r="M1068" s="465" t="s">
        <v>83</v>
      </c>
      <c r="N1068" s="466"/>
      <c r="O1068" s="466"/>
      <c r="P1068" s="466"/>
      <c r="Q1068" s="466"/>
      <c r="R1068" s="466"/>
      <c r="S1068" s="52" t="s">
        <v>41</v>
      </c>
      <c r="T1068" s="467">
        <f>SUM(T1064:V1067)</f>
        <v>0</v>
      </c>
      <c r="U1068" s="467"/>
      <c r="V1068" s="467"/>
      <c r="W1068" s="61" t="s">
        <v>46</v>
      </c>
    </row>
    <row r="1069" spans="1:24" ht="18.75" customHeight="1">
      <c r="A1069" s="462" t="s">
        <v>84</v>
      </c>
      <c r="B1069" s="463"/>
      <c r="C1069" s="463"/>
      <c r="D1069" s="463"/>
      <c r="E1069" s="463"/>
      <c r="F1069" s="463"/>
      <c r="G1069" s="52" t="s">
        <v>41</v>
      </c>
      <c r="H1069" s="475" t="e">
        <f>ROUND(H1061-H1068,-2)</f>
        <v>#DIV/0!</v>
      </c>
      <c r="I1069" s="475"/>
      <c r="J1069" s="475"/>
      <c r="K1069" s="61" t="s">
        <v>46</v>
      </c>
      <c r="M1069" s="462" t="s">
        <v>84</v>
      </c>
      <c r="N1069" s="463"/>
      <c r="O1069" s="463"/>
      <c r="P1069" s="463"/>
      <c r="Q1069" s="463"/>
      <c r="R1069" s="463"/>
      <c r="S1069" s="52" t="s">
        <v>41</v>
      </c>
      <c r="T1069" s="475" t="e">
        <f>ROUND(T1061-T1068,-2)</f>
        <v>#DIV/0!</v>
      </c>
      <c r="U1069" s="475"/>
      <c r="V1069" s="475"/>
      <c r="W1069" s="61" t="s">
        <v>46</v>
      </c>
    </row>
    <row r="1070" spans="1:24" ht="18.75" customHeight="1">
      <c r="A1070" s="70"/>
      <c r="B1070" s="71"/>
      <c r="C1070" s="71"/>
      <c r="D1070" s="71"/>
      <c r="E1070" s="71"/>
      <c r="F1070" s="71"/>
      <c r="G1070" s="71"/>
      <c r="H1070" s="71"/>
      <c r="I1070" s="71"/>
      <c r="J1070" s="71"/>
      <c r="K1070" s="72"/>
      <c r="M1070" s="70"/>
      <c r="N1070" s="71"/>
      <c r="O1070" s="71"/>
      <c r="P1070" s="71"/>
      <c r="Q1070" s="71"/>
      <c r="R1070" s="71"/>
      <c r="S1070" s="71"/>
      <c r="T1070" s="71"/>
      <c r="U1070" s="71"/>
      <c r="V1070" s="71"/>
      <c r="W1070" s="72"/>
    </row>
    <row r="1071" spans="1:24" ht="18.75" customHeight="1">
      <c r="A1071" s="73"/>
      <c r="B1071" s="52"/>
      <c r="C1071" s="52"/>
      <c r="D1071" s="52"/>
      <c r="E1071" s="52"/>
      <c r="F1071" s="52"/>
      <c r="G1071" s="52"/>
      <c r="H1071" s="52"/>
      <c r="I1071" s="472" t="s">
        <v>85</v>
      </c>
      <c r="J1071" s="472"/>
      <c r="K1071" s="476"/>
      <c r="M1071" s="73"/>
      <c r="N1071" s="52"/>
      <c r="O1071" s="52"/>
      <c r="P1071" s="52"/>
      <c r="Q1071" s="52"/>
      <c r="R1071" s="52"/>
      <c r="S1071" s="52"/>
      <c r="T1071" s="52"/>
      <c r="U1071" s="472" t="s">
        <v>85</v>
      </c>
      <c r="V1071" s="472"/>
      <c r="W1071" s="476"/>
    </row>
    <row r="1072" spans="1:24" ht="18.75" customHeight="1">
      <c r="A1072" s="73"/>
      <c r="B1072" s="471"/>
      <c r="C1072" s="472"/>
      <c r="D1072" s="472"/>
      <c r="E1072" s="472"/>
      <c r="F1072" s="52"/>
      <c r="G1072" s="52"/>
      <c r="H1072" s="52"/>
      <c r="I1072" s="52"/>
      <c r="J1072" s="52"/>
      <c r="K1072" s="54"/>
      <c r="M1072" s="73"/>
      <c r="N1072" s="471"/>
      <c r="O1072" s="472"/>
      <c r="P1072" s="472"/>
      <c r="Q1072" s="472"/>
      <c r="R1072" s="52"/>
      <c r="S1072" s="52"/>
      <c r="T1072" s="52"/>
      <c r="U1072" s="52"/>
      <c r="V1072" s="52"/>
      <c r="W1072" s="54"/>
    </row>
    <row r="1073" spans="1:24" ht="18.75" customHeight="1" thickBot="1">
      <c r="A1073" s="75"/>
      <c r="B1073" s="76"/>
      <c r="C1073" s="76"/>
      <c r="D1073" s="76"/>
      <c r="E1073" s="76"/>
      <c r="F1073" s="76"/>
      <c r="G1073" s="76"/>
      <c r="H1073" s="76"/>
      <c r="I1073" s="473" t="s">
        <v>86</v>
      </c>
      <c r="J1073" s="473"/>
      <c r="K1073" s="474"/>
      <c r="M1073" s="75"/>
      <c r="N1073" s="76"/>
      <c r="O1073" s="76"/>
      <c r="P1073" s="76"/>
      <c r="Q1073" s="76"/>
      <c r="R1073" s="76"/>
      <c r="S1073" s="76"/>
      <c r="T1073" s="76"/>
      <c r="U1073" s="473" t="s">
        <v>86</v>
      </c>
      <c r="V1073" s="473"/>
      <c r="W1073" s="474"/>
    </row>
    <row r="1074" spans="1:24" ht="18.75" customHeight="1" thickTop="1" thickBot="1"/>
    <row r="1075" spans="1:24" ht="18.75" customHeight="1" thickTop="1">
      <c r="A1075" s="445" t="s">
        <v>13</v>
      </c>
      <c r="B1075" s="446"/>
      <c r="C1075" s="446"/>
      <c r="D1075" s="446"/>
      <c r="E1075" s="446"/>
      <c r="F1075" s="446"/>
      <c r="G1075" s="446"/>
      <c r="H1075" s="446"/>
      <c r="I1075" s="446"/>
      <c r="J1075" s="446"/>
      <c r="K1075" s="447"/>
      <c r="L1075" s="48">
        <v>24</v>
      </c>
      <c r="M1075" s="445" t="s">
        <v>13</v>
      </c>
      <c r="N1075" s="446"/>
      <c r="O1075" s="446"/>
      <c r="P1075" s="446"/>
      <c r="Q1075" s="446"/>
      <c r="R1075" s="446"/>
      <c r="S1075" s="446"/>
      <c r="T1075" s="446"/>
      <c r="U1075" s="446"/>
      <c r="V1075" s="446"/>
      <c r="W1075" s="447"/>
      <c r="X1075" s="48">
        <v>24</v>
      </c>
    </row>
    <row r="1076" spans="1:24" ht="18.75" customHeight="1">
      <c r="A1076" s="49" t="s">
        <v>145</v>
      </c>
      <c r="B1076" s="50"/>
      <c r="C1076" s="50"/>
      <c r="D1076" s="50"/>
      <c r="E1076" s="50"/>
      <c r="F1076" s="50"/>
      <c r="G1076" s="50"/>
      <c r="H1076" s="50"/>
      <c r="I1076" s="50"/>
      <c r="J1076" s="50"/>
      <c r="K1076" s="51"/>
      <c r="M1076" s="49" t="s">
        <v>146</v>
      </c>
      <c r="N1076" s="50"/>
      <c r="O1076" s="50"/>
      <c r="P1076" s="50"/>
      <c r="Q1076" s="50"/>
      <c r="R1076" s="50"/>
      <c r="S1076" s="50"/>
      <c r="T1076" s="50"/>
      <c r="U1076" s="50"/>
      <c r="V1076" s="50"/>
      <c r="W1076" s="51"/>
    </row>
    <row r="1077" spans="1:24" ht="18.75" customHeight="1">
      <c r="A1077" s="448" t="s">
        <v>39</v>
      </c>
      <c r="B1077" s="449"/>
      <c r="C1077" s="449"/>
      <c r="D1077" s="449"/>
      <c r="E1077" s="449"/>
      <c r="F1077" s="449"/>
      <c r="G1077" s="449"/>
      <c r="H1077" s="449"/>
      <c r="I1077" s="449"/>
      <c r="J1077" s="449"/>
      <c r="K1077" s="450"/>
      <c r="M1077" s="448" t="s">
        <v>39</v>
      </c>
      <c r="N1077" s="449"/>
      <c r="O1077" s="449"/>
      <c r="P1077" s="449"/>
      <c r="Q1077" s="449"/>
      <c r="R1077" s="449"/>
      <c r="S1077" s="449"/>
      <c r="T1077" s="449"/>
      <c r="U1077" s="449"/>
      <c r="V1077" s="449"/>
      <c r="W1077" s="450"/>
    </row>
    <row r="1078" spans="1:24" ht="18.75" customHeight="1">
      <c r="A1078" s="440" t="s">
        <v>40</v>
      </c>
      <c r="B1078" s="441"/>
      <c r="C1078" s="441"/>
      <c r="D1078" s="441"/>
      <c r="E1078" s="52" t="s">
        <v>41</v>
      </c>
      <c r="F1078" s="441"/>
      <c r="G1078" s="441"/>
      <c r="H1078" s="441"/>
      <c r="I1078" s="441"/>
      <c r="J1078" s="441"/>
      <c r="K1078" s="444"/>
      <c r="M1078" s="440" t="s">
        <v>40</v>
      </c>
      <c r="N1078" s="441"/>
      <c r="O1078" s="441"/>
      <c r="P1078" s="441"/>
      <c r="Q1078" s="52" t="s">
        <v>41</v>
      </c>
      <c r="R1078" s="441"/>
      <c r="S1078" s="441"/>
      <c r="T1078" s="441"/>
      <c r="U1078" s="441"/>
      <c r="V1078" s="441"/>
      <c r="W1078" s="444"/>
    </row>
    <row r="1079" spans="1:24" ht="18.75" customHeight="1">
      <c r="A1079" s="440" t="s">
        <v>42</v>
      </c>
      <c r="B1079" s="441"/>
      <c r="C1079" s="441"/>
      <c r="D1079" s="441"/>
      <c r="E1079" s="52" t="s">
        <v>41</v>
      </c>
      <c r="F1079" s="442"/>
      <c r="G1079" s="442"/>
      <c r="H1079" s="442"/>
      <c r="I1079" s="442"/>
      <c r="J1079" s="442"/>
      <c r="K1079" s="443"/>
      <c r="M1079" s="440" t="s">
        <v>42</v>
      </c>
      <c r="N1079" s="441"/>
      <c r="O1079" s="441"/>
      <c r="P1079" s="441"/>
      <c r="Q1079" s="52" t="s">
        <v>41</v>
      </c>
      <c r="R1079" s="442"/>
      <c r="S1079" s="442"/>
      <c r="T1079" s="442"/>
      <c r="U1079" s="442"/>
      <c r="V1079" s="442"/>
      <c r="W1079" s="443"/>
    </row>
    <row r="1080" spans="1:24" ht="18.75" customHeight="1">
      <c r="A1080" s="440" t="s">
        <v>43</v>
      </c>
      <c r="B1080" s="441"/>
      <c r="C1080" s="441"/>
      <c r="D1080" s="441"/>
      <c r="E1080" s="52" t="s">
        <v>41</v>
      </c>
      <c r="F1080" s="441" t="s">
        <v>151</v>
      </c>
      <c r="G1080" s="441"/>
      <c r="H1080" s="441"/>
      <c r="I1080" s="441"/>
      <c r="J1080" s="441"/>
      <c r="K1080" s="444"/>
      <c r="M1080" s="440" t="s">
        <v>43</v>
      </c>
      <c r="N1080" s="441"/>
      <c r="O1080" s="441"/>
      <c r="P1080" s="441"/>
      <c r="Q1080" s="52" t="s">
        <v>41</v>
      </c>
      <c r="R1080" s="441" t="s">
        <v>151</v>
      </c>
      <c r="S1080" s="441"/>
      <c r="T1080" s="441"/>
      <c r="U1080" s="441"/>
      <c r="V1080" s="441"/>
      <c r="W1080" s="444"/>
    </row>
    <row r="1081" spans="1:24" ht="18.75" customHeight="1">
      <c r="A1081" s="448" t="s">
        <v>44</v>
      </c>
      <c r="B1081" s="449"/>
      <c r="C1081" s="449"/>
      <c r="D1081" s="449"/>
      <c r="E1081" s="449"/>
      <c r="F1081" s="449"/>
      <c r="G1081" s="449"/>
      <c r="H1081" s="449"/>
      <c r="I1081" s="449"/>
      <c r="J1081" s="449"/>
      <c r="K1081" s="450"/>
      <c r="M1081" s="448" t="s">
        <v>44</v>
      </c>
      <c r="N1081" s="449"/>
      <c r="O1081" s="449"/>
      <c r="P1081" s="449"/>
      <c r="Q1081" s="449"/>
      <c r="R1081" s="449"/>
      <c r="S1081" s="449"/>
      <c r="T1081" s="449"/>
      <c r="U1081" s="449"/>
      <c r="V1081" s="449"/>
      <c r="W1081" s="450"/>
    </row>
    <row r="1082" spans="1:24" ht="18.75" customHeight="1">
      <c r="A1082" s="440" t="s">
        <v>45</v>
      </c>
      <c r="B1082" s="441"/>
      <c r="C1082" s="441"/>
      <c r="D1082" s="441"/>
      <c r="E1082" s="52" t="s">
        <v>41</v>
      </c>
      <c r="F1082" s="455">
        <v>2915400</v>
      </c>
      <c r="G1082" s="455"/>
      <c r="H1082" s="455"/>
      <c r="I1082" s="455"/>
      <c r="J1082" s="52" t="s">
        <v>46</v>
      </c>
      <c r="K1082" s="54"/>
      <c r="M1082" s="440" t="s">
        <v>45</v>
      </c>
      <c r="N1082" s="441"/>
      <c r="O1082" s="441"/>
      <c r="P1082" s="441"/>
      <c r="Q1082" s="52" t="s">
        <v>41</v>
      </c>
      <c r="R1082" s="455">
        <v>2915400</v>
      </c>
      <c r="S1082" s="455"/>
      <c r="T1082" s="455"/>
      <c r="U1082" s="455"/>
      <c r="V1082" s="52" t="s">
        <v>46</v>
      </c>
      <c r="W1082" s="54"/>
    </row>
    <row r="1083" spans="1:24" ht="18.75" customHeight="1">
      <c r="A1083" s="55" t="s">
        <v>47</v>
      </c>
      <c r="B1083" s="52"/>
      <c r="C1083" s="56"/>
      <c r="D1083" s="57"/>
      <c r="E1083" s="58"/>
      <c r="F1083" s="58"/>
      <c r="G1083" s="58"/>
      <c r="H1083" s="52"/>
      <c r="I1083" s="59"/>
      <c r="J1083" s="60"/>
      <c r="K1083" s="61"/>
      <c r="M1083" s="55" t="s">
        <v>47</v>
      </c>
      <c r="N1083" s="52"/>
      <c r="O1083" s="56"/>
      <c r="P1083" s="57"/>
      <c r="Q1083" s="58"/>
      <c r="R1083" s="58"/>
      <c r="S1083" s="58"/>
      <c r="T1083" s="52"/>
      <c r="U1083" s="59"/>
      <c r="V1083" s="60"/>
      <c r="W1083" s="61"/>
    </row>
    <row r="1084" spans="1:24" ht="18.75" customHeight="1">
      <c r="A1084" s="55" t="s">
        <v>48</v>
      </c>
      <c r="B1084" s="52"/>
      <c r="C1084" s="56"/>
      <c r="D1084" s="57"/>
      <c r="E1084" s="58"/>
      <c r="F1084" s="58"/>
      <c r="G1084" s="58"/>
      <c r="H1084" s="52"/>
      <c r="I1084" s="59" t="e">
        <f>I1085/C1085/8</f>
        <v>#DIV/0!</v>
      </c>
      <c r="J1084" s="60"/>
      <c r="K1084" s="61"/>
      <c r="M1084" s="55" t="s">
        <v>48</v>
      </c>
      <c r="N1084" s="52"/>
      <c r="O1084" s="56"/>
      <c r="P1084" s="57"/>
      <c r="Q1084" s="58"/>
      <c r="R1084" s="58"/>
      <c r="S1084" s="58"/>
      <c r="T1084" s="52"/>
      <c r="U1084" s="59" t="e">
        <f>U1085/O1085/8</f>
        <v>#DIV/0!</v>
      </c>
      <c r="V1084" s="60"/>
      <c r="W1084" s="61"/>
    </row>
    <row r="1085" spans="1:24" ht="18.75" customHeight="1">
      <c r="A1085" s="55" t="s">
        <v>49</v>
      </c>
      <c r="B1085" s="52" t="s">
        <v>41</v>
      </c>
      <c r="C1085" s="56"/>
      <c r="D1085" s="57" t="s">
        <v>50</v>
      </c>
      <c r="E1085" s="453" t="s">
        <v>51</v>
      </c>
      <c r="F1085" s="453"/>
      <c r="G1085" s="453"/>
      <c r="H1085" s="52" t="s">
        <v>41</v>
      </c>
      <c r="I1085" s="454" t="e">
        <f>I1083*680/((C1085-C1092)*8+C1092*7+C1089)*((C1085-C1092)*8+C1092*7)</f>
        <v>#DIV/0!</v>
      </c>
      <c r="J1085" s="454"/>
      <c r="K1085" s="61" t="s">
        <v>46</v>
      </c>
      <c r="L1085" s="62">
        <f>F1082/L1075*C1085</f>
        <v>0</v>
      </c>
      <c r="M1085" s="55" t="s">
        <v>49</v>
      </c>
      <c r="N1085" s="52" t="s">
        <v>41</v>
      </c>
      <c r="O1085" s="56"/>
      <c r="P1085" s="57" t="s">
        <v>50</v>
      </c>
      <c r="Q1085" s="453" t="s">
        <v>51</v>
      </c>
      <c r="R1085" s="453"/>
      <c r="S1085" s="453"/>
      <c r="T1085" s="52" t="s">
        <v>41</v>
      </c>
      <c r="U1085" s="454" t="e">
        <f>U1083*680/((O1085-O1092)*8+O1092*7+O1089)*((O1085-O1092)*8+O1092*7)</f>
        <v>#DIV/0!</v>
      </c>
      <c r="V1085" s="454"/>
      <c r="W1085" s="61" t="s">
        <v>46</v>
      </c>
      <c r="X1085" s="62">
        <f>R1082/X1075*O1085</f>
        <v>0</v>
      </c>
    </row>
    <row r="1086" spans="1:24" ht="18.75" customHeight="1">
      <c r="A1086" s="55" t="s">
        <v>52</v>
      </c>
      <c r="B1086" s="52" t="s">
        <v>41</v>
      </c>
      <c r="C1086" s="56"/>
      <c r="D1086" s="57" t="s">
        <v>50</v>
      </c>
      <c r="E1086" s="441" t="s">
        <v>53</v>
      </c>
      <c r="F1086" s="441"/>
      <c r="G1086" s="441"/>
      <c r="H1086" s="52" t="s">
        <v>41</v>
      </c>
      <c r="I1086" s="452">
        <f>$F$8/$L$1*C1086</f>
        <v>0</v>
      </c>
      <c r="J1086" s="452"/>
      <c r="K1086" s="61" t="s">
        <v>46</v>
      </c>
      <c r="L1086" s="62"/>
      <c r="M1086" s="55" t="s">
        <v>52</v>
      </c>
      <c r="N1086" s="52" t="s">
        <v>41</v>
      </c>
      <c r="O1086" s="56"/>
      <c r="P1086" s="57" t="s">
        <v>50</v>
      </c>
      <c r="Q1086" s="441" t="s">
        <v>53</v>
      </c>
      <c r="R1086" s="441"/>
      <c r="S1086" s="441"/>
      <c r="T1086" s="52" t="s">
        <v>41</v>
      </c>
      <c r="U1086" s="452">
        <f>$F$8/$L$1*O1086</f>
        <v>0</v>
      </c>
      <c r="V1086" s="452"/>
      <c r="W1086" s="61" t="s">
        <v>46</v>
      </c>
      <c r="X1086" s="62"/>
    </row>
    <row r="1087" spans="1:24" ht="18.75" customHeight="1">
      <c r="A1087" s="55" t="s">
        <v>54</v>
      </c>
      <c r="B1087" s="52" t="s">
        <v>41</v>
      </c>
      <c r="C1087" s="56"/>
      <c r="D1087" s="57" t="s">
        <v>50</v>
      </c>
      <c r="E1087" s="451" t="s">
        <v>55</v>
      </c>
      <c r="F1087" s="451"/>
      <c r="G1087" s="451"/>
      <c r="H1087" s="52" t="s">
        <v>41</v>
      </c>
      <c r="I1087" s="452">
        <f>$F$8/$L$1*C1087</f>
        <v>0</v>
      </c>
      <c r="J1087" s="452"/>
      <c r="K1087" s="61" t="s">
        <v>46</v>
      </c>
      <c r="L1087" s="62"/>
      <c r="M1087" s="55" t="s">
        <v>54</v>
      </c>
      <c r="N1087" s="52" t="s">
        <v>41</v>
      </c>
      <c r="O1087" s="56"/>
      <c r="P1087" s="57" t="s">
        <v>50</v>
      </c>
      <c r="Q1087" s="451" t="s">
        <v>55</v>
      </c>
      <c r="R1087" s="451"/>
      <c r="S1087" s="451"/>
      <c r="T1087" s="52" t="s">
        <v>41</v>
      </c>
      <c r="U1087" s="452">
        <f>$F$8/$L$1*O1087</f>
        <v>0</v>
      </c>
      <c r="V1087" s="452"/>
      <c r="W1087" s="61" t="s">
        <v>46</v>
      </c>
      <c r="X1087" s="62"/>
    </row>
    <row r="1088" spans="1:24" ht="18.75" customHeight="1">
      <c r="A1088" s="55" t="s">
        <v>56</v>
      </c>
      <c r="B1088" s="52" t="s">
        <v>41</v>
      </c>
      <c r="C1088" s="56"/>
      <c r="D1088" s="57" t="s">
        <v>50</v>
      </c>
      <c r="E1088" s="451" t="s">
        <v>57</v>
      </c>
      <c r="F1088" s="451"/>
      <c r="G1088" s="451"/>
      <c r="H1088" s="52" t="s">
        <v>41</v>
      </c>
      <c r="I1088" s="452">
        <f>$F$8/$L$1*C1088</f>
        <v>0</v>
      </c>
      <c r="J1088" s="452"/>
      <c r="K1088" s="61" t="s">
        <v>46</v>
      </c>
      <c r="L1088" s="62"/>
      <c r="M1088" s="55" t="s">
        <v>56</v>
      </c>
      <c r="N1088" s="52" t="s">
        <v>41</v>
      </c>
      <c r="O1088" s="56"/>
      <c r="P1088" s="57" t="s">
        <v>50</v>
      </c>
      <c r="Q1088" s="451" t="s">
        <v>57</v>
      </c>
      <c r="R1088" s="451"/>
      <c r="S1088" s="451"/>
      <c r="T1088" s="52" t="s">
        <v>41</v>
      </c>
      <c r="U1088" s="452">
        <f>$F$8/$L$1*O1088</f>
        <v>0</v>
      </c>
      <c r="V1088" s="452"/>
      <c r="W1088" s="61" t="s">
        <v>46</v>
      </c>
      <c r="X1088" s="62"/>
    </row>
    <row r="1089" spans="1:24" ht="18.75" customHeight="1">
      <c r="A1089" s="55" t="s">
        <v>58</v>
      </c>
      <c r="B1089" s="52" t="s">
        <v>41</v>
      </c>
      <c r="C1089" s="56"/>
      <c r="D1089" s="57" t="s">
        <v>59</v>
      </c>
      <c r="E1089" s="441" t="s">
        <v>60</v>
      </c>
      <c r="F1089" s="441"/>
      <c r="G1089" s="441"/>
      <c r="H1089" s="52" t="s">
        <v>41</v>
      </c>
      <c r="I1089" s="452" t="e">
        <f>I1085/C1085/8*C1089</f>
        <v>#DIV/0!</v>
      </c>
      <c r="J1089" s="452"/>
      <c r="K1089" s="61" t="s">
        <v>46</v>
      </c>
      <c r="L1089" s="62">
        <f>F1082*C1089/L1075/8*1.5</f>
        <v>0</v>
      </c>
      <c r="M1089" s="55" t="s">
        <v>58</v>
      </c>
      <c r="N1089" s="52" t="s">
        <v>41</v>
      </c>
      <c r="O1089" s="56"/>
      <c r="P1089" s="57" t="s">
        <v>59</v>
      </c>
      <c r="Q1089" s="441" t="s">
        <v>60</v>
      </c>
      <c r="R1089" s="441"/>
      <c r="S1089" s="441"/>
      <c r="T1089" s="52" t="s">
        <v>41</v>
      </c>
      <c r="U1089" s="452" t="e">
        <f>U1085/O1085/8*O1089</f>
        <v>#DIV/0!</v>
      </c>
      <c r="V1089" s="452"/>
      <c r="W1089" s="61" t="s">
        <v>46</v>
      </c>
      <c r="X1089" s="62">
        <f>R1082*O1089/X1075/8*1.5</f>
        <v>0</v>
      </c>
    </row>
    <row r="1090" spans="1:24" ht="18.75" customHeight="1">
      <c r="A1090" s="440" t="s">
        <v>61</v>
      </c>
      <c r="B1090" s="441"/>
      <c r="C1090" s="56"/>
      <c r="D1090" s="57" t="s">
        <v>50</v>
      </c>
      <c r="E1090" s="441" t="s">
        <v>62</v>
      </c>
      <c r="F1090" s="441"/>
      <c r="G1090" s="441"/>
      <c r="H1090" s="63" t="s">
        <v>41</v>
      </c>
      <c r="I1090" s="452"/>
      <c r="J1090" s="452"/>
      <c r="K1090" s="61" t="s">
        <v>46</v>
      </c>
      <c r="L1090" s="62"/>
      <c r="M1090" s="440" t="s">
        <v>61</v>
      </c>
      <c r="N1090" s="441"/>
      <c r="O1090" s="56"/>
      <c r="P1090" s="57" t="s">
        <v>50</v>
      </c>
      <c r="Q1090" s="441" t="s">
        <v>62</v>
      </c>
      <c r="R1090" s="441"/>
      <c r="S1090" s="441"/>
      <c r="T1090" s="63" t="s">
        <v>41</v>
      </c>
      <c r="U1090" s="452"/>
      <c r="V1090" s="452"/>
      <c r="W1090" s="61" t="s">
        <v>46</v>
      </c>
      <c r="X1090" s="62"/>
    </row>
    <row r="1091" spans="1:24" ht="18.75" customHeight="1">
      <c r="A1091" s="55" t="s">
        <v>63</v>
      </c>
      <c r="B1091" s="52" t="s">
        <v>41</v>
      </c>
      <c r="C1091" s="56"/>
      <c r="D1091" s="57" t="s">
        <v>50</v>
      </c>
      <c r="E1091" s="441" t="s">
        <v>64</v>
      </c>
      <c r="F1091" s="441"/>
      <c r="G1091" s="441"/>
      <c r="H1091" s="52" t="s">
        <v>41</v>
      </c>
      <c r="I1091" s="452"/>
      <c r="J1091" s="452"/>
      <c r="K1091" s="61" t="s">
        <v>46</v>
      </c>
      <c r="L1091" s="62"/>
      <c r="M1091" s="55" t="s">
        <v>63</v>
      </c>
      <c r="N1091" s="52" t="s">
        <v>41</v>
      </c>
      <c r="O1091" s="56"/>
      <c r="P1091" s="57" t="s">
        <v>50</v>
      </c>
      <c r="Q1091" s="441" t="s">
        <v>64</v>
      </c>
      <c r="R1091" s="441"/>
      <c r="S1091" s="441"/>
      <c r="T1091" s="52" t="s">
        <v>41</v>
      </c>
      <c r="U1091" s="452"/>
      <c r="V1091" s="452"/>
      <c r="W1091" s="61" t="s">
        <v>46</v>
      </c>
      <c r="X1091" s="62"/>
    </row>
    <row r="1092" spans="1:24" ht="18.75" customHeight="1">
      <c r="A1092" s="64" t="s">
        <v>65</v>
      </c>
      <c r="B1092" s="52"/>
      <c r="C1092" s="56"/>
      <c r="D1092" s="57" t="s">
        <v>59</v>
      </c>
      <c r="E1092" s="441" t="s">
        <v>66</v>
      </c>
      <c r="F1092" s="441"/>
      <c r="G1092" s="441"/>
      <c r="H1092" s="52" t="s">
        <v>41</v>
      </c>
      <c r="I1092" s="452">
        <f>$F$8*C1092/8/$L$1</f>
        <v>0</v>
      </c>
      <c r="J1092" s="452"/>
      <c r="K1092" s="61" t="s">
        <v>46</v>
      </c>
      <c r="L1092" s="62"/>
      <c r="M1092" s="64" t="s">
        <v>65</v>
      </c>
      <c r="N1092" s="52"/>
      <c r="O1092" s="56"/>
      <c r="P1092" s="57" t="s">
        <v>59</v>
      </c>
      <c r="Q1092" s="441" t="s">
        <v>66</v>
      </c>
      <c r="R1092" s="441"/>
      <c r="S1092" s="441"/>
      <c r="T1092" s="52" t="s">
        <v>41</v>
      </c>
      <c r="U1092" s="452">
        <f>$F$8*O1092/8/$L$1</f>
        <v>0</v>
      </c>
      <c r="V1092" s="452"/>
      <c r="W1092" s="61" t="s">
        <v>46</v>
      </c>
      <c r="X1092" s="62"/>
    </row>
    <row r="1093" spans="1:24" ht="18.75" customHeight="1">
      <c r="A1093" s="55" t="s">
        <v>67</v>
      </c>
      <c r="B1093" s="52" t="s">
        <v>41</v>
      </c>
      <c r="C1093" s="56"/>
      <c r="D1093" s="57" t="s">
        <v>59</v>
      </c>
      <c r="E1093" s="441" t="s">
        <v>68</v>
      </c>
      <c r="F1093" s="441"/>
      <c r="G1093" s="441"/>
      <c r="H1093" s="52" t="s">
        <v>41</v>
      </c>
      <c r="I1093" s="454"/>
      <c r="J1093" s="454"/>
      <c r="K1093" s="61" t="s">
        <v>46</v>
      </c>
      <c r="L1093" s="62"/>
      <c r="M1093" s="55" t="s">
        <v>67</v>
      </c>
      <c r="N1093" s="52" t="s">
        <v>41</v>
      </c>
      <c r="O1093" s="56"/>
      <c r="P1093" s="57" t="s">
        <v>59</v>
      </c>
      <c r="Q1093" s="441" t="s">
        <v>68</v>
      </c>
      <c r="R1093" s="441"/>
      <c r="S1093" s="441"/>
      <c r="T1093" s="52" t="s">
        <v>41</v>
      </c>
      <c r="U1093" s="454"/>
      <c r="V1093" s="454"/>
      <c r="W1093" s="61" t="s">
        <v>46</v>
      </c>
      <c r="X1093" s="62"/>
    </row>
    <row r="1094" spans="1:24" ht="18.75" customHeight="1">
      <c r="A1094" s="55" t="s">
        <v>69</v>
      </c>
      <c r="B1094" s="52" t="s">
        <v>41</v>
      </c>
      <c r="C1094" s="56"/>
      <c r="D1094" s="57" t="s">
        <v>70</v>
      </c>
      <c r="E1094" s="53" t="s">
        <v>71</v>
      </c>
      <c r="F1094" s="53"/>
      <c r="G1094" s="53"/>
      <c r="H1094" s="52" t="s">
        <v>41</v>
      </c>
      <c r="I1094" s="452"/>
      <c r="J1094" s="452"/>
      <c r="K1094" s="61" t="s">
        <v>46</v>
      </c>
      <c r="L1094" s="62" t="e">
        <f>+IF(L1085-I1085&lt;0,0,L1085-I1085)+IF(L1089-I1089&lt;0,0,L1089-I1089)</f>
        <v>#DIV/0!</v>
      </c>
      <c r="M1094" s="55" t="s">
        <v>69</v>
      </c>
      <c r="N1094" s="52" t="s">
        <v>41</v>
      </c>
      <c r="O1094" s="56"/>
      <c r="P1094" s="57" t="s">
        <v>70</v>
      </c>
      <c r="Q1094" s="53" t="s">
        <v>71</v>
      </c>
      <c r="R1094" s="53"/>
      <c r="S1094" s="53"/>
      <c r="T1094" s="52" t="s">
        <v>41</v>
      </c>
      <c r="U1094" s="452"/>
      <c r="V1094" s="452"/>
      <c r="W1094" s="61" t="s">
        <v>46</v>
      </c>
      <c r="X1094" s="62" t="e">
        <f>+IF(X1085-U1085&lt;0,0,X1085-U1085)+IF(X1089-U1089&lt;0,0,X1089-U1089)</f>
        <v>#DIV/0!</v>
      </c>
    </row>
    <row r="1095" spans="1:24" ht="18.75" customHeight="1">
      <c r="A1095" s="65" t="s">
        <v>72</v>
      </c>
      <c r="B1095" s="66"/>
      <c r="C1095" s="56"/>
      <c r="D1095" s="57" t="s">
        <v>50</v>
      </c>
      <c r="E1095" s="441" t="s">
        <v>73</v>
      </c>
      <c r="F1095" s="441"/>
      <c r="G1095" s="441"/>
      <c r="H1095" s="52" t="s">
        <v>41</v>
      </c>
      <c r="I1095" s="452"/>
      <c r="J1095" s="452"/>
      <c r="K1095" s="61" t="s">
        <v>46</v>
      </c>
      <c r="L1095" s="62"/>
      <c r="M1095" s="65" t="s">
        <v>72</v>
      </c>
      <c r="N1095" s="66"/>
      <c r="O1095" s="56"/>
      <c r="P1095" s="57" t="s">
        <v>50</v>
      </c>
      <c r="Q1095" s="441" t="s">
        <v>73</v>
      </c>
      <c r="R1095" s="441"/>
      <c r="S1095" s="441"/>
      <c r="T1095" s="52" t="s">
        <v>41</v>
      </c>
      <c r="U1095" s="452"/>
      <c r="V1095" s="452"/>
      <c r="W1095" s="61" t="s">
        <v>46</v>
      </c>
      <c r="X1095" s="62"/>
    </row>
    <row r="1096" spans="1:24" ht="18.75" customHeight="1">
      <c r="A1096" s="477" t="s">
        <v>74</v>
      </c>
      <c r="B1096" s="453"/>
      <c r="C1096" s="56"/>
      <c r="D1096" s="57"/>
      <c r="E1096" s="58"/>
      <c r="F1096" s="58"/>
      <c r="G1096" s="58"/>
      <c r="H1096" s="52" t="s">
        <v>41</v>
      </c>
      <c r="I1096" s="452"/>
      <c r="J1096" s="452"/>
      <c r="K1096" s="61" t="s">
        <v>46</v>
      </c>
      <c r="L1096" s="62"/>
      <c r="M1096" s="477" t="s">
        <v>74</v>
      </c>
      <c r="N1096" s="453"/>
      <c r="O1096" s="56"/>
      <c r="P1096" s="57"/>
      <c r="Q1096" s="58"/>
      <c r="R1096" s="58"/>
      <c r="S1096" s="58"/>
      <c r="T1096" s="52" t="s">
        <v>41</v>
      </c>
      <c r="U1096" s="452"/>
      <c r="V1096" s="452"/>
      <c r="W1096" s="61" t="s">
        <v>46</v>
      </c>
      <c r="X1096" s="62"/>
    </row>
    <row r="1097" spans="1:24" ht="18.75" customHeight="1">
      <c r="A1097" s="55" t="s">
        <v>75</v>
      </c>
      <c r="B1097" s="52" t="s">
        <v>41</v>
      </c>
      <c r="C1097" s="56"/>
      <c r="D1097" s="57"/>
      <c r="E1097" s="58" t="s">
        <v>76</v>
      </c>
      <c r="F1097" s="58"/>
      <c r="G1097" s="58"/>
      <c r="H1097" s="52" t="s">
        <v>41</v>
      </c>
      <c r="I1097" s="452" t="e">
        <f>L1094</f>
        <v>#DIV/0!</v>
      </c>
      <c r="J1097" s="452"/>
      <c r="K1097" s="61" t="s">
        <v>46</v>
      </c>
      <c r="L1097" s="62"/>
      <c r="M1097" s="55" t="s">
        <v>75</v>
      </c>
      <c r="N1097" s="52" t="s">
        <v>41</v>
      </c>
      <c r="O1097" s="56"/>
      <c r="P1097" s="57"/>
      <c r="Q1097" s="58" t="s">
        <v>76</v>
      </c>
      <c r="R1097" s="58"/>
      <c r="S1097" s="58"/>
      <c r="T1097" s="52" t="s">
        <v>41</v>
      </c>
      <c r="U1097" s="452" t="e">
        <f>X1094</f>
        <v>#DIV/0!</v>
      </c>
      <c r="V1097" s="452"/>
      <c r="W1097" s="61" t="s">
        <v>46</v>
      </c>
      <c r="X1097" s="62"/>
    </row>
    <row r="1098" spans="1:24" ht="18.75" customHeight="1">
      <c r="A1098" s="456" t="s">
        <v>77</v>
      </c>
      <c r="B1098" s="457"/>
      <c r="C1098" s="457"/>
      <c r="D1098" s="457"/>
      <c r="E1098" s="457"/>
      <c r="F1098" s="457"/>
      <c r="G1098" s="52" t="s">
        <v>41</v>
      </c>
      <c r="H1098" s="459" t="e">
        <f>I1085+I1086+I1087+I1088+I1089+I1092+I1096+I1097</f>
        <v>#DIV/0!</v>
      </c>
      <c r="I1098" s="459"/>
      <c r="J1098" s="459"/>
      <c r="K1098" s="61" t="s">
        <v>46</v>
      </c>
      <c r="M1098" s="456" t="s">
        <v>77</v>
      </c>
      <c r="N1098" s="457"/>
      <c r="O1098" s="457"/>
      <c r="P1098" s="457"/>
      <c r="Q1098" s="457"/>
      <c r="R1098" s="457"/>
      <c r="S1098" s="52" t="s">
        <v>41</v>
      </c>
      <c r="T1098" s="459" t="e">
        <f>U1085+U1086+U1087+U1088+U1089+U1092+U1096+U1097</f>
        <v>#DIV/0!</v>
      </c>
      <c r="U1098" s="459"/>
      <c r="V1098" s="459"/>
      <c r="W1098" s="61" t="s">
        <v>46</v>
      </c>
    </row>
    <row r="1099" spans="1:24" ht="18.75" customHeight="1">
      <c r="A1099" s="67"/>
      <c r="B1099" s="68"/>
      <c r="C1099" s="68"/>
      <c r="D1099" s="68"/>
      <c r="E1099" s="68"/>
      <c r="F1099" s="68"/>
      <c r="G1099" s="68"/>
      <c r="H1099" s="68"/>
      <c r="I1099" s="68"/>
      <c r="J1099" s="68"/>
      <c r="K1099" s="69"/>
      <c r="M1099" s="67"/>
      <c r="N1099" s="68"/>
      <c r="O1099" s="68"/>
      <c r="P1099" s="68"/>
      <c r="Q1099" s="68"/>
      <c r="R1099" s="68"/>
      <c r="S1099" s="68"/>
      <c r="T1099" s="68"/>
      <c r="U1099" s="68"/>
      <c r="V1099" s="68"/>
      <c r="W1099" s="69"/>
    </row>
    <row r="1100" spans="1:24" ht="18.75" customHeight="1">
      <c r="A1100" s="468" t="s">
        <v>78</v>
      </c>
      <c r="B1100" s="469"/>
      <c r="C1100" s="469"/>
      <c r="D1100" s="469"/>
      <c r="E1100" s="469"/>
      <c r="F1100" s="469"/>
      <c r="G1100" s="52"/>
      <c r="H1100" s="52"/>
      <c r="I1100" s="52"/>
      <c r="J1100" s="52"/>
      <c r="K1100" s="61"/>
      <c r="M1100" s="468" t="s">
        <v>78</v>
      </c>
      <c r="N1100" s="469"/>
      <c r="O1100" s="469"/>
      <c r="P1100" s="469"/>
      <c r="Q1100" s="469"/>
      <c r="R1100" s="469"/>
      <c r="S1100" s="52"/>
      <c r="T1100" s="52"/>
      <c r="U1100" s="52"/>
      <c r="V1100" s="52"/>
      <c r="W1100" s="61"/>
    </row>
    <row r="1101" spans="1:24" ht="18.75" customHeight="1">
      <c r="A1101" s="462" t="s">
        <v>79</v>
      </c>
      <c r="B1101" s="463"/>
      <c r="C1101" s="463"/>
      <c r="D1101" s="463"/>
      <c r="E1101" s="463"/>
      <c r="F1101" s="463"/>
      <c r="G1101" s="52" t="s">
        <v>41</v>
      </c>
      <c r="H1101" s="470">
        <f>IF(($L$1-(C1085+C1086+C1087+C1088))&gt;12,0,F1082*8%)</f>
        <v>0</v>
      </c>
      <c r="I1101" s="470"/>
      <c r="J1101" s="470"/>
      <c r="K1101" s="61" t="s">
        <v>46</v>
      </c>
      <c r="M1101" s="462" t="s">
        <v>79</v>
      </c>
      <c r="N1101" s="463"/>
      <c r="O1101" s="463"/>
      <c r="P1101" s="463"/>
      <c r="Q1101" s="463"/>
      <c r="R1101" s="463"/>
      <c r="S1101" s="52" t="s">
        <v>41</v>
      </c>
      <c r="T1101" s="470">
        <f>IF(($L$1-(O1085+O1086+O1087+O1088))&gt;12,0,R1082*8%)</f>
        <v>0</v>
      </c>
      <c r="U1101" s="470"/>
      <c r="V1101" s="470"/>
      <c r="W1101" s="61" t="s">
        <v>46</v>
      </c>
    </row>
    <row r="1102" spans="1:24" ht="18.75" customHeight="1">
      <c r="A1102" s="462" t="s">
        <v>80</v>
      </c>
      <c r="B1102" s="463"/>
      <c r="C1102" s="463"/>
      <c r="D1102" s="463"/>
      <c r="E1102" s="463"/>
      <c r="F1102" s="463"/>
      <c r="G1102" s="52" t="s">
        <v>41</v>
      </c>
      <c r="H1102" s="464">
        <f>IF(($L$1-(C1085+C1086+C1087+C1088))&gt;12,0,F1082*1.5%)</f>
        <v>0</v>
      </c>
      <c r="I1102" s="464"/>
      <c r="J1102" s="464"/>
      <c r="K1102" s="61" t="s">
        <v>46</v>
      </c>
      <c r="M1102" s="462" t="s">
        <v>80</v>
      </c>
      <c r="N1102" s="463"/>
      <c r="O1102" s="463"/>
      <c r="P1102" s="463"/>
      <c r="Q1102" s="463"/>
      <c r="R1102" s="463"/>
      <c r="S1102" s="52" t="s">
        <v>41</v>
      </c>
      <c r="T1102" s="464">
        <f>IF(($L$1-(O1085+O1086+O1087+O1088))&gt;12,0,R1082*1.5%)</f>
        <v>0</v>
      </c>
      <c r="U1102" s="464"/>
      <c r="V1102" s="464"/>
      <c r="W1102" s="61" t="s">
        <v>46</v>
      </c>
    </row>
    <row r="1103" spans="1:24" ht="18.75" customHeight="1">
      <c r="A1103" s="462" t="s">
        <v>81</v>
      </c>
      <c r="B1103" s="463"/>
      <c r="C1103" s="463"/>
      <c r="D1103" s="463"/>
      <c r="E1103" s="463"/>
      <c r="F1103" s="463"/>
      <c r="G1103" s="52" t="s">
        <v>41</v>
      </c>
      <c r="H1103" s="464">
        <f>IF(($L$1-(C1085+C1086+C1087+C1088))&gt;12,0,F1082*1%)</f>
        <v>0</v>
      </c>
      <c r="I1103" s="464"/>
      <c r="J1103" s="464"/>
      <c r="K1103" s="61" t="s">
        <v>46</v>
      </c>
      <c r="M1103" s="462" t="s">
        <v>81</v>
      </c>
      <c r="N1103" s="463"/>
      <c r="O1103" s="463"/>
      <c r="P1103" s="463"/>
      <c r="Q1103" s="463"/>
      <c r="R1103" s="463"/>
      <c r="S1103" s="52" t="s">
        <v>41</v>
      </c>
      <c r="T1103" s="464">
        <f>IF(($L$1-(O1085+O1086+O1087+O1088))&gt;12,0,R1082*1%)</f>
        <v>0</v>
      </c>
      <c r="U1103" s="464"/>
      <c r="V1103" s="464"/>
      <c r="W1103" s="61" t="s">
        <v>46</v>
      </c>
    </row>
    <row r="1104" spans="1:24" ht="18.75" customHeight="1">
      <c r="A1104" s="462" t="s">
        <v>82</v>
      </c>
      <c r="B1104" s="463"/>
      <c r="C1104" s="463"/>
      <c r="D1104" s="463"/>
      <c r="E1104" s="463"/>
      <c r="F1104" s="463"/>
      <c r="G1104" s="52" t="s">
        <v>41</v>
      </c>
      <c r="H1104" s="464">
        <v>0</v>
      </c>
      <c r="I1104" s="464"/>
      <c r="J1104" s="464"/>
      <c r="K1104" s="61" t="s">
        <v>46</v>
      </c>
      <c r="M1104" s="462" t="s">
        <v>82</v>
      </c>
      <c r="N1104" s="463"/>
      <c r="O1104" s="463"/>
      <c r="P1104" s="463"/>
      <c r="Q1104" s="463"/>
      <c r="R1104" s="463"/>
      <c r="S1104" s="52" t="s">
        <v>41</v>
      </c>
      <c r="T1104" s="464">
        <v>0</v>
      </c>
      <c r="U1104" s="464"/>
      <c r="V1104" s="464"/>
      <c r="W1104" s="61" t="s">
        <v>46</v>
      </c>
    </row>
    <row r="1105" spans="1:24" ht="18.75" customHeight="1">
      <c r="A1105" s="465" t="s">
        <v>83</v>
      </c>
      <c r="B1105" s="466"/>
      <c r="C1105" s="466"/>
      <c r="D1105" s="466"/>
      <c r="E1105" s="466"/>
      <c r="F1105" s="466"/>
      <c r="G1105" s="52" t="s">
        <v>41</v>
      </c>
      <c r="H1105" s="467">
        <f>SUM(H1101:J1104)</f>
        <v>0</v>
      </c>
      <c r="I1105" s="467"/>
      <c r="J1105" s="467"/>
      <c r="K1105" s="61" t="s">
        <v>46</v>
      </c>
      <c r="M1105" s="465" t="s">
        <v>83</v>
      </c>
      <c r="N1105" s="466"/>
      <c r="O1105" s="466"/>
      <c r="P1105" s="466"/>
      <c r="Q1105" s="466"/>
      <c r="R1105" s="466"/>
      <c r="S1105" s="52" t="s">
        <v>41</v>
      </c>
      <c r="T1105" s="467">
        <f>SUM(T1101:V1104)</f>
        <v>0</v>
      </c>
      <c r="U1105" s="467"/>
      <c r="V1105" s="467"/>
      <c r="W1105" s="61" t="s">
        <v>46</v>
      </c>
    </row>
    <row r="1106" spans="1:24" ht="18.75" customHeight="1">
      <c r="A1106" s="462" t="s">
        <v>84</v>
      </c>
      <c r="B1106" s="463"/>
      <c r="C1106" s="463"/>
      <c r="D1106" s="463"/>
      <c r="E1106" s="463"/>
      <c r="F1106" s="463"/>
      <c r="G1106" s="52" t="s">
        <v>41</v>
      </c>
      <c r="H1106" s="475" t="e">
        <f>ROUND(H1098-H1105,-2)</f>
        <v>#DIV/0!</v>
      </c>
      <c r="I1106" s="475"/>
      <c r="J1106" s="475"/>
      <c r="K1106" s="61" t="s">
        <v>46</v>
      </c>
      <c r="M1106" s="462" t="s">
        <v>84</v>
      </c>
      <c r="N1106" s="463"/>
      <c r="O1106" s="463"/>
      <c r="P1106" s="463"/>
      <c r="Q1106" s="463"/>
      <c r="R1106" s="463"/>
      <c r="S1106" s="52" t="s">
        <v>41</v>
      </c>
      <c r="T1106" s="475" t="e">
        <f>ROUND(T1098-T1105,-2)</f>
        <v>#DIV/0!</v>
      </c>
      <c r="U1106" s="475"/>
      <c r="V1106" s="475"/>
      <c r="W1106" s="61" t="s">
        <v>46</v>
      </c>
    </row>
    <row r="1107" spans="1:24" ht="18.75" customHeight="1">
      <c r="A1107" s="70"/>
      <c r="B1107" s="71"/>
      <c r="C1107" s="71"/>
      <c r="D1107" s="71"/>
      <c r="E1107" s="71"/>
      <c r="F1107" s="71"/>
      <c r="G1107" s="71"/>
      <c r="H1107" s="71"/>
      <c r="I1107" s="71"/>
      <c r="J1107" s="71"/>
      <c r="K1107" s="72"/>
      <c r="M1107" s="70"/>
      <c r="N1107" s="71"/>
      <c r="O1107" s="71"/>
      <c r="P1107" s="71"/>
      <c r="Q1107" s="71"/>
      <c r="R1107" s="71"/>
      <c r="S1107" s="71"/>
      <c r="T1107" s="71"/>
      <c r="U1107" s="71"/>
      <c r="V1107" s="71"/>
      <c r="W1107" s="72"/>
    </row>
    <row r="1108" spans="1:24" ht="18.75" customHeight="1">
      <c r="A1108" s="73"/>
      <c r="B1108" s="52"/>
      <c r="C1108" s="52"/>
      <c r="D1108" s="52"/>
      <c r="E1108" s="52"/>
      <c r="F1108" s="52"/>
      <c r="G1108" s="52"/>
      <c r="H1108" s="52"/>
      <c r="I1108" s="472" t="s">
        <v>85</v>
      </c>
      <c r="J1108" s="472"/>
      <c r="K1108" s="476"/>
      <c r="M1108" s="73"/>
      <c r="N1108" s="52"/>
      <c r="O1108" s="52"/>
      <c r="P1108" s="52"/>
      <c r="Q1108" s="52"/>
      <c r="R1108" s="52"/>
      <c r="S1108" s="52"/>
      <c r="T1108" s="52"/>
      <c r="U1108" s="472" t="s">
        <v>85</v>
      </c>
      <c r="V1108" s="472"/>
      <c r="W1108" s="476"/>
    </row>
    <row r="1109" spans="1:24" ht="18.75" customHeight="1">
      <c r="A1109" s="73"/>
      <c r="B1109" s="471"/>
      <c r="C1109" s="472"/>
      <c r="D1109" s="472"/>
      <c r="E1109" s="472"/>
      <c r="F1109" s="52"/>
      <c r="G1109" s="52"/>
      <c r="H1109" s="52"/>
      <c r="I1109" s="52"/>
      <c r="J1109" s="52"/>
      <c r="K1109" s="54"/>
      <c r="M1109" s="73"/>
      <c r="N1109" s="471"/>
      <c r="O1109" s="472"/>
      <c r="P1109" s="472"/>
      <c r="Q1109" s="472"/>
      <c r="R1109" s="52"/>
      <c r="S1109" s="52"/>
      <c r="T1109" s="52"/>
      <c r="U1109" s="52"/>
      <c r="V1109" s="52"/>
      <c r="W1109" s="54"/>
    </row>
    <row r="1110" spans="1:24" ht="18.75" customHeight="1" thickBot="1">
      <c r="A1110" s="75"/>
      <c r="B1110" s="76"/>
      <c r="C1110" s="76"/>
      <c r="D1110" s="76"/>
      <c r="E1110" s="76"/>
      <c r="F1110" s="76"/>
      <c r="G1110" s="76"/>
      <c r="H1110" s="76"/>
      <c r="I1110" s="473" t="s">
        <v>86</v>
      </c>
      <c r="J1110" s="473"/>
      <c r="K1110" s="474"/>
      <c r="M1110" s="75"/>
      <c r="N1110" s="76"/>
      <c r="O1110" s="76"/>
      <c r="P1110" s="76"/>
      <c r="Q1110" s="76"/>
      <c r="R1110" s="76"/>
      <c r="S1110" s="76"/>
      <c r="T1110" s="76"/>
      <c r="U1110" s="473" t="s">
        <v>86</v>
      </c>
      <c r="V1110" s="473"/>
      <c r="W1110" s="474"/>
    </row>
    <row r="1111" spans="1:24" ht="18.75" customHeight="1" thickTop="1" thickBot="1"/>
    <row r="1112" spans="1:24" ht="18.75" customHeight="1" thickTop="1">
      <c r="A1112" s="445" t="s">
        <v>13</v>
      </c>
      <c r="B1112" s="446"/>
      <c r="C1112" s="446"/>
      <c r="D1112" s="446"/>
      <c r="E1112" s="446"/>
      <c r="F1112" s="446"/>
      <c r="G1112" s="446"/>
      <c r="H1112" s="446"/>
      <c r="I1112" s="446"/>
      <c r="J1112" s="446"/>
      <c r="K1112" s="447"/>
      <c r="L1112" s="48">
        <v>24</v>
      </c>
      <c r="M1112" s="445" t="s">
        <v>13</v>
      </c>
      <c r="N1112" s="446"/>
      <c r="O1112" s="446"/>
      <c r="P1112" s="446"/>
      <c r="Q1112" s="446"/>
      <c r="R1112" s="446"/>
      <c r="S1112" s="446"/>
      <c r="T1112" s="446"/>
      <c r="U1112" s="446"/>
      <c r="V1112" s="446"/>
      <c r="W1112" s="447"/>
      <c r="X1112" s="48">
        <v>24</v>
      </c>
    </row>
    <row r="1113" spans="1:24" ht="18.75" customHeight="1">
      <c r="A1113" s="49" t="s">
        <v>147</v>
      </c>
      <c r="B1113" s="50"/>
      <c r="C1113" s="50"/>
      <c r="D1113" s="50"/>
      <c r="E1113" s="50"/>
      <c r="F1113" s="50"/>
      <c r="G1113" s="50"/>
      <c r="H1113" s="50"/>
      <c r="I1113" s="50"/>
      <c r="J1113" s="50"/>
      <c r="K1113" s="51"/>
      <c r="M1113" s="49" t="s">
        <v>148</v>
      </c>
      <c r="N1113" s="50"/>
      <c r="O1113" s="50"/>
      <c r="P1113" s="50"/>
      <c r="Q1113" s="50"/>
      <c r="R1113" s="50"/>
      <c r="S1113" s="50"/>
      <c r="T1113" s="50"/>
      <c r="U1113" s="50"/>
      <c r="V1113" s="50"/>
      <c r="W1113" s="51"/>
    </row>
    <row r="1114" spans="1:24" ht="18.75" customHeight="1">
      <c r="A1114" s="448" t="s">
        <v>39</v>
      </c>
      <c r="B1114" s="449"/>
      <c r="C1114" s="449"/>
      <c r="D1114" s="449"/>
      <c r="E1114" s="449"/>
      <c r="F1114" s="449"/>
      <c r="G1114" s="449"/>
      <c r="H1114" s="449"/>
      <c r="I1114" s="449"/>
      <c r="J1114" s="449"/>
      <c r="K1114" s="450"/>
      <c r="M1114" s="448" t="s">
        <v>39</v>
      </c>
      <c r="N1114" s="449"/>
      <c r="O1114" s="449"/>
      <c r="P1114" s="449"/>
      <c r="Q1114" s="449"/>
      <c r="R1114" s="449"/>
      <c r="S1114" s="449"/>
      <c r="T1114" s="449"/>
      <c r="U1114" s="449"/>
      <c r="V1114" s="449"/>
      <c r="W1114" s="450"/>
    </row>
    <row r="1115" spans="1:24" ht="18.75" customHeight="1">
      <c r="A1115" s="440" t="s">
        <v>40</v>
      </c>
      <c r="B1115" s="441"/>
      <c r="C1115" s="441"/>
      <c r="D1115" s="441"/>
      <c r="E1115" s="52" t="s">
        <v>41</v>
      </c>
      <c r="F1115" s="441"/>
      <c r="G1115" s="441"/>
      <c r="H1115" s="441"/>
      <c r="I1115" s="441"/>
      <c r="J1115" s="441"/>
      <c r="K1115" s="444"/>
      <c r="M1115" s="440" t="s">
        <v>40</v>
      </c>
      <c r="N1115" s="441"/>
      <c r="O1115" s="441"/>
      <c r="P1115" s="441"/>
      <c r="Q1115" s="52" t="s">
        <v>41</v>
      </c>
      <c r="R1115" s="441"/>
      <c r="S1115" s="441"/>
      <c r="T1115" s="441"/>
      <c r="U1115" s="441"/>
      <c r="V1115" s="441"/>
      <c r="W1115" s="444"/>
    </row>
    <row r="1116" spans="1:24" ht="18.75" customHeight="1">
      <c r="A1116" s="440" t="s">
        <v>42</v>
      </c>
      <c r="B1116" s="441"/>
      <c r="C1116" s="441"/>
      <c r="D1116" s="441"/>
      <c r="E1116" s="52" t="s">
        <v>41</v>
      </c>
      <c r="F1116" s="442"/>
      <c r="G1116" s="442"/>
      <c r="H1116" s="442"/>
      <c r="I1116" s="442"/>
      <c r="J1116" s="442"/>
      <c r="K1116" s="443"/>
      <c r="M1116" s="440" t="s">
        <v>42</v>
      </c>
      <c r="N1116" s="441"/>
      <c r="O1116" s="441"/>
      <c r="P1116" s="441"/>
      <c r="Q1116" s="52" t="s">
        <v>41</v>
      </c>
      <c r="R1116" s="442"/>
      <c r="S1116" s="442"/>
      <c r="T1116" s="442"/>
      <c r="U1116" s="442"/>
      <c r="V1116" s="442"/>
      <c r="W1116" s="443"/>
    </row>
    <row r="1117" spans="1:24" ht="18.75" customHeight="1">
      <c r="A1117" s="440" t="s">
        <v>43</v>
      </c>
      <c r="B1117" s="441"/>
      <c r="C1117" s="441"/>
      <c r="D1117" s="441"/>
      <c r="E1117" s="52" t="s">
        <v>41</v>
      </c>
      <c r="F1117" s="441" t="s">
        <v>151</v>
      </c>
      <c r="G1117" s="441"/>
      <c r="H1117" s="441"/>
      <c r="I1117" s="441"/>
      <c r="J1117" s="441"/>
      <c r="K1117" s="444"/>
      <c r="M1117" s="440" t="s">
        <v>43</v>
      </c>
      <c r="N1117" s="441"/>
      <c r="O1117" s="441"/>
      <c r="P1117" s="441"/>
      <c r="Q1117" s="52" t="s">
        <v>41</v>
      </c>
      <c r="R1117" s="441" t="s">
        <v>151</v>
      </c>
      <c r="S1117" s="441"/>
      <c r="T1117" s="441"/>
      <c r="U1117" s="441"/>
      <c r="V1117" s="441"/>
      <c r="W1117" s="444"/>
    </row>
    <row r="1118" spans="1:24" ht="18.75" customHeight="1">
      <c r="A1118" s="448" t="s">
        <v>44</v>
      </c>
      <c r="B1118" s="449"/>
      <c r="C1118" s="449"/>
      <c r="D1118" s="449"/>
      <c r="E1118" s="449"/>
      <c r="F1118" s="449"/>
      <c r="G1118" s="449"/>
      <c r="H1118" s="449"/>
      <c r="I1118" s="449"/>
      <c r="J1118" s="449"/>
      <c r="K1118" s="450"/>
      <c r="M1118" s="448" t="s">
        <v>44</v>
      </c>
      <c r="N1118" s="449"/>
      <c r="O1118" s="449"/>
      <c r="P1118" s="449"/>
      <c r="Q1118" s="449"/>
      <c r="R1118" s="449"/>
      <c r="S1118" s="449"/>
      <c r="T1118" s="449"/>
      <c r="U1118" s="449"/>
      <c r="V1118" s="449"/>
      <c r="W1118" s="450"/>
    </row>
    <row r="1119" spans="1:24" ht="18.75" customHeight="1">
      <c r="A1119" s="440" t="s">
        <v>45</v>
      </c>
      <c r="B1119" s="441"/>
      <c r="C1119" s="441"/>
      <c r="D1119" s="441"/>
      <c r="E1119" s="52" t="s">
        <v>41</v>
      </c>
      <c r="F1119" s="455">
        <v>2915400</v>
      </c>
      <c r="G1119" s="455"/>
      <c r="H1119" s="455"/>
      <c r="I1119" s="455"/>
      <c r="J1119" s="52" t="s">
        <v>46</v>
      </c>
      <c r="K1119" s="54"/>
      <c r="M1119" s="440" t="s">
        <v>45</v>
      </c>
      <c r="N1119" s="441"/>
      <c r="O1119" s="441"/>
      <c r="P1119" s="441"/>
      <c r="Q1119" s="52" t="s">
        <v>41</v>
      </c>
      <c r="R1119" s="455">
        <v>2915400</v>
      </c>
      <c r="S1119" s="455"/>
      <c r="T1119" s="455"/>
      <c r="U1119" s="455"/>
      <c r="V1119" s="52" t="s">
        <v>46</v>
      </c>
      <c r="W1119" s="54"/>
    </row>
    <row r="1120" spans="1:24" ht="18.75" customHeight="1">
      <c r="A1120" s="55" t="s">
        <v>47</v>
      </c>
      <c r="B1120" s="52"/>
      <c r="C1120" s="56"/>
      <c r="D1120" s="57"/>
      <c r="E1120" s="58"/>
      <c r="F1120" s="58"/>
      <c r="G1120" s="58"/>
      <c r="H1120" s="52"/>
      <c r="I1120" s="59"/>
      <c r="J1120" s="60"/>
      <c r="K1120" s="61"/>
      <c r="M1120" s="55" t="s">
        <v>47</v>
      </c>
      <c r="N1120" s="52"/>
      <c r="O1120" s="56"/>
      <c r="P1120" s="57"/>
      <c r="Q1120" s="58"/>
      <c r="R1120" s="58"/>
      <c r="S1120" s="58"/>
      <c r="T1120" s="52"/>
      <c r="U1120" s="59"/>
      <c r="V1120" s="60"/>
      <c r="W1120" s="61"/>
    </row>
    <row r="1121" spans="1:24" ht="18.75" customHeight="1">
      <c r="A1121" s="55" t="s">
        <v>48</v>
      </c>
      <c r="B1121" s="52"/>
      <c r="C1121" s="56"/>
      <c r="D1121" s="57"/>
      <c r="E1121" s="58"/>
      <c r="F1121" s="58"/>
      <c r="G1121" s="58"/>
      <c r="H1121" s="52"/>
      <c r="I1121" s="59" t="e">
        <f>I1122/C1122/8</f>
        <v>#DIV/0!</v>
      </c>
      <c r="J1121" s="60"/>
      <c r="K1121" s="61"/>
      <c r="M1121" s="55" t="s">
        <v>48</v>
      </c>
      <c r="N1121" s="52"/>
      <c r="O1121" s="56"/>
      <c r="P1121" s="57"/>
      <c r="Q1121" s="58"/>
      <c r="R1121" s="58"/>
      <c r="S1121" s="58"/>
      <c r="T1121" s="52"/>
      <c r="U1121" s="59" t="e">
        <f>U1122/O1122/8</f>
        <v>#DIV/0!</v>
      </c>
      <c r="V1121" s="60"/>
      <c r="W1121" s="61"/>
    </row>
    <row r="1122" spans="1:24" ht="18.75" customHeight="1">
      <c r="A1122" s="55" t="s">
        <v>49</v>
      </c>
      <c r="B1122" s="52" t="s">
        <v>41</v>
      </c>
      <c r="C1122" s="56"/>
      <c r="D1122" s="57" t="s">
        <v>50</v>
      </c>
      <c r="E1122" s="453" t="s">
        <v>51</v>
      </c>
      <c r="F1122" s="453"/>
      <c r="G1122" s="453"/>
      <c r="H1122" s="52" t="s">
        <v>41</v>
      </c>
      <c r="I1122" s="454" t="e">
        <f>I1120*680/((C1122-C1129)*8+C1129*7+C1126)*((C1122-C1129)*8+C1129*7)</f>
        <v>#DIV/0!</v>
      </c>
      <c r="J1122" s="454"/>
      <c r="K1122" s="61" t="s">
        <v>46</v>
      </c>
      <c r="L1122" s="62">
        <f>F1119/L1112*C1122</f>
        <v>0</v>
      </c>
      <c r="M1122" s="55" t="s">
        <v>49</v>
      </c>
      <c r="N1122" s="52" t="s">
        <v>41</v>
      </c>
      <c r="O1122" s="56"/>
      <c r="P1122" s="57" t="s">
        <v>50</v>
      </c>
      <c r="Q1122" s="453" t="s">
        <v>51</v>
      </c>
      <c r="R1122" s="453"/>
      <c r="S1122" s="453"/>
      <c r="T1122" s="52" t="s">
        <v>41</v>
      </c>
      <c r="U1122" s="454" t="e">
        <f>U1120*680/((O1122-O1129)*8+O1129*7+O1126)*((O1122-O1129)*8+O1129*7)</f>
        <v>#DIV/0!</v>
      </c>
      <c r="V1122" s="454"/>
      <c r="W1122" s="61" t="s">
        <v>46</v>
      </c>
      <c r="X1122" s="62">
        <f>R1119/X1112*O1122</f>
        <v>0</v>
      </c>
    </row>
    <row r="1123" spans="1:24" ht="18.75" customHeight="1">
      <c r="A1123" s="55" t="s">
        <v>52</v>
      </c>
      <c r="B1123" s="52" t="s">
        <v>41</v>
      </c>
      <c r="C1123" s="56"/>
      <c r="D1123" s="57" t="s">
        <v>50</v>
      </c>
      <c r="E1123" s="441" t="s">
        <v>53</v>
      </c>
      <c r="F1123" s="441"/>
      <c r="G1123" s="441"/>
      <c r="H1123" s="52" t="s">
        <v>41</v>
      </c>
      <c r="I1123" s="452">
        <f>$F$8/$L$1*C1123</f>
        <v>0</v>
      </c>
      <c r="J1123" s="452"/>
      <c r="K1123" s="61" t="s">
        <v>46</v>
      </c>
      <c r="L1123" s="62"/>
      <c r="M1123" s="55" t="s">
        <v>52</v>
      </c>
      <c r="N1123" s="52" t="s">
        <v>41</v>
      </c>
      <c r="O1123" s="56"/>
      <c r="P1123" s="57" t="s">
        <v>50</v>
      </c>
      <c r="Q1123" s="441" t="s">
        <v>53</v>
      </c>
      <c r="R1123" s="441"/>
      <c r="S1123" s="441"/>
      <c r="T1123" s="52" t="s">
        <v>41</v>
      </c>
      <c r="U1123" s="452">
        <f>$F$8/$L$1*O1123</f>
        <v>0</v>
      </c>
      <c r="V1123" s="452"/>
      <c r="W1123" s="61" t="s">
        <v>46</v>
      </c>
      <c r="X1123" s="62"/>
    </row>
    <row r="1124" spans="1:24" ht="18.75" customHeight="1">
      <c r="A1124" s="55" t="s">
        <v>54</v>
      </c>
      <c r="B1124" s="52" t="s">
        <v>41</v>
      </c>
      <c r="C1124" s="56"/>
      <c r="D1124" s="57" t="s">
        <v>50</v>
      </c>
      <c r="E1124" s="451" t="s">
        <v>55</v>
      </c>
      <c r="F1124" s="451"/>
      <c r="G1124" s="451"/>
      <c r="H1124" s="52" t="s">
        <v>41</v>
      </c>
      <c r="I1124" s="452">
        <f>$F$8/$L$1*C1124</f>
        <v>0</v>
      </c>
      <c r="J1124" s="452"/>
      <c r="K1124" s="61" t="s">
        <v>46</v>
      </c>
      <c r="L1124" s="62"/>
      <c r="M1124" s="55" t="s">
        <v>54</v>
      </c>
      <c r="N1124" s="52" t="s">
        <v>41</v>
      </c>
      <c r="O1124" s="56"/>
      <c r="P1124" s="57" t="s">
        <v>50</v>
      </c>
      <c r="Q1124" s="451" t="s">
        <v>55</v>
      </c>
      <c r="R1124" s="451"/>
      <c r="S1124" s="451"/>
      <c r="T1124" s="52" t="s">
        <v>41</v>
      </c>
      <c r="U1124" s="452">
        <f>$F$8/$L$1*O1124</f>
        <v>0</v>
      </c>
      <c r="V1124" s="452"/>
      <c r="W1124" s="61" t="s">
        <v>46</v>
      </c>
      <c r="X1124" s="62"/>
    </row>
    <row r="1125" spans="1:24" ht="18.75" customHeight="1">
      <c r="A1125" s="55" t="s">
        <v>56</v>
      </c>
      <c r="B1125" s="52" t="s">
        <v>41</v>
      </c>
      <c r="C1125" s="56"/>
      <c r="D1125" s="57" t="s">
        <v>50</v>
      </c>
      <c r="E1125" s="451" t="s">
        <v>57</v>
      </c>
      <c r="F1125" s="451"/>
      <c r="G1125" s="451"/>
      <c r="H1125" s="52" t="s">
        <v>41</v>
      </c>
      <c r="I1125" s="452">
        <f>$F$8/$L$1*C1125</f>
        <v>0</v>
      </c>
      <c r="J1125" s="452"/>
      <c r="K1125" s="61" t="s">
        <v>46</v>
      </c>
      <c r="L1125" s="62"/>
      <c r="M1125" s="55" t="s">
        <v>56</v>
      </c>
      <c r="N1125" s="52" t="s">
        <v>41</v>
      </c>
      <c r="O1125" s="56"/>
      <c r="P1125" s="57" t="s">
        <v>50</v>
      </c>
      <c r="Q1125" s="451" t="s">
        <v>57</v>
      </c>
      <c r="R1125" s="451"/>
      <c r="S1125" s="451"/>
      <c r="T1125" s="52" t="s">
        <v>41</v>
      </c>
      <c r="U1125" s="452">
        <f>$F$8/$L$1*O1125</f>
        <v>0</v>
      </c>
      <c r="V1125" s="452"/>
      <c r="W1125" s="61" t="s">
        <v>46</v>
      </c>
      <c r="X1125" s="62"/>
    </row>
    <row r="1126" spans="1:24" ht="18.75" customHeight="1">
      <c r="A1126" s="55" t="s">
        <v>58</v>
      </c>
      <c r="B1126" s="52" t="s">
        <v>41</v>
      </c>
      <c r="C1126" s="56"/>
      <c r="D1126" s="57" t="s">
        <v>59</v>
      </c>
      <c r="E1126" s="441" t="s">
        <v>60</v>
      </c>
      <c r="F1126" s="441"/>
      <c r="G1126" s="441"/>
      <c r="H1126" s="52" t="s">
        <v>41</v>
      </c>
      <c r="I1126" s="452" t="e">
        <f>I1122/C1122/8*C1126</f>
        <v>#DIV/0!</v>
      </c>
      <c r="J1126" s="452"/>
      <c r="K1126" s="61" t="s">
        <v>46</v>
      </c>
      <c r="L1126" s="62">
        <f>F1119*C1126/L1112/8*1.5</f>
        <v>0</v>
      </c>
      <c r="M1126" s="55" t="s">
        <v>58</v>
      </c>
      <c r="N1126" s="52" t="s">
        <v>41</v>
      </c>
      <c r="O1126" s="56"/>
      <c r="P1126" s="57" t="s">
        <v>59</v>
      </c>
      <c r="Q1126" s="441" t="s">
        <v>60</v>
      </c>
      <c r="R1126" s="441"/>
      <c r="S1126" s="441"/>
      <c r="T1126" s="52" t="s">
        <v>41</v>
      </c>
      <c r="U1126" s="452" t="e">
        <f>U1122/O1122/8*O1126</f>
        <v>#DIV/0!</v>
      </c>
      <c r="V1126" s="452"/>
      <c r="W1126" s="61" t="s">
        <v>46</v>
      </c>
      <c r="X1126" s="62">
        <f>R1119*O1126/X1112/8*1.5</f>
        <v>0</v>
      </c>
    </row>
    <row r="1127" spans="1:24" ht="18.75" customHeight="1">
      <c r="A1127" s="440" t="s">
        <v>61</v>
      </c>
      <c r="B1127" s="441"/>
      <c r="C1127" s="56"/>
      <c r="D1127" s="57" t="s">
        <v>50</v>
      </c>
      <c r="E1127" s="441" t="s">
        <v>62</v>
      </c>
      <c r="F1127" s="441"/>
      <c r="G1127" s="441"/>
      <c r="H1127" s="63" t="s">
        <v>41</v>
      </c>
      <c r="I1127" s="452"/>
      <c r="J1127" s="452"/>
      <c r="K1127" s="61" t="s">
        <v>46</v>
      </c>
      <c r="L1127" s="62"/>
      <c r="M1127" s="440" t="s">
        <v>61</v>
      </c>
      <c r="N1127" s="441"/>
      <c r="O1127" s="56"/>
      <c r="P1127" s="57" t="s">
        <v>50</v>
      </c>
      <c r="Q1127" s="441" t="s">
        <v>62</v>
      </c>
      <c r="R1127" s="441"/>
      <c r="S1127" s="441"/>
      <c r="T1127" s="63" t="s">
        <v>41</v>
      </c>
      <c r="U1127" s="452"/>
      <c r="V1127" s="452"/>
      <c r="W1127" s="61" t="s">
        <v>46</v>
      </c>
      <c r="X1127" s="62"/>
    </row>
    <row r="1128" spans="1:24" ht="18.75" customHeight="1">
      <c r="A1128" s="55" t="s">
        <v>63</v>
      </c>
      <c r="B1128" s="52" t="s">
        <v>41</v>
      </c>
      <c r="C1128" s="56"/>
      <c r="D1128" s="57" t="s">
        <v>50</v>
      </c>
      <c r="E1128" s="441" t="s">
        <v>64</v>
      </c>
      <c r="F1128" s="441"/>
      <c r="G1128" s="441"/>
      <c r="H1128" s="52" t="s">
        <v>41</v>
      </c>
      <c r="I1128" s="452"/>
      <c r="J1128" s="452"/>
      <c r="K1128" s="61" t="s">
        <v>46</v>
      </c>
      <c r="L1128" s="62"/>
      <c r="M1128" s="55" t="s">
        <v>63</v>
      </c>
      <c r="N1128" s="52" t="s">
        <v>41</v>
      </c>
      <c r="O1128" s="56"/>
      <c r="P1128" s="57" t="s">
        <v>50</v>
      </c>
      <c r="Q1128" s="441" t="s">
        <v>64</v>
      </c>
      <c r="R1128" s="441"/>
      <c r="S1128" s="441"/>
      <c r="T1128" s="52" t="s">
        <v>41</v>
      </c>
      <c r="U1128" s="452"/>
      <c r="V1128" s="452"/>
      <c r="W1128" s="61" t="s">
        <v>46</v>
      </c>
      <c r="X1128" s="62"/>
    </row>
    <row r="1129" spans="1:24" ht="18.75" customHeight="1">
      <c r="A1129" s="64" t="s">
        <v>65</v>
      </c>
      <c r="B1129" s="52"/>
      <c r="C1129" s="56"/>
      <c r="D1129" s="57" t="s">
        <v>59</v>
      </c>
      <c r="E1129" s="441" t="s">
        <v>66</v>
      </c>
      <c r="F1129" s="441"/>
      <c r="G1129" s="441"/>
      <c r="H1129" s="52" t="s">
        <v>41</v>
      </c>
      <c r="I1129" s="452">
        <f>$F$8*C1129/8/$L$1</f>
        <v>0</v>
      </c>
      <c r="J1129" s="452"/>
      <c r="K1129" s="61" t="s">
        <v>46</v>
      </c>
      <c r="L1129" s="62"/>
      <c r="M1129" s="64" t="s">
        <v>65</v>
      </c>
      <c r="N1129" s="52"/>
      <c r="O1129" s="56"/>
      <c r="P1129" s="57" t="s">
        <v>59</v>
      </c>
      <c r="Q1129" s="441" t="s">
        <v>66</v>
      </c>
      <c r="R1129" s="441"/>
      <c r="S1129" s="441"/>
      <c r="T1129" s="52" t="s">
        <v>41</v>
      </c>
      <c r="U1129" s="452">
        <f>$F$8*O1129/8/$L$1</f>
        <v>0</v>
      </c>
      <c r="V1129" s="452"/>
      <c r="W1129" s="61" t="s">
        <v>46</v>
      </c>
      <c r="X1129" s="62"/>
    </row>
    <row r="1130" spans="1:24" ht="18.75" customHeight="1">
      <c r="A1130" s="55" t="s">
        <v>67</v>
      </c>
      <c r="B1130" s="52" t="s">
        <v>41</v>
      </c>
      <c r="C1130" s="56"/>
      <c r="D1130" s="57" t="s">
        <v>59</v>
      </c>
      <c r="E1130" s="441" t="s">
        <v>68</v>
      </c>
      <c r="F1130" s="441"/>
      <c r="G1130" s="441"/>
      <c r="H1130" s="52" t="s">
        <v>41</v>
      </c>
      <c r="I1130" s="454"/>
      <c r="J1130" s="454"/>
      <c r="K1130" s="61" t="s">
        <v>46</v>
      </c>
      <c r="L1130" s="62"/>
      <c r="M1130" s="55" t="s">
        <v>67</v>
      </c>
      <c r="N1130" s="52" t="s">
        <v>41</v>
      </c>
      <c r="O1130" s="56"/>
      <c r="P1130" s="57" t="s">
        <v>59</v>
      </c>
      <c r="Q1130" s="441" t="s">
        <v>68</v>
      </c>
      <c r="R1130" s="441"/>
      <c r="S1130" s="441"/>
      <c r="T1130" s="52" t="s">
        <v>41</v>
      </c>
      <c r="U1130" s="454"/>
      <c r="V1130" s="454"/>
      <c r="W1130" s="61" t="s">
        <v>46</v>
      </c>
      <c r="X1130" s="62"/>
    </row>
    <row r="1131" spans="1:24" ht="18.75" customHeight="1">
      <c r="A1131" s="55" t="s">
        <v>69</v>
      </c>
      <c r="B1131" s="52" t="s">
        <v>41</v>
      </c>
      <c r="C1131" s="56"/>
      <c r="D1131" s="57" t="s">
        <v>70</v>
      </c>
      <c r="E1131" s="53" t="s">
        <v>71</v>
      </c>
      <c r="F1131" s="53"/>
      <c r="G1131" s="53"/>
      <c r="H1131" s="52" t="s">
        <v>41</v>
      </c>
      <c r="I1131" s="452"/>
      <c r="J1131" s="452"/>
      <c r="K1131" s="61" t="s">
        <v>46</v>
      </c>
      <c r="L1131" s="62" t="e">
        <f>+IF(L1122-I1122&lt;0,0,L1122-I1122)+IF(L1126-I1126&lt;0,0,L1126-I1126)</f>
        <v>#DIV/0!</v>
      </c>
      <c r="M1131" s="55" t="s">
        <v>69</v>
      </c>
      <c r="N1131" s="52" t="s">
        <v>41</v>
      </c>
      <c r="O1131" s="56"/>
      <c r="P1131" s="57" t="s">
        <v>70</v>
      </c>
      <c r="Q1131" s="53" t="s">
        <v>71</v>
      </c>
      <c r="R1131" s="53"/>
      <c r="S1131" s="53"/>
      <c r="T1131" s="52" t="s">
        <v>41</v>
      </c>
      <c r="U1131" s="452"/>
      <c r="V1131" s="452"/>
      <c r="W1131" s="61" t="s">
        <v>46</v>
      </c>
      <c r="X1131" s="62" t="e">
        <f>+IF(X1122-U1122&lt;0,0,X1122-U1122)+IF(X1126-U1126&lt;0,0,X1126-U1126)</f>
        <v>#DIV/0!</v>
      </c>
    </row>
    <row r="1132" spans="1:24" ht="18.75" customHeight="1">
      <c r="A1132" s="65" t="s">
        <v>72</v>
      </c>
      <c r="B1132" s="66"/>
      <c r="C1132" s="56"/>
      <c r="D1132" s="57" t="s">
        <v>50</v>
      </c>
      <c r="E1132" s="441" t="s">
        <v>73</v>
      </c>
      <c r="F1132" s="441"/>
      <c r="G1132" s="441"/>
      <c r="H1132" s="52" t="s">
        <v>41</v>
      </c>
      <c r="I1132" s="452"/>
      <c r="J1132" s="452"/>
      <c r="K1132" s="61" t="s">
        <v>46</v>
      </c>
      <c r="L1132" s="62"/>
      <c r="M1132" s="65" t="s">
        <v>72</v>
      </c>
      <c r="N1132" s="66"/>
      <c r="O1132" s="56"/>
      <c r="P1132" s="57" t="s">
        <v>50</v>
      </c>
      <c r="Q1132" s="441" t="s">
        <v>73</v>
      </c>
      <c r="R1132" s="441"/>
      <c r="S1132" s="441"/>
      <c r="T1132" s="52" t="s">
        <v>41</v>
      </c>
      <c r="U1132" s="452"/>
      <c r="V1132" s="452"/>
      <c r="W1132" s="61" t="s">
        <v>46</v>
      </c>
      <c r="X1132" s="62"/>
    </row>
    <row r="1133" spans="1:24" ht="18.75" customHeight="1">
      <c r="A1133" s="477" t="s">
        <v>74</v>
      </c>
      <c r="B1133" s="453"/>
      <c r="C1133" s="56"/>
      <c r="D1133" s="57"/>
      <c r="E1133" s="58"/>
      <c r="F1133" s="58"/>
      <c r="G1133" s="58"/>
      <c r="H1133" s="52" t="s">
        <v>41</v>
      </c>
      <c r="I1133" s="452"/>
      <c r="J1133" s="452"/>
      <c r="K1133" s="61" t="s">
        <v>46</v>
      </c>
      <c r="L1133" s="62"/>
      <c r="M1133" s="477" t="s">
        <v>74</v>
      </c>
      <c r="N1133" s="453"/>
      <c r="O1133" s="56"/>
      <c r="P1133" s="57"/>
      <c r="Q1133" s="58"/>
      <c r="R1133" s="58"/>
      <c r="S1133" s="58"/>
      <c r="T1133" s="52" t="s">
        <v>41</v>
      </c>
      <c r="U1133" s="452"/>
      <c r="V1133" s="452"/>
      <c r="W1133" s="61" t="s">
        <v>46</v>
      </c>
      <c r="X1133" s="62"/>
    </row>
    <row r="1134" spans="1:24" ht="18.75" customHeight="1">
      <c r="A1134" s="55" t="s">
        <v>75</v>
      </c>
      <c r="B1134" s="52" t="s">
        <v>41</v>
      </c>
      <c r="C1134" s="56"/>
      <c r="D1134" s="57"/>
      <c r="E1134" s="58" t="s">
        <v>76</v>
      </c>
      <c r="F1134" s="58"/>
      <c r="G1134" s="58"/>
      <c r="H1134" s="52" t="s">
        <v>41</v>
      </c>
      <c r="I1134" s="452" t="e">
        <f>L1131</f>
        <v>#DIV/0!</v>
      </c>
      <c r="J1134" s="452"/>
      <c r="K1134" s="61" t="s">
        <v>46</v>
      </c>
      <c r="L1134" s="62"/>
      <c r="M1134" s="55" t="s">
        <v>75</v>
      </c>
      <c r="N1134" s="52" t="s">
        <v>41</v>
      </c>
      <c r="O1134" s="56"/>
      <c r="P1134" s="57"/>
      <c r="Q1134" s="58" t="s">
        <v>76</v>
      </c>
      <c r="R1134" s="58"/>
      <c r="S1134" s="58"/>
      <c r="T1134" s="52" t="s">
        <v>41</v>
      </c>
      <c r="U1134" s="452" t="e">
        <f>X1131</f>
        <v>#DIV/0!</v>
      </c>
      <c r="V1134" s="452"/>
      <c r="W1134" s="61" t="s">
        <v>46</v>
      </c>
      <c r="X1134" s="62"/>
    </row>
    <row r="1135" spans="1:24" ht="18.75" customHeight="1">
      <c r="A1135" s="456" t="s">
        <v>77</v>
      </c>
      <c r="B1135" s="457"/>
      <c r="C1135" s="457"/>
      <c r="D1135" s="457"/>
      <c r="E1135" s="457"/>
      <c r="F1135" s="457"/>
      <c r="G1135" s="52" t="s">
        <v>41</v>
      </c>
      <c r="H1135" s="459" t="e">
        <f>I1122+I1123+I1124+I1125+I1126+I1129+I1133+I1134</f>
        <v>#DIV/0!</v>
      </c>
      <c r="I1135" s="459"/>
      <c r="J1135" s="459"/>
      <c r="K1135" s="61" t="s">
        <v>46</v>
      </c>
      <c r="M1135" s="456" t="s">
        <v>77</v>
      </c>
      <c r="N1135" s="457"/>
      <c r="O1135" s="457"/>
      <c r="P1135" s="457"/>
      <c r="Q1135" s="457"/>
      <c r="R1135" s="457"/>
      <c r="S1135" s="52" t="s">
        <v>41</v>
      </c>
      <c r="T1135" s="459" t="e">
        <f>U1122+U1123+U1124+U1125+U1126+U1129+U1133+U1134</f>
        <v>#DIV/0!</v>
      </c>
      <c r="U1135" s="459"/>
      <c r="V1135" s="459"/>
      <c r="W1135" s="61" t="s">
        <v>46</v>
      </c>
    </row>
    <row r="1136" spans="1:24" ht="18.75" customHeight="1">
      <c r="A1136" s="67"/>
      <c r="B1136" s="68"/>
      <c r="C1136" s="68"/>
      <c r="D1136" s="68"/>
      <c r="E1136" s="68"/>
      <c r="F1136" s="68"/>
      <c r="G1136" s="68"/>
      <c r="H1136" s="68"/>
      <c r="I1136" s="68"/>
      <c r="J1136" s="68"/>
      <c r="K1136" s="69"/>
      <c r="M1136" s="67"/>
      <c r="N1136" s="68"/>
      <c r="O1136" s="68"/>
      <c r="P1136" s="68"/>
      <c r="Q1136" s="68"/>
      <c r="R1136" s="68"/>
      <c r="S1136" s="68"/>
      <c r="T1136" s="68"/>
      <c r="U1136" s="68"/>
      <c r="V1136" s="68"/>
      <c r="W1136" s="69"/>
    </row>
    <row r="1137" spans="1:24" ht="18.75" customHeight="1">
      <c r="A1137" s="468" t="s">
        <v>78</v>
      </c>
      <c r="B1137" s="469"/>
      <c r="C1137" s="469"/>
      <c r="D1137" s="469"/>
      <c r="E1137" s="469"/>
      <c r="F1137" s="469"/>
      <c r="G1137" s="52"/>
      <c r="H1137" s="52"/>
      <c r="I1137" s="52"/>
      <c r="J1137" s="52"/>
      <c r="K1137" s="61"/>
      <c r="M1137" s="468" t="s">
        <v>78</v>
      </c>
      <c r="N1137" s="469"/>
      <c r="O1137" s="469"/>
      <c r="P1137" s="469"/>
      <c r="Q1137" s="469"/>
      <c r="R1137" s="469"/>
      <c r="S1137" s="52"/>
      <c r="T1137" s="52"/>
      <c r="U1137" s="52"/>
      <c r="V1137" s="52"/>
      <c r="W1137" s="61"/>
    </row>
    <row r="1138" spans="1:24" ht="18.75" customHeight="1">
      <c r="A1138" s="462" t="s">
        <v>79</v>
      </c>
      <c r="B1138" s="463"/>
      <c r="C1138" s="463"/>
      <c r="D1138" s="463"/>
      <c r="E1138" s="463"/>
      <c r="F1138" s="463"/>
      <c r="G1138" s="52" t="s">
        <v>41</v>
      </c>
      <c r="H1138" s="470">
        <f>IF(($L$1-(C1122+C1123+C1124+C1125))&gt;12,0,F1119*8%)</f>
        <v>0</v>
      </c>
      <c r="I1138" s="470"/>
      <c r="J1138" s="470"/>
      <c r="K1138" s="61" t="s">
        <v>46</v>
      </c>
      <c r="M1138" s="462" t="s">
        <v>79</v>
      </c>
      <c r="N1138" s="463"/>
      <c r="O1138" s="463"/>
      <c r="P1138" s="463"/>
      <c r="Q1138" s="463"/>
      <c r="R1138" s="463"/>
      <c r="S1138" s="52" t="s">
        <v>41</v>
      </c>
      <c r="T1138" s="470">
        <f>IF(($L$1-(O1122+O1123+O1124+O1125))&gt;12,0,R1119*8%)</f>
        <v>0</v>
      </c>
      <c r="U1138" s="470"/>
      <c r="V1138" s="470"/>
      <c r="W1138" s="61" t="s">
        <v>46</v>
      </c>
    </row>
    <row r="1139" spans="1:24" ht="18.75" customHeight="1">
      <c r="A1139" s="462" t="s">
        <v>80</v>
      </c>
      <c r="B1139" s="463"/>
      <c r="C1139" s="463"/>
      <c r="D1139" s="463"/>
      <c r="E1139" s="463"/>
      <c r="F1139" s="463"/>
      <c r="G1139" s="52" t="s">
        <v>41</v>
      </c>
      <c r="H1139" s="464">
        <f>IF(($L$1-(C1122+C1123+C1124+C1125))&gt;12,0,F1119*1.5%)</f>
        <v>0</v>
      </c>
      <c r="I1139" s="464"/>
      <c r="J1139" s="464"/>
      <c r="K1139" s="61" t="s">
        <v>46</v>
      </c>
      <c r="M1139" s="462" t="s">
        <v>80</v>
      </c>
      <c r="N1139" s="463"/>
      <c r="O1139" s="463"/>
      <c r="P1139" s="463"/>
      <c r="Q1139" s="463"/>
      <c r="R1139" s="463"/>
      <c r="S1139" s="52" t="s">
        <v>41</v>
      </c>
      <c r="T1139" s="464">
        <f>IF(($L$1-(O1122+O1123+O1124+O1125))&gt;12,0,R1119*1.5%)</f>
        <v>0</v>
      </c>
      <c r="U1139" s="464"/>
      <c r="V1139" s="464"/>
      <c r="W1139" s="61" t="s">
        <v>46</v>
      </c>
    </row>
    <row r="1140" spans="1:24" ht="18.75" customHeight="1">
      <c r="A1140" s="462" t="s">
        <v>81</v>
      </c>
      <c r="B1140" s="463"/>
      <c r="C1140" s="463"/>
      <c r="D1140" s="463"/>
      <c r="E1140" s="463"/>
      <c r="F1140" s="463"/>
      <c r="G1140" s="52" t="s">
        <v>41</v>
      </c>
      <c r="H1140" s="464">
        <f>IF(($L$1-(C1122+C1123+C1124+C1125))&gt;12,0,F1119*1%)</f>
        <v>0</v>
      </c>
      <c r="I1140" s="464"/>
      <c r="J1140" s="464"/>
      <c r="K1140" s="61" t="s">
        <v>46</v>
      </c>
      <c r="M1140" s="462" t="s">
        <v>81</v>
      </c>
      <c r="N1140" s="463"/>
      <c r="O1140" s="463"/>
      <c r="P1140" s="463"/>
      <c r="Q1140" s="463"/>
      <c r="R1140" s="463"/>
      <c r="S1140" s="52" t="s">
        <v>41</v>
      </c>
      <c r="T1140" s="464">
        <f>IF(($L$1-(O1122+O1123+O1124+O1125))&gt;12,0,R1119*1%)</f>
        <v>0</v>
      </c>
      <c r="U1140" s="464"/>
      <c r="V1140" s="464"/>
      <c r="W1140" s="61" t="s">
        <v>46</v>
      </c>
    </row>
    <row r="1141" spans="1:24" ht="18.75" customHeight="1">
      <c r="A1141" s="462" t="s">
        <v>82</v>
      </c>
      <c r="B1141" s="463"/>
      <c r="C1141" s="463"/>
      <c r="D1141" s="463"/>
      <c r="E1141" s="463"/>
      <c r="F1141" s="463"/>
      <c r="G1141" s="52" t="s">
        <v>41</v>
      </c>
      <c r="H1141" s="464">
        <v>0</v>
      </c>
      <c r="I1141" s="464"/>
      <c r="J1141" s="464"/>
      <c r="K1141" s="61" t="s">
        <v>46</v>
      </c>
      <c r="M1141" s="462" t="s">
        <v>82</v>
      </c>
      <c r="N1141" s="463"/>
      <c r="O1141" s="463"/>
      <c r="P1141" s="463"/>
      <c r="Q1141" s="463"/>
      <c r="R1141" s="463"/>
      <c r="S1141" s="52" t="s">
        <v>41</v>
      </c>
      <c r="T1141" s="464">
        <v>0</v>
      </c>
      <c r="U1141" s="464"/>
      <c r="V1141" s="464"/>
      <c r="W1141" s="61" t="s">
        <v>46</v>
      </c>
    </row>
    <row r="1142" spans="1:24" ht="18.75" customHeight="1">
      <c r="A1142" s="465" t="s">
        <v>83</v>
      </c>
      <c r="B1142" s="466"/>
      <c r="C1142" s="466"/>
      <c r="D1142" s="466"/>
      <c r="E1142" s="466"/>
      <c r="F1142" s="466"/>
      <c r="G1142" s="52" t="s">
        <v>41</v>
      </c>
      <c r="H1142" s="467">
        <f>SUM(H1138:J1141)</f>
        <v>0</v>
      </c>
      <c r="I1142" s="467"/>
      <c r="J1142" s="467"/>
      <c r="K1142" s="61" t="s">
        <v>46</v>
      </c>
      <c r="M1142" s="465" t="s">
        <v>83</v>
      </c>
      <c r="N1142" s="466"/>
      <c r="O1142" s="466"/>
      <c r="P1142" s="466"/>
      <c r="Q1142" s="466"/>
      <c r="R1142" s="466"/>
      <c r="S1142" s="52" t="s">
        <v>41</v>
      </c>
      <c r="T1142" s="467">
        <f>SUM(T1138:V1141)</f>
        <v>0</v>
      </c>
      <c r="U1142" s="467"/>
      <c r="V1142" s="467"/>
      <c r="W1142" s="61" t="s">
        <v>46</v>
      </c>
    </row>
    <row r="1143" spans="1:24" ht="18.75" customHeight="1">
      <c r="A1143" s="462" t="s">
        <v>84</v>
      </c>
      <c r="B1143" s="463"/>
      <c r="C1143" s="463"/>
      <c r="D1143" s="463"/>
      <c r="E1143" s="463"/>
      <c r="F1143" s="463"/>
      <c r="G1143" s="52" t="s">
        <v>41</v>
      </c>
      <c r="H1143" s="475" t="e">
        <f>ROUND(H1135-H1142,-2)</f>
        <v>#DIV/0!</v>
      </c>
      <c r="I1143" s="475"/>
      <c r="J1143" s="475"/>
      <c r="K1143" s="61" t="s">
        <v>46</v>
      </c>
      <c r="M1143" s="462" t="s">
        <v>84</v>
      </c>
      <c r="N1143" s="463"/>
      <c r="O1143" s="463"/>
      <c r="P1143" s="463"/>
      <c r="Q1143" s="463"/>
      <c r="R1143" s="463"/>
      <c r="S1143" s="52" t="s">
        <v>41</v>
      </c>
      <c r="T1143" s="475" t="e">
        <f>ROUND(T1135-T1142,-2)</f>
        <v>#DIV/0!</v>
      </c>
      <c r="U1143" s="475"/>
      <c r="V1143" s="475"/>
      <c r="W1143" s="61" t="s">
        <v>46</v>
      </c>
    </row>
    <row r="1144" spans="1:24" ht="18.75" customHeight="1">
      <c r="A1144" s="70"/>
      <c r="B1144" s="71"/>
      <c r="C1144" s="71"/>
      <c r="D1144" s="71"/>
      <c r="E1144" s="71"/>
      <c r="F1144" s="71"/>
      <c r="G1144" s="71"/>
      <c r="H1144" s="71"/>
      <c r="I1144" s="71"/>
      <c r="J1144" s="71"/>
      <c r="K1144" s="72"/>
      <c r="M1144" s="70"/>
      <c r="N1144" s="71"/>
      <c r="O1144" s="71"/>
      <c r="P1144" s="71"/>
      <c r="Q1144" s="71"/>
      <c r="R1144" s="71"/>
      <c r="S1144" s="71"/>
      <c r="T1144" s="71"/>
      <c r="U1144" s="71"/>
      <c r="V1144" s="71"/>
      <c r="W1144" s="72"/>
    </row>
    <row r="1145" spans="1:24" ht="18.75" customHeight="1">
      <c r="A1145" s="73"/>
      <c r="B1145" s="52"/>
      <c r="C1145" s="52"/>
      <c r="D1145" s="52"/>
      <c r="E1145" s="52"/>
      <c r="F1145" s="52"/>
      <c r="G1145" s="52"/>
      <c r="H1145" s="52"/>
      <c r="I1145" s="472" t="s">
        <v>85</v>
      </c>
      <c r="J1145" s="472"/>
      <c r="K1145" s="476"/>
      <c r="M1145" s="73"/>
      <c r="N1145" s="52"/>
      <c r="O1145" s="52"/>
      <c r="P1145" s="52"/>
      <c r="Q1145" s="52"/>
      <c r="R1145" s="52"/>
      <c r="S1145" s="52"/>
      <c r="T1145" s="52"/>
      <c r="U1145" s="472" t="s">
        <v>85</v>
      </c>
      <c r="V1145" s="472"/>
      <c r="W1145" s="476"/>
    </row>
    <row r="1146" spans="1:24" ht="18.75" customHeight="1">
      <c r="A1146" s="73"/>
      <c r="B1146" s="471"/>
      <c r="C1146" s="472"/>
      <c r="D1146" s="472"/>
      <c r="E1146" s="472"/>
      <c r="F1146" s="52"/>
      <c r="G1146" s="52"/>
      <c r="H1146" s="52"/>
      <c r="I1146" s="52"/>
      <c r="J1146" s="52"/>
      <c r="K1146" s="54"/>
      <c r="M1146" s="73"/>
      <c r="N1146" s="471"/>
      <c r="O1146" s="472"/>
      <c r="P1146" s="472"/>
      <c r="Q1146" s="472"/>
      <c r="R1146" s="52"/>
      <c r="S1146" s="52"/>
      <c r="T1146" s="52"/>
      <c r="U1146" s="52"/>
      <c r="V1146" s="52"/>
      <c r="W1146" s="54"/>
    </row>
    <row r="1147" spans="1:24" ht="18.75" customHeight="1" thickBot="1">
      <c r="A1147" s="75"/>
      <c r="B1147" s="76"/>
      <c r="C1147" s="76"/>
      <c r="D1147" s="76"/>
      <c r="E1147" s="76"/>
      <c r="F1147" s="76"/>
      <c r="G1147" s="76"/>
      <c r="H1147" s="76"/>
      <c r="I1147" s="473" t="s">
        <v>86</v>
      </c>
      <c r="J1147" s="473"/>
      <c r="K1147" s="474"/>
      <c r="M1147" s="75"/>
      <c r="N1147" s="76"/>
      <c r="O1147" s="76"/>
      <c r="P1147" s="76"/>
      <c r="Q1147" s="76"/>
      <c r="R1147" s="76"/>
      <c r="S1147" s="76"/>
      <c r="T1147" s="76"/>
      <c r="U1147" s="473" t="s">
        <v>86</v>
      </c>
      <c r="V1147" s="473"/>
      <c r="W1147" s="474"/>
    </row>
    <row r="1148" spans="1:24" ht="18.75" customHeight="1" thickTop="1" thickBot="1"/>
    <row r="1149" spans="1:24" ht="18.75" customHeight="1" thickTop="1">
      <c r="A1149" s="445" t="s">
        <v>13</v>
      </c>
      <c r="B1149" s="446"/>
      <c r="C1149" s="446"/>
      <c r="D1149" s="446"/>
      <c r="E1149" s="446"/>
      <c r="F1149" s="446"/>
      <c r="G1149" s="446"/>
      <c r="H1149" s="446"/>
      <c r="I1149" s="446"/>
      <c r="J1149" s="446"/>
      <c r="K1149" s="447"/>
      <c r="L1149" s="48">
        <v>24</v>
      </c>
      <c r="M1149" s="445" t="s">
        <v>13</v>
      </c>
      <c r="N1149" s="446"/>
      <c r="O1149" s="446"/>
      <c r="P1149" s="446"/>
      <c r="Q1149" s="446"/>
      <c r="R1149" s="446"/>
      <c r="S1149" s="446"/>
      <c r="T1149" s="446"/>
      <c r="U1149" s="446"/>
      <c r="V1149" s="446"/>
      <c r="W1149" s="447"/>
      <c r="X1149" s="48">
        <v>24</v>
      </c>
    </row>
    <row r="1150" spans="1:24" ht="18.75" customHeight="1">
      <c r="A1150" s="49" t="s">
        <v>149</v>
      </c>
      <c r="B1150" s="50"/>
      <c r="C1150" s="50"/>
      <c r="D1150" s="50"/>
      <c r="E1150" s="50"/>
      <c r="F1150" s="50"/>
      <c r="G1150" s="50"/>
      <c r="H1150" s="50"/>
      <c r="I1150" s="50"/>
      <c r="J1150" s="50"/>
      <c r="K1150" s="51"/>
      <c r="M1150" s="49" t="s">
        <v>150</v>
      </c>
      <c r="N1150" s="50"/>
      <c r="O1150" s="50"/>
      <c r="P1150" s="50"/>
      <c r="Q1150" s="50"/>
      <c r="R1150" s="50"/>
      <c r="S1150" s="50"/>
      <c r="T1150" s="50"/>
      <c r="U1150" s="50"/>
      <c r="V1150" s="50"/>
      <c r="W1150" s="51"/>
    </row>
    <row r="1151" spans="1:24" ht="18.75" customHeight="1">
      <c r="A1151" s="448" t="s">
        <v>39</v>
      </c>
      <c r="B1151" s="449"/>
      <c r="C1151" s="449"/>
      <c r="D1151" s="449"/>
      <c r="E1151" s="449"/>
      <c r="F1151" s="449"/>
      <c r="G1151" s="449"/>
      <c r="H1151" s="449"/>
      <c r="I1151" s="449"/>
      <c r="J1151" s="449"/>
      <c r="K1151" s="450"/>
      <c r="M1151" s="448" t="s">
        <v>39</v>
      </c>
      <c r="N1151" s="449"/>
      <c r="O1151" s="449"/>
      <c r="P1151" s="449"/>
      <c r="Q1151" s="449"/>
      <c r="R1151" s="449"/>
      <c r="S1151" s="449"/>
      <c r="T1151" s="449"/>
      <c r="U1151" s="449"/>
      <c r="V1151" s="449"/>
      <c r="W1151" s="450"/>
    </row>
    <row r="1152" spans="1:24" ht="18.75" customHeight="1">
      <c r="A1152" s="440" t="s">
        <v>40</v>
      </c>
      <c r="B1152" s="441"/>
      <c r="C1152" s="441"/>
      <c r="D1152" s="441"/>
      <c r="E1152" s="52" t="s">
        <v>41</v>
      </c>
      <c r="F1152" s="441"/>
      <c r="G1152" s="441"/>
      <c r="H1152" s="441"/>
      <c r="I1152" s="441"/>
      <c r="J1152" s="441"/>
      <c r="K1152" s="444"/>
      <c r="M1152" s="440" t="s">
        <v>40</v>
      </c>
      <c r="N1152" s="441"/>
      <c r="O1152" s="441"/>
      <c r="P1152" s="441"/>
      <c r="Q1152" s="52" t="s">
        <v>41</v>
      </c>
      <c r="R1152" s="441"/>
      <c r="S1152" s="441"/>
      <c r="T1152" s="441"/>
      <c r="U1152" s="441"/>
      <c r="V1152" s="441"/>
      <c r="W1152" s="444"/>
    </row>
    <row r="1153" spans="1:24" ht="18.75" customHeight="1">
      <c r="A1153" s="440" t="s">
        <v>42</v>
      </c>
      <c r="B1153" s="441"/>
      <c r="C1153" s="441"/>
      <c r="D1153" s="441"/>
      <c r="E1153" s="52" t="s">
        <v>41</v>
      </c>
      <c r="F1153" s="442"/>
      <c r="G1153" s="442"/>
      <c r="H1153" s="442"/>
      <c r="I1153" s="442"/>
      <c r="J1153" s="442"/>
      <c r="K1153" s="443"/>
      <c r="M1153" s="440" t="s">
        <v>42</v>
      </c>
      <c r="N1153" s="441"/>
      <c r="O1153" s="441"/>
      <c r="P1153" s="441"/>
      <c r="Q1153" s="52" t="s">
        <v>41</v>
      </c>
      <c r="R1153" s="442"/>
      <c r="S1153" s="442"/>
      <c r="T1153" s="442"/>
      <c r="U1153" s="442"/>
      <c r="V1153" s="442"/>
      <c r="W1153" s="443"/>
    </row>
    <row r="1154" spans="1:24" ht="18.75" customHeight="1">
      <c r="A1154" s="440" t="s">
        <v>43</v>
      </c>
      <c r="B1154" s="441"/>
      <c r="C1154" s="441"/>
      <c r="D1154" s="441"/>
      <c r="E1154" s="52" t="s">
        <v>41</v>
      </c>
      <c r="F1154" s="441" t="s">
        <v>151</v>
      </c>
      <c r="G1154" s="441"/>
      <c r="H1154" s="441"/>
      <c r="I1154" s="441"/>
      <c r="J1154" s="441"/>
      <c r="K1154" s="444"/>
      <c r="M1154" s="440" t="s">
        <v>43</v>
      </c>
      <c r="N1154" s="441"/>
      <c r="O1154" s="441"/>
      <c r="P1154" s="441"/>
      <c r="Q1154" s="52" t="s">
        <v>41</v>
      </c>
      <c r="R1154" s="441" t="s">
        <v>151</v>
      </c>
      <c r="S1154" s="441"/>
      <c r="T1154" s="441"/>
      <c r="U1154" s="441"/>
      <c r="V1154" s="441"/>
      <c r="W1154" s="444"/>
    </row>
    <row r="1155" spans="1:24" ht="18.75" customHeight="1">
      <c r="A1155" s="448" t="s">
        <v>44</v>
      </c>
      <c r="B1155" s="449"/>
      <c r="C1155" s="449"/>
      <c r="D1155" s="449"/>
      <c r="E1155" s="449"/>
      <c r="F1155" s="449"/>
      <c r="G1155" s="449"/>
      <c r="H1155" s="449"/>
      <c r="I1155" s="449"/>
      <c r="J1155" s="449"/>
      <c r="K1155" s="450"/>
      <c r="M1155" s="448" t="s">
        <v>44</v>
      </c>
      <c r="N1155" s="449"/>
      <c r="O1155" s="449"/>
      <c r="P1155" s="449"/>
      <c r="Q1155" s="449"/>
      <c r="R1155" s="449"/>
      <c r="S1155" s="449"/>
      <c r="T1155" s="449"/>
      <c r="U1155" s="449"/>
      <c r="V1155" s="449"/>
      <c r="W1155" s="450"/>
    </row>
    <row r="1156" spans="1:24" ht="18.75" customHeight="1">
      <c r="A1156" s="440" t="s">
        <v>45</v>
      </c>
      <c r="B1156" s="441"/>
      <c r="C1156" s="441"/>
      <c r="D1156" s="441"/>
      <c r="E1156" s="52" t="s">
        <v>41</v>
      </c>
      <c r="F1156" s="455">
        <v>2915400</v>
      </c>
      <c r="G1156" s="455"/>
      <c r="H1156" s="455"/>
      <c r="I1156" s="455"/>
      <c r="J1156" s="52" t="s">
        <v>46</v>
      </c>
      <c r="K1156" s="54"/>
      <c r="M1156" s="440" t="s">
        <v>45</v>
      </c>
      <c r="N1156" s="441"/>
      <c r="O1156" s="441"/>
      <c r="P1156" s="441"/>
      <c r="Q1156" s="52" t="s">
        <v>41</v>
      </c>
      <c r="R1156" s="455">
        <v>2915400</v>
      </c>
      <c r="S1156" s="455"/>
      <c r="T1156" s="455"/>
      <c r="U1156" s="455"/>
      <c r="V1156" s="52" t="s">
        <v>46</v>
      </c>
      <c r="W1156" s="54"/>
    </row>
    <row r="1157" spans="1:24" ht="18.75" customHeight="1">
      <c r="A1157" s="55" t="s">
        <v>47</v>
      </c>
      <c r="B1157" s="52"/>
      <c r="C1157" s="56"/>
      <c r="D1157" s="57"/>
      <c r="E1157" s="58"/>
      <c r="F1157" s="58"/>
      <c r="G1157" s="58"/>
      <c r="H1157" s="52"/>
      <c r="I1157" s="59"/>
      <c r="J1157" s="60"/>
      <c r="K1157" s="61"/>
      <c r="M1157" s="55" t="s">
        <v>47</v>
      </c>
      <c r="N1157" s="52"/>
      <c r="O1157" s="56"/>
      <c r="P1157" s="57"/>
      <c r="Q1157" s="58"/>
      <c r="R1157" s="58"/>
      <c r="S1157" s="58"/>
      <c r="T1157" s="52"/>
      <c r="U1157" s="59"/>
      <c r="V1157" s="60"/>
      <c r="W1157" s="61"/>
    </row>
    <row r="1158" spans="1:24" ht="18.75" customHeight="1">
      <c r="A1158" s="55" t="s">
        <v>48</v>
      </c>
      <c r="B1158" s="52"/>
      <c r="C1158" s="56"/>
      <c r="D1158" s="57"/>
      <c r="E1158" s="58"/>
      <c r="F1158" s="58"/>
      <c r="G1158" s="58"/>
      <c r="H1158" s="52"/>
      <c r="I1158" s="59" t="e">
        <f>I1159/C1159/8</f>
        <v>#DIV/0!</v>
      </c>
      <c r="J1158" s="60"/>
      <c r="K1158" s="61"/>
      <c r="M1158" s="55" t="s">
        <v>48</v>
      </c>
      <c r="N1158" s="52"/>
      <c r="O1158" s="56"/>
      <c r="P1158" s="57"/>
      <c r="Q1158" s="58"/>
      <c r="R1158" s="58"/>
      <c r="S1158" s="58"/>
      <c r="T1158" s="52"/>
      <c r="U1158" s="59" t="e">
        <f>U1159/O1159/8</f>
        <v>#DIV/0!</v>
      </c>
      <c r="V1158" s="60"/>
      <c r="W1158" s="61"/>
    </row>
    <row r="1159" spans="1:24" ht="18.75" customHeight="1">
      <c r="A1159" s="55" t="s">
        <v>49</v>
      </c>
      <c r="B1159" s="52" t="s">
        <v>41</v>
      </c>
      <c r="C1159" s="56"/>
      <c r="D1159" s="57" t="s">
        <v>50</v>
      </c>
      <c r="E1159" s="453" t="s">
        <v>51</v>
      </c>
      <c r="F1159" s="453"/>
      <c r="G1159" s="453"/>
      <c r="H1159" s="52" t="s">
        <v>41</v>
      </c>
      <c r="I1159" s="454" t="e">
        <f>I1157*680/((C1159-C1166)*8+C1166*7+C1163)*((C1159-C1166)*8+C1166*7)</f>
        <v>#DIV/0!</v>
      </c>
      <c r="J1159" s="454"/>
      <c r="K1159" s="61" t="s">
        <v>46</v>
      </c>
      <c r="L1159" s="62">
        <f>F1156/L1149*C1159</f>
        <v>0</v>
      </c>
      <c r="M1159" s="55" t="s">
        <v>49</v>
      </c>
      <c r="N1159" s="52" t="s">
        <v>41</v>
      </c>
      <c r="O1159" s="56"/>
      <c r="P1159" s="57" t="s">
        <v>50</v>
      </c>
      <c r="Q1159" s="453" t="s">
        <v>51</v>
      </c>
      <c r="R1159" s="453"/>
      <c r="S1159" s="453"/>
      <c r="T1159" s="52" t="s">
        <v>41</v>
      </c>
      <c r="U1159" s="454" t="e">
        <f>U1157*680/((O1159-O1166)*8+O1166*7+O1163)*((O1159-O1166)*8+O1166*7)</f>
        <v>#DIV/0!</v>
      </c>
      <c r="V1159" s="454"/>
      <c r="W1159" s="61" t="s">
        <v>46</v>
      </c>
      <c r="X1159" s="62">
        <f>R1156/X1149*O1159</f>
        <v>0</v>
      </c>
    </row>
    <row r="1160" spans="1:24" ht="18.75" customHeight="1">
      <c r="A1160" s="55" t="s">
        <v>52</v>
      </c>
      <c r="B1160" s="52" t="s">
        <v>41</v>
      </c>
      <c r="C1160" s="56"/>
      <c r="D1160" s="57" t="s">
        <v>50</v>
      </c>
      <c r="E1160" s="441" t="s">
        <v>53</v>
      </c>
      <c r="F1160" s="441"/>
      <c r="G1160" s="441"/>
      <c r="H1160" s="52" t="s">
        <v>41</v>
      </c>
      <c r="I1160" s="452">
        <f>$F$8/$L$1*C1160</f>
        <v>0</v>
      </c>
      <c r="J1160" s="452"/>
      <c r="K1160" s="61" t="s">
        <v>46</v>
      </c>
      <c r="L1160" s="62"/>
      <c r="M1160" s="55" t="s">
        <v>52</v>
      </c>
      <c r="N1160" s="52" t="s">
        <v>41</v>
      </c>
      <c r="O1160" s="56"/>
      <c r="P1160" s="57" t="s">
        <v>50</v>
      </c>
      <c r="Q1160" s="441" t="s">
        <v>53</v>
      </c>
      <c r="R1160" s="441"/>
      <c r="S1160" s="441"/>
      <c r="T1160" s="52" t="s">
        <v>41</v>
      </c>
      <c r="U1160" s="452">
        <f>$F$8/$L$1*O1160</f>
        <v>0</v>
      </c>
      <c r="V1160" s="452"/>
      <c r="W1160" s="61" t="s">
        <v>46</v>
      </c>
      <c r="X1160" s="62"/>
    </row>
    <row r="1161" spans="1:24" ht="18.75" customHeight="1">
      <c r="A1161" s="55" t="s">
        <v>54</v>
      </c>
      <c r="B1161" s="52" t="s">
        <v>41</v>
      </c>
      <c r="C1161" s="56"/>
      <c r="D1161" s="57" t="s">
        <v>50</v>
      </c>
      <c r="E1161" s="451" t="s">
        <v>55</v>
      </c>
      <c r="F1161" s="451"/>
      <c r="G1161" s="451"/>
      <c r="H1161" s="52" t="s">
        <v>41</v>
      </c>
      <c r="I1161" s="452">
        <f>$F$8/$L$1*C1161</f>
        <v>0</v>
      </c>
      <c r="J1161" s="452"/>
      <c r="K1161" s="61" t="s">
        <v>46</v>
      </c>
      <c r="L1161" s="62"/>
      <c r="M1161" s="55" t="s">
        <v>54</v>
      </c>
      <c r="N1161" s="52" t="s">
        <v>41</v>
      </c>
      <c r="O1161" s="56"/>
      <c r="P1161" s="57" t="s">
        <v>50</v>
      </c>
      <c r="Q1161" s="451" t="s">
        <v>55</v>
      </c>
      <c r="R1161" s="451"/>
      <c r="S1161" s="451"/>
      <c r="T1161" s="52" t="s">
        <v>41</v>
      </c>
      <c r="U1161" s="452">
        <f>$F$8/$L$1*O1161</f>
        <v>0</v>
      </c>
      <c r="V1161" s="452"/>
      <c r="W1161" s="61" t="s">
        <v>46</v>
      </c>
      <c r="X1161" s="62"/>
    </row>
    <row r="1162" spans="1:24" ht="18.75" customHeight="1">
      <c r="A1162" s="55" t="s">
        <v>56</v>
      </c>
      <c r="B1162" s="52" t="s">
        <v>41</v>
      </c>
      <c r="C1162" s="56"/>
      <c r="D1162" s="57" t="s">
        <v>50</v>
      </c>
      <c r="E1162" s="451" t="s">
        <v>57</v>
      </c>
      <c r="F1162" s="451"/>
      <c r="G1162" s="451"/>
      <c r="H1162" s="52" t="s">
        <v>41</v>
      </c>
      <c r="I1162" s="452">
        <f>$F$8/$L$1*C1162</f>
        <v>0</v>
      </c>
      <c r="J1162" s="452"/>
      <c r="K1162" s="61" t="s">
        <v>46</v>
      </c>
      <c r="L1162" s="62"/>
      <c r="M1162" s="55" t="s">
        <v>56</v>
      </c>
      <c r="N1162" s="52" t="s">
        <v>41</v>
      </c>
      <c r="O1162" s="56"/>
      <c r="P1162" s="57" t="s">
        <v>50</v>
      </c>
      <c r="Q1162" s="451" t="s">
        <v>57</v>
      </c>
      <c r="R1162" s="451"/>
      <c r="S1162" s="451"/>
      <c r="T1162" s="52" t="s">
        <v>41</v>
      </c>
      <c r="U1162" s="452">
        <f>$F$8/$L$1*O1162</f>
        <v>0</v>
      </c>
      <c r="V1162" s="452"/>
      <c r="W1162" s="61" t="s">
        <v>46</v>
      </c>
      <c r="X1162" s="62"/>
    </row>
    <row r="1163" spans="1:24" ht="18.75" customHeight="1">
      <c r="A1163" s="55" t="s">
        <v>58</v>
      </c>
      <c r="B1163" s="52" t="s">
        <v>41</v>
      </c>
      <c r="C1163" s="56"/>
      <c r="D1163" s="57" t="s">
        <v>59</v>
      </c>
      <c r="E1163" s="441" t="s">
        <v>60</v>
      </c>
      <c r="F1163" s="441"/>
      <c r="G1163" s="441"/>
      <c r="H1163" s="52" t="s">
        <v>41</v>
      </c>
      <c r="I1163" s="452" t="e">
        <f>I1159/C1159/8*C1163</f>
        <v>#DIV/0!</v>
      </c>
      <c r="J1163" s="452"/>
      <c r="K1163" s="61" t="s">
        <v>46</v>
      </c>
      <c r="L1163" s="62">
        <f>F1156*C1163/L1149/8*1.5</f>
        <v>0</v>
      </c>
      <c r="M1163" s="55" t="s">
        <v>58</v>
      </c>
      <c r="N1163" s="52" t="s">
        <v>41</v>
      </c>
      <c r="O1163" s="56"/>
      <c r="P1163" s="57" t="s">
        <v>59</v>
      </c>
      <c r="Q1163" s="441" t="s">
        <v>60</v>
      </c>
      <c r="R1163" s="441"/>
      <c r="S1163" s="441"/>
      <c r="T1163" s="52" t="s">
        <v>41</v>
      </c>
      <c r="U1163" s="452" t="e">
        <f>U1159/O1159/8*O1163</f>
        <v>#DIV/0!</v>
      </c>
      <c r="V1163" s="452"/>
      <c r="W1163" s="61" t="s">
        <v>46</v>
      </c>
      <c r="X1163" s="62">
        <f>R1156*O1163/X1149/8*1.5</f>
        <v>0</v>
      </c>
    </row>
    <row r="1164" spans="1:24" ht="18.75" customHeight="1">
      <c r="A1164" s="440" t="s">
        <v>61</v>
      </c>
      <c r="B1164" s="441"/>
      <c r="C1164" s="56"/>
      <c r="D1164" s="57" t="s">
        <v>50</v>
      </c>
      <c r="E1164" s="441" t="s">
        <v>62</v>
      </c>
      <c r="F1164" s="441"/>
      <c r="G1164" s="441"/>
      <c r="H1164" s="63" t="s">
        <v>41</v>
      </c>
      <c r="I1164" s="452"/>
      <c r="J1164" s="452"/>
      <c r="K1164" s="61" t="s">
        <v>46</v>
      </c>
      <c r="L1164" s="62"/>
      <c r="M1164" s="440" t="s">
        <v>61</v>
      </c>
      <c r="N1164" s="441"/>
      <c r="O1164" s="56"/>
      <c r="P1164" s="57" t="s">
        <v>50</v>
      </c>
      <c r="Q1164" s="441" t="s">
        <v>62</v>
      </c>
      <c r="R1164" s="441"/>
      <c r="S1164" s="441"/>
      <c r="T1164" s="63" t="s">
        <v>41</v>
      </c>
      <c r="U1164" s="452"/>
      <c r="V1164" s="452"/>
      <c r="W1164" s="61" t="s">
        <v>46</v>
      </c>
      <c r="X1164" s="62"/>
    </row>
    <row r="1165" spans="1:24" ht="18.75" customHeight="1">
      <c r="A1165" s="55" t="s">
        <v>63</v>
      </c>
      <c r="B1165" s="52" t="s">
        <v>41</v>
      </c>
      <c r="C1165" s="56"/>
      <c r="D1165" s="57" t="s">
        <v>50</v>
      </c>
      <c r="E1165" s="441" t="s">
        <v>64</v>
      </c>
      <c r="F1165" s="441"/>
      <c r="G1165" s="441"/>
      <c r="H1165" s="52" t="s">
        <v>41</v>
      </c>
      <c r="I1165" s="452"/>
      <c r="J1165" s="452"/>
      <c r="K1165" s="61" t="s">
        <v>46</v>
      </c>
      <c r="L1165" s="62"/>
      <c r="M1165" s="55" t="s">
        <v>63</v>
      </c>
      <c r="N1165" s="52" t="s">
        <v>41</v>
      </c>
      <c r="O1165" s="56"/>
      <c r="P1165" s="57" t="s">
        <v>50</v>
      </c>
      <c r="Q1165" s="441" t="s">
        <v>64</v>
      </c>
      <c r="R1165" s="441"/>
      <c r="S1165" s="441"/>
      <c r="T1165" s="52" t="s">
        <v>41</v>
      </c>
      <c r="U1165" s="452"/>
      <c r="V1165" s="452"/>
      <c r="W1165" s="61" t="s">
        <v>46</v>
      </c>
      <c r="X1165" s="62"/>
    </row>
    <row r="1166" spans="1:24" ht="18.75" customHeight="1">
      <c r="A1166" s="64" t="s">
        <v>65</v>
      </c>
      <c r="B1166" s="52"/>
      <c r="C1166" s="56"/>
      <c r="D1166" s="57" t="s">
        <v>59</v>
      </c>
      <c r="E1166" s="441" t="s">
        <v>66</v>
      </c>
      <c r="F1166" s="441"/>
      <c r="G1166" s="441"/>
      <c r="H1166" s="52" t="s">
        <v>41</v>
      </c>
      <c r="I1166" s="452">
        <f>$F$8*C1166/8/$L$1</f>
        <v>0</v>
      </c>
      <c r="J1166" s="452"/>
      <c r="K1166" s="61" t="s">
        <v>46</v>
      </c>
      <c r="L1166" s="62"/>
      <c r="M1166" s="64" t="s">
        <v>65</v>
      </c>
      <c r="N1166" s="52"/>
      <c r="O1166" s="56"/>
      <c r="P1166" s="57" t="s">
        <v>59</v>
      </c>
      <c r="Q1166" s="441" t="s">
        <v>66</v>
      </c>
      <c r="R1166" s="441"/>
      <c r="S1166" s="441"/>
      <c r="T1166" s="52" t="s">
        <v>41</v>
      </c>
      <c r="U1166" s="452">
        <f>$F$8*O1166/8/$L$1</f>
        <v>0</v>
      </c>
      <c r="V1166" s="452"/>
      <c r="W1166" s="61" t="s">
        <v>46</v>
      </c>
      <c r="X1166" s="62"/>
    </row>
    <row r="1167" spans="1:24" ht="18.75" customHeight="1">
      <c r="A1167" s="55" t="s">
        <v>67</v>
      </c>
      <c r="B1167" s="52" t="s">
        <v>41</v>
      </c>
      <c r="C1167" s="56"/>
      <c r="D1167" s="57" t="s">
        <v>59</v>
      </c>
      <c r="E1167" s="441" t="s">
        <v>68</v>
      </c>
      <c r="F1167" s="441"/>
      <c r="G1167" s="441"/>
      <c r="H1167" s="52" t="s">
        <v>41</v>
      </c>
      <c r="I1167" s="454"/>
      <c r="J1167" s="454"/>
      <c r="K1167" s="61" t="s">
        <v>46</v>
      </c>
      <c r="L1167" s="62"/>
      <c r="M1167" s="55" t="s">
        <v>67</v>
      </c>
      <c r="N1167" s="52" t="s">
        <v>41</v>
      </c>
      <c r="O1167" s="56"/>
      <c r="P1167" s="57" t="s">
        <v>59</v>
      </c>
      <c r="Q1167" s="441" t="s">
        <v>68</v>
      </c>
      <c r="R1167" s="441"/>
      <c r="S1167" s="441"/>
      <c r="T1167" s="52" t="s">
        <v>41</v>
      </c>
      <c r="U1167" s="454"/>
      <c r="V1167" s="454"/>
      <c r="W1167" s="61" t="s">
        <v>46</v>
      </c>
      <c r="X1167" s="62"/>
    </row>
    <row r="1168" spans="1:24" ht="18.75" customHeight="1">
      <c r="A1168" s="55" t="s">
        <v>69</v>
      </c>
      <c r="B1168" s="52" t="s">
        <v>41</v>
      </c>
      <c r="C1168" s="56"/>
      <c r="D1168" s="57" t="s">
        <v>70</v>
      </c>
      <c r="E1168" s="53" t="s">
        <v>71</v>
      </c>
      <c r="F1168" s="53"/>
      <c r="G1168" s="53"/>
      <c r="H1168" s="52" t="s">
        <v>41</v>
      </c>
      <c r="I1168" s="452"/>
      <c r="J1168" s="452"/>
      <c r="K1168" s="61" t="s">
        <v>46</v>
      </c>
      <c r="L1168" s="62" t="e">
        <f>+IF(L1159-I1159&lt;0,0,L1159-I1159)+IF(L1163-I1163&lt;0,0,L1163-I1163)</f>
        <v>#DIV/0!</v>
      </c>
      <c r="M1168" s="55" t="s">
        <v>69</v>
      </c>
      <c r="N1168" s="52" t="s">
        <v>41</v>
      </c>
      <c r="O1168" s="56"/>
      <c r="P1168" s="57" t="s">
        <v>70</v>
      </c>
      <c r="Q1168" s="53" t="s">
        <v>71</v>
      </c>
      <c r="R1168" s="53"/>
      <c r="S1168" s="53"/>
      <c r="T1168" s="52" t="s">
        <v>41</v>
      </c>
      <c r="U1168" s="452"/>
      <c r="V1168" s="452"/>
      <c r="W1168" s="61" t="s">
        <v>46</v>
      </c>
      <c r="X1168" s="62" t="e">
        <f>+IF(X1159-U1159&lt;0,0,X1159-U1159)+IF(X1163-U1163&lt;0,0,X1163-U1163)</f>
        <v>#DIV/0!</v>
      </c>
    </row>
    <row r="1169" spans="1:24" ht="18.75" customHeight="1">
      <c r="A1169" s="65" t="s">
        <v>72</v>
      </c>
      <c r="B1169" s="66"/>
      <c r="C1169" s="56"/>
      <c r="D1169" s="57" t="s">
        <v>50</v>
      </c>
      <c r="E1169" s="441" t="s">
        <v>73</v>
      </c>
      <c r="F1169" s="441"/>
      <c r="G1169" s="441"/>
      <c r="H1169" s="52" t="s">
        <v>41</v>
      </c>
      <c r="I1169" s="452"/>
      <c r="J1169" s="452"/>
      <c r="K1169" s="61" t="s">
        <v>46</v>
      </c>
      <c r="L1169" s="62"/>
      <c r="M1169" s="65" t="s">
        <v>72</v>
      </c>
      <c r="N1169" s="66"/>
      <c r="O1169" s="56"/>
      <c r="P1169" s="57" t="s">
        <v>50</v>
      </c>
      <c r="Q1169" s="441" t="s">
        <v>73</v>
      </c>
      <c r="R1169" s="441"/>
      <c r="S1169" s="441"/>
      <c r="T1169" s="52" t="s">
        <v>41</v>
      </c>
      <c r="U1169" s="452"/>
      <c r="V1169" s="452"/>
      <c r="W1169" s="61" t="s">
        <v>46</v>
      </c>
      <c r="X1169" s="62"/>
    </row>
    <row r="1170" spans="1:24" ht="18.75" customHeight="1">
      <c r="A1170" s="477" t="s">
        <v>74</v>
      </c>
      <c r="B1170" s="453"/>
      <c r="C1170" s="56"/>
      <c r="D1170" s="57"/>
      <c r="E1170" s="58"/>
      <c r="F1170" s="58"/>
      <c r="G1170" s="58"/>
      <c r="H1170" s="52" t="s">
        <v>41</v>
      </c>
      <c r="I1170" s="452"/>
      <c r="J1170" s="452"/>
      <c r="K1170" s="61" t="s">
        <v>46</v>
      </c>
      <c r="L1170" s="62"/>
      <c r="M1170" s="477" t="s">
        <v>74</v>
      </c>
      <c r="N1170" s="453"/>
      <c r="O1170" s="56"/>
      <c r="P1170" s="57"/>
      <c r="Q1170" s="58"/>
      <c r="R1170" s="58"/>
      <c r="S1170" s="58"/>
      <c r="T1170" s="52" t="s">
        <v>41</v>
      </c>
      <c r="U1170" s="452"/>
      <c r="V1170" s="452"/>
      <c r="W1170" s="61" t="s">
        <v>46</v>
      </c>
      <c r="X1170" s="62"/>
    </row>
    <row r="1171" spans="1:24" ht="18.75" customHeight="1">
      <c r="A1171" s="55" t="s">
        <v>75</v>
      </c>
      <c r="B1171" s="52" t="s">
        <v>41</v>
      </c>
      <c r="C1171" s="56"/>
      <c r="D1171" s="57"/>
      <c r="E1171" s="58" t="s">
        <v>76</v>
      </c>
      <c r="F1171" s="58"/>
      <c r="G1171" s="58"/>
      <c r="H1171" s="52" t="s">
        <v>41</v>
      </c>
      <c r="I1171" s="452" t="e">
        <f>L1168</f>
        <v>#DIV/0!</v>
      </c>
      <c r="J1171" s="452"/>
      <c r="K1171" s="61" t="s">
        <v>46</v>
      </c>
      <c r="L1171" s="62"/>
      <c r="M1171" s="55" t="s">
        <v>75</v>
      </c>
      <c r="N1171" s="52" t="s">
        <v>41</v>
      </c>
      <c r="O1171" s="56"/>
      <c r="P1171" s="57"/>
      <c r="Q1171" s="58" t="s">
        <v>76</v>
      </c>
      <c r="R1171" s="58"/>
      <c r="S1171" s="58"/>
      <c r="T1171" s="52" t="s">
        <v>41</v>
      </c>
      <c r="U1171" s="452" t="e">
        <f>X1168</f>
        <v>#DIV/0!</v>
      </c>
      <c r="V1171" s="452"/>
      <c r="W1171" s="61" t="s">
        <v>46</v>
      </c>
      <c r="X1171" s="62"/>
    </row>
    <row r="1172" spans="1:24" ht="18.75" customHeight="1">
      <c r="A1172" s="456" t="s">
        <v>77</v>
      </c>
      <c r="B1172" s="457"/>
      <c r="C1172" s="457"/>
      <c r="D1172" s="457"/>
      <c r="E1172" s="457"/>
      <c r="F1172" s="457"/>
      <c r="G1172" s="52" t="s">
        <v>41</v>
      </c>
      <c r="H1172" s="459" t="e">
        <f>I1159+I1160+I1161+I1162+I1163+I1166+I1170+I1171</f>
        <v>#DIV/0!</v>
      </c>
      <c r="I1172" s="459"/>
      <c r="J1172" s="459"/>
      <c r="K1172" s="61" t="s">
        <v>46</v>
      </c>
      <c r="M1172" s="456" t="s">
        <v>77</v>
      </c>
      <c r="N1172" s="457"/>
      <c r="O1172" s="457"/>
      <c r="P1172" s="457"/>
      <c r="Q1172" s="457"/>
      <c r="R1172" s="457"/>
      <c r="S1172" s="52" t="s">
        <v>41</v>
      </c>
      <c r="T1172" s="459" t="e">
        <f>U1159+U1160+U1161+U1162+U1163+U1166+U1170+U1171</f>
        <v>#DIV/0!</v>
      </c>
      <c r="U1172" s="459"/>
      <c r="V1172" s="459"/>
      <c r="W1172" s="61" t="s">
        <v>46</v>
      </c>
    </row>
    <row r="1173" spans="1:24" ht="18.75" customHeight="1">
      <c r="A1173" s="67"/>
      <c r="B1173" s="68"/>
      <c r="C1173" s="68"/>
      <c r="D1173" s="68"/>
      <c r="E1173" s="68"/>
      <c r="F1173" s="68"/>
      <c r="G1173" s="68"/>
      <c r="H1173" s="68"/>
      <c r="I1173" s="68"/>
      <c r="J1173" s="68"/>
      <c r="K1173" s="69"/>
      <c r="M1173" s="67"/>
      <c r="N1173" s="68"/>
      <c r="O1173" s="68"/>
      <c r="P1173" s="68"/>
      <c r="Q1173" s="68"/>
      <c r="R1173" s="68"/>
      <c r="S1173" s="68"/>
      <c r="T1173" s="68"/>
      <c r="U1173" s="68"/>
      <c r="V1173" s="68"/>
      <c r="W1173" s="69"/>
    </row>
    <row r="1174" spans="1:24" ht="18.75" customHeight="1">
      <c r="A1174" s="468" t="s">
        <v>78</v>
      </c>
      <c r="B1174" s="469"/>
      <c r="C1174" s="469"/>
      <c r="D1174" s="469"/>
      <c r="E1174" s="469"/>
      <c r="F1174" s="469"/>
      <c r="G1174" s="52"/>
      <c r="H1174" s="52"/>
      <c r="I1174" s="52"/>
      <c r="J1174" s="52"/>
      <c r="K1174" s="61"/>
      <c r="M1174" s="468" t="s">
        <v>78</v>
      </c>
      <c r="N1174" s="469"/>
      <c r="O1174" s="469"/>
      <c r="P1174" s="469"/>
      <c r="Q1174" s="469"/>
      <c r="R1174" s="469"/>
      <c r="S1174" s="52"/>
      <c r="T1174" s="52"/>
      <c r="U1174" s="52"/>
      <c r="V1174" s="52"/>
      <c r="W1174" s="61"/>
    </row>
    <row r="1175" spans="1:24" ht="18.75" customHeight="1">
      <c r="A1175" s="462" t="s">
        <v>79</v>
      </c>
      <c r="B1175" s="463"/>
      <c r="C1175" s="463"/>
      <c r="D1175" s="463"/>
      <c r="E1175" s="463"/>
      <c r="F1175" s="463"/>
      <c r="G1175" s="52" t="s">
        <v>41</v>
      </c>
      <c r="H1175" s="470">
        <f>IF(($L$1-(C1159+C1160+C1161+C1162))&gt;12,0,F1156*8%)</f>
        <v>0</v>
      </c>
      <c r="I1175" s="470"/>
      <c r="J1175" s="470"/>
      <c r="K1175" s="61" t="s">
        <v>46</v>
      </c>
      <c r="M1175" s="462" t="s">
        <v>79</v>
      </c>
      <c r="N1175" s="463"/>
      <c r="O1175" s="463"/>
      <c r="P1175" s="463"/>
      <c r="Q1175" s="463"/>
      <c r="R1175" s="463"/>
      <c r="S1175" s="52" t="s">
        <v>41</v>
      </c>
      <c r="T1175" s="470">
        <f t="shared" ref="T1175:T1180" si="0">IF(($L$1-(O1159+O1160+O1161+O1162))&gt;12,0,R1156*8%)</f>
        <v>0</v>
      </c>
      <c r="U1175" s="470"/>
      <c r="V1175" s="470"/>
      <c r="W1175" s="61" t="s">
        <v>46</v>
      </c>
    </row>
    <row r="1176" spans="1:24" ht="18.75" customHeight="1">
      <c r="A1176" s="462" t="s">
        <v>80</v>
      </c>
      <c r="B1176" s="463"/>
      <c r="C1176" s="463"/>
      <c r="D1176" s="463"/>
      <c r="E1176" s="463"/>
      <c r="F1176" s="463"/>
      <c r="G1176" s="52" t="s">
        <v>41</v>
      </c>
      <c r="H1176" s="464">
        <f>IF(($L$1-(C1159+C1160+C1161+C1162))&gt;12,0,F1156*1.5%)</f>
        <v>0</v>
      </c>
      <c r="I1176" s="464"/>
      <c r="J1176" s="464"/>
      <c r="K1176" s="61" t="s">
        <v>46</v>
      </c>
      <c r="M1176" s="462" t="s">
        <v>80</v>
      </c>
      <c r="N1176" s="463"/>
      <c r="O1176" s="463"/>
      <c r="P1176" s="463"/>
      <c r="Q1176" s="463"/>
      <c r="R1176" s="463"/>
      <c r="S1176" s="52" t="s">
        <v>41</v>
      </c>
      <c r="T1176" s="470">
        <f t="shared" si="0"/>
        <v>0</v>
      </c>
      <c r="U1176" s="470"/>
      <c r="V1176" s="470"/>
      <c r="W1176" s="61" t="s">
        <v>46</v>
      </c>
    </row>
    <row r="1177" spans="1:24" ht="18.75" customHeight="1">
      <c r="A1177" s="462" t="s">
        <v>81</v>
      </c>
      <c r="B1177" s="463"/>
      <c r="C1177" s="463"/>
      <c r="D1177" s="463"/>
      <c r="E1177" s="463"/>
      <c r="F1177" s="463"/>
      <c r="G1177" s="52" t="s">
        <v>41</v>
      </c>
      <c r="H1177" s="464">
        <f>IF(($L$1-(C1159+C1160+C1161+C1162))&gt;12,0,F1156*1%)</f>
        <v>0</v>
      </c>
      <c r="I1177" s="464"/>
      <c r="J1177" s="464"/>
      <c r="K1177" s="61" t="s">
        <v>46</v>
      </c>
      <c r="M1177" s="462" t="s">
        <v>81</v>
      </c>
      <c r="N1177" s="463"/>
      <c r="O1177" s="463"/>
      <c r="P1177" s="463"/>
      <c r="Q1177" s="463"/>
      <c r="R1177" s="463"/>
      <c r="S1177" s="52" t="s">
        <v>41</v>
      </c>
      <c r="T1177" s="470">
        <f t="shared" si="0"/>
        <v>0</v>
      </c>
      <c r="U1177" s="470"/>
      <c r="V1177" s="470"/>
      <c r="W1177" s="61" t="s">
        <v>46</v>
      </c>
    </row>
    <row r="1178" spans="1:24" ht="18.75" customHeight="1">
      <c r="A1178" s="462" t="s">
        <v>82</v>
      </c>
      <c r="B1178" s="463"/>
      <c r="C1178" s="463"/>
      <c r="D1178" s="463"/>
      <c r="E1178" s="463"/>
      <c r="F1178" s="463"/>
      <c r="G1178" s="52" t="s">
        <v>41</v>
      </c>
      <c r="H1178" s="464">
        <v>0</v>
      </c>
      <c r="I1178" s="464"/>
      <c r="J1178" s="464"/>
      <c r="K1178" s="61" t="s">
        <v>46</v>
      </c>
      <c r="M1178" s="462" t="s">
        <v>82</v>
      </c>
      <c r="N1178" s="463"/>
      <c r="O1178" s="463"/>
      <c r="P1178" s="463"/>
      <c r="Q1178" s="463"/>
      <c r="R1178" s="463"/>
      <c r="S1178" s="52" t="s">
        <v>41</v>
      </c>
      <c r="T1178" s="470">
        <f t="shared" si="0"/>
        <v>0</v>
      </c>
      <c r="U1178" s="470"/>
      <c r="V1178" s="470"/>
      <c r="W1178" s="61" t="s">
        <v>46</v>
      </c>
    </row>
    <row r="1179" spans="1:24" ht="18.75" customHeight="1">
      <c r="A1179" s="465" t="s">
        <v>83</v>
      </c>
      <c r="B1179" s="466"/>
      <c r="C1179" s="466"/>
      <c r="D1179" s="466"/>
      <c r="E1179" s="466"/>
      <c r="F1179" s="466"/>
      <c r="G1179" s="52" t="s">
        <v>41</v>
      </c>
      <c r="H1179" s="467">
        <f>SUM(H1175:J1178)</f>
        <v>0</v>
      </c>
      <c r="I1179" s="467"/>
      <c r="J1179" s="467"/>
      <c r="K1179" s="61" t="s">
        <v>46</v>
      </c>
      <c r="M1179" s="465" t="s">
        <v>83</v>
      </c>
      <c r="N1179" s="466"/>
      <c r="O1179" s="466"/>
      <c r="P1179" s="466"/>
      <c r="Q1179" s="466"/>
      <c r="R1179" s="466"/>
      <c r="S1179" s="52" t="s">
        <v>41</v>
      </c>
      <c r="T1179" s="470">
        <f t="shared" si="0"/>
        <v>0</v>
      </c>
      <c r="U1179" s="470"/>
      <c r="V1179" s="470"/>
      <c r="W1179" s="61" t="s">
        <v>46</v>
      </c>
    </row>
    <row r="1180" spans="1:24" ht="18.75" customHeight="1">
      <c r="A1180" s="462" t="s">
        <v>84</v>
      </c>
      <c r="B1180" s="463"/>
      <c r="C1180" s="463"/>
      <c r="D1180" s="463"/>
      <c r="E1180" s="463"/>
      <c r="F1180" s="463"/>
      <c r="G1180" s="52" t="s">
        <v>41</v>
      </c>
      <c r="H1180" s="475" t="e">
        <f>ROUND(H1172-H1179,-2)</f>
        <v>#DIV/0!</v>
      </c>
      <c r="I1180" s="475"/>
      <c r="J1180" s="475"/>
      <c r="K1180" s="61" t="s">
        <v>46</v>
      </c>
      <c r="M1180" s="462" t="s">
        <v>84</v>
      </c>
      <c r="N1180" s="463"/>
      <c r="O1180" s="463"/>
      <c r="P1180" s="463"/>
      <c r="Q1180" s="463"/>
      <c r="R1180" s="463"/>
      <c r="S1180" s="52" t="s">
        <v>41</v>
      </c>
      <c r="T1180" s="470">
        <f t="shared" si="0"/>
        <v>0</v>
      </c>
      <c r="U1180" s="470"/>
      <c r="V1180" s="470"/>
      <c r="W1180" s="61" t="s">
        <v>46</v>
      </c>
    </row>
    <row r="1181" spans="1:24" ht="18.75" customHeight="1">
      <c r="A1181" s="70"/>
      <c r="B1181" s="71"/>
      <c r="C1181" s="71"/>
      <c r="D1181" s="71"/>
      <c r="E1181" s="71"/>
      <c r="F1181" s="71"/>
      <c r="G1181" s="71"/>
      <c r="H1181" s="71"/>
      <c r="I1181" s="71"/>
      <c r="J1181" s="71"/>
      <c r="K1181" s="72"/>
      <c r="M1181" s="70"/>
      <c r="N1181" s="71"/>
      <c r="O1181" s="71"/>
      <c r="P1181" s="71"/>
      <c r="Q1181" s="71"/>
      <c r="R1181" s="71"/>
      <c r="S1181" s="71"/>
      <c r="T1181" s="71"/>
      <c r="U1181" s="71"/>
      <c r="V1181" s="71"/>
      <c r="W1181" s="72"/>
    </row>
    <row r="1182" spans="1:24" ht="18.75" customHeight="1">
      <c r="A1182" s="73"/>
      <c r="B1182" s="52"/>
      <c r="C1182" s="52"/>
      <c r="D1182" s="52"/>
      <c r="E1182" s="52"/>
      <c r="F1182" s="52"/>
      <c r="G1182" s="52"/>
      <c r="H1182" s="52"/>
      <c r="I1182" s="472" t="s">
        <v>85</v>
      </c>
      <c r="J1182" s="472"/>
      <c r="K1182" s="476"/>
      <c r="M1182" s="73"/>
      <c r="N1182" s="52"/>
      <c r="O1182" s="52"/>
      <c r="P1182" s="52"/>
      <c r="Q1182" s="52"/>
      <c r="R1182" s="52"/>
      <c r="S1182" s="52"/>
      <c r="T1182" s="52"/>
      <c r="U1182" s="472" t="s">
        <v>85</v>
      </c>
      <c r="V1182" s="472"/>
      <c r="W1182" s="476"/>
    </row>
    <row r="1183" spans="1:24" ht="18.75" customHeight="1">
      <c r="A1183" s="73"/>
      <c r="B1183" s="471"/>
      <c r="C1183" s="472"/>
      <c r="D1183" s="472"/>
      <c r="E1183" s="472"/>
      <c r="F1183" s="52"/>
      <c r="G1183" s="52"/>
      <c r="H1183" s="52"/>
      <c r="I1183" s="52"/>
      <c r="J1183" s="52"/>
      <c r="K1183" s="54"/>
      <c r="M1183" s="73"/>
      <c r="N1183" s="471"/>
      <c r="O1183" s="472"/>
      <c r="P1183" s="472"/>
      <c r="Q1183" s="472"/>
      <c r="R1183" s="52"/>
      <c r="S1183" s="52"/>
      <c r="T1183" s="52"/>
      <c r="U1183" s="52"/>
      <c r="V1183" s="52"/>
      <c r="W1183" s="54"/>
    </row>
    <row r="1184" spans="1:24" ht="18.75" customHeight="1" thickBot="1">
      <c r="A1184" s="75"/>
      <c r="B1184" s="76"/>
      <c r="C1184" s="76"/>
      <c r="D1184" s="76"/>
      <c r="E1184" s="76"/>
      <c r="F1184" s="76"/>
      <c r="G1184" s="76"/>
      <c r="H1184" s="76"/>
      <c r="I1184" s="473" t="s">
        <v>86</v>
      </c>
      <c r="J1184" s="473"/>
      <c r="K1184" s="474"/>
      <c r="M1184" s="75"/>
      <c r="N1184" s="76"/>
      <c r="O1184" s="76"/>
      <c r="P1184" s="76"/>
      <c r="Q1184" s="76"/>
      <c r="R1184" s="76"/>
      <c r="S1184" s="76"/>
      <c r="T1184" s="76"/>
      <c r="U1184" s="473" t="s">
        <v>86</v>
      </c>
      <c r="V1184" s="473"/>
      <c r="W1184" s="474"/>
    </row>
    <row r="1185" ht="18.75" customHeight="1" thickTop="1"/>
  </sheetData>
  <mergeCells count="3457">
    <mergeCell ref="B1183:E1183"/>
    <mergeCell ref="N1183:Q1183"/>
    <mergeCell ref="I1184:K1184"/>
    <mergeCell ref="U1184:W1184"/>
    <mergeCell ref="A1180:F1180"/>
    <mergeCell ref="H1180:J1180"/>
    <mergeCell ref="M1180:R1180"/>
    <mergeCell ref="T1180:V1180"/>
    <mergeCell ref="I1182:K1182"/>
    <mergeCell ref="U1182:W1182"/>
    <mergeCell ref="A1178:F1178"/>
    <mergeCell ref="H1178:J1178"/>
    <mergeCell ref="M1178:R1178"/>
    <mergeCell ref="T1178:V1178"/>
    <mergeCell ref="A1179:F1179"/>
    <mergeCell ref="H1179:J1179"/>
    <mergeCell ref="M1179:R1179"/>
    <mergeCell ref="T1179:V1179"/>
    <mergeCell ref="A1176:F1176"/>
    <mergeCell ref="H1176:J1176"/>
    <mergeCell ref="M1176:R1176"/>
    <mergeCell ref="T1176:V1176"/>
    <mergeCell ref="A1177:F1177"/>
    <mergeCell ref="H1177:J1177"/>
    <mergeCell ref="M1177:R1177"/>
    <mergeCell ref="T1177:V1177"/>
    <mergeCell ref="A1174:F1174"/>
    <mergeCell ref="M1174:R1174"/>
    <mergeCell ref="A1175:F1175"/>
    <mergeCell ref="H1175:J1175"/>
    <mergeCell ref="M1175:R1175"/>
    <mergeCell ref="T1175:V1175"/>
    <mergeCell ref="I1171:J1171"/>
    <mergeCell ref="U1171:V1171"/>
    <mergeCell ref="A1172:F1172"/>
    <mergeCell ref="H1172:J1172"/>
    <mergeCell ref="M1172:R1172"/>
    <mergeCell ref="T1172:V1172"/>
    <mergeCell ref="E1169:G1169"/>
    <mergeCell ref="I1169:J1169"/>
    <mergeCell ref="Q1169:S1169"/>
    <mergeCell ref="U1169:V1169"/>
    <mergeCell ref="A1170:B1170"/>
    <mergeCell ref="I1170:J1170"/>
    <mergeCell ref="M1170:N1170"/>
    <mergeCell ref="U1170:V1170"/>
    <mergeCell ref="E1167:G1167"/>
    <mergeCell ref="I1167:J1167"/>
    <mergeCell ref="Q1167:S1167"/>
    <mergeCell ref="U1167:V1167"/>
    <mergeCell ref="I1168:J1168"/>
    <mergeCell ref="U1168:V1168"/>
    <mergeCell ref="E1165:G1165"/>
    <mergeCell ref="I1165:J1165"/>
    <mergeCell ref="Q1165:S1165"/>
    <mergeCell ref="U1165:V1165"/>
    <mergeCell ref="E1166:G1166"/>
    <mergeCell ref="I1166:J1166"/>
    <mergeCell ref="Q1166:S1166"/>
    <mergeCell ref="U1166:V1166"/>
    <mergeCell ref="E1163:G1163"/>
    <mergeCell ref="I1163:J1163"/>
    <mergeCell ref="Q1163:S1163"/>
    <mergeCell ref="U1163:V1163"/>
    <mergeCell ref="A1164:B1164"/>
    <mergeCell ref="E1164:G1164"/>
    <mergeCell ref="I1164:J1164"/>
    <mergeCell ref="M1164:N1164"/>
    <mergeCell ref="Q1164:S1164"/>
    <mergeCell ref="U1164:V1164"/>
    <mergeCell ref="E1161:G1161"/>
    <mergeCell ref="I1161:J1161"/>
    <mergeCell ref="Q1161:S1161"/>
    <mergeCell ref="U1161:V1161"/>
    <mergeCell ref="E1162:G1162"/>
    <mergeCell ref="I1162:J1162"/>
    <mergeCell ref="Q1162:S1162"/>
    <mergeCell ref="U1162:V1162"/>
    <mergeCell ref="E1159:G1159"/>
    <mergeCell ref="I1159:J1159"/>
    <mergeCell ref="Q1159:S1159"/>
    <mergeCell ref="U1159:V1159"/>
    <mergeCell ref="E1160:G1160"/>
    <mergeCell ref="I1160:J1160"/>
    <mergeCell ref="Q1160:S1160"/>
    <mergeCell ref="U1160:V1160"/>
    <mergeCell ref="A1155:K1155"/>
    <mergeCell ref="M1155:W1155"/>
    <mergeCell ref="A1156:D1156"/>
    <mergeCell ref="F1156:I1156"/>
    <mergeCell ref="M1156:P1156"/>
    <mergeCell ref="R1156:U1156"/>
    <mergeCell ref="A1153:D1153"/>
    <mergeCell ref="F1153:K1153"/>
    <mergeCell ref="M1153:P1153"/>
    <mergeCell ref="R1153:W1153"/>
    <mergeCell ref="A1154:D1154"/>
    <mergeCell ref="F1154:K1154"/>
    <mergeCell ref="M1154:P1154"/>
    <mergeCell ref="R1154:W1154"/>
    <mergeCell ref="A1151:K1151"/>
    <mergeCell ref="M1151:W1151"/>
    <mergeCell ref="A1152:D1152"/>
    <mergeCell ref="F1152:K1152"/>
    <mergeCell ref="M1152:P1152"/>
    <mergeCell ref="R1152:W1152"/>
    <mergeCell ref="B1146:E1146"/>
    <mergeCell ref="N1146:Q1146"/>
    <mergeCell ref="I1147:K1147"/>
    <mergeCell ref="U1147:W1147"/>
    <mergeCell ref="A1149:K1149"/>
    <mergeCell ref="M1149:W1149"/>
    <mergeCell ref="A1143:F1143"/>
    <mergeCell ref="H1143:J1143"/>
    <mergeCell ref="M1143:R1143"/>
    <mergeCell ref="T1143:V1143"/>
    <mergeCell ref="I1145:K1145"/>
    <mergeCell ref="U1145:W1145"/>
    <mergeCell ref="A1141:F1141"/>
    <mergeCell ref="H1141:J1141"/>
    <mergeCell ref="M1141:R1141"/>
    <mergeCell ref="T1141:V1141"/>
    <mergeCell ref="A1142:F1142"/>
    <mergeCell ref="H1142:J1142"/>
    <mergeCell ref="M1142:R1142"/>
    <mergeCell ref="T1142:V1142"/>
    <mergeCell ref="A1139:F1139"/>
    <mergeCell ref="H1139:J1139"/>
    <mergeCell ref="M1139:R1139"/>
    <mergeCell ref="T1139:V1139"/>
    <mergeCell ref="A1140:F1140"/>
    <mergeCell ref="H1140:J1140"/>
    <mergeCell ref="M1140:R1140"/>
    <mergeCell ref="T1140:V1140"/>
    <mergeCell ref="A1137:F1137"/>
    <mergeCell ref="M1137:R1137"/>
    <mergeCell ref="A1138:F1138"/>
    <mergeCell ref="H1138:J1138"/>
    <mergeCell ref="M1138:R1138"/>
    <mergeCell ref="T1138:V1138"/>
    <mergeCell ref="I1134:J1134"/>
    <mergeCell ref="U1134:V1134"/>
    <mergeCell ref="A1135:F1135"/>
    <mergeCell ref="H1135:J1135"/>
    <mergeCell ref="M1135:R1135"/>
    <mergeCell ref="T1135:V1135"/>
    <mergeCell ref="E1132:G1132"/>
    <mergeCell ref="I1132:J1132"/>
    <mergeCell ref="Q1132:S1132"/>
    <mergeCell ref="U1132:V1132"/>
    <mergeCell ref="A1133:B1133"/>
    <mergeCell ref="I1133:J1133"/>
    <mergeCell ref="M1133:N1133"/>
    <mergeCell ref="U1133:V1133"/>
    <mergeCell ref="E1130:G1130"/>
    <mergeCell ref="I1130:J1130"/>
    <mergeCell ref="Q1130:S1130"/>
    <mergeCell ref="U1130:V1130"/>
    <mergeCell ref="I1131:J1131"/>
    <mergeCell ref="U1131:V1131"/>
    <mergeCell ref="E1128:G1128"/>
    <mergeCell ref="I1128:J1128"/>
    <mergeCell ref="Q1128:S1128"/>
    <mergeCell ref="U1128:V1128"/>
    <mergeCell ref="E1129:G1129"/>
    <mergeCell ref="I1129:J1129"/>
    <mergeCell ref="Q1129:S1129"/>
    <mergeCell ref="U1129:V1129"/>
    <mergeCell ref="E1126:G1126"/>
    <mergeCell ref="I1126:J1126"/>
    <mergeCell ref="Q1126:S1126"/>
    <mergeCell ref="U1126:V1126"/>
    <mergeCell ref="A1127:B1127"/>
    <mergeCell ref="E1127:G1127"/>
    <mergeCell ref="I1127:J1127"/>
    <mergeCell ref="M1127:N1127"/>
    <mergeCell ref="Q1127:S1127"/>
    <mergeCell ref="U1127:V1127"/>
    <mergeCell ref="E1124:G1124"/>
    <mergeCell ref="I1124:J1124"/>
    <mergeCell ref="Q1124:S1124"/>
    <mergeCell ref="U1124:V1124"/>
    <mergeCell ref="E1125:G1125"/>
    <mergeCell ref="I1125:J1125"/>
    <mergeCell ref="Q1125:S1125"/>
    <mergeCell ref="U1125:V1125"/>
    <mergeCell ref="E1122:G1122"/>
    <mergeCell ref="I1122:J1122"/>
    <mergeCell ref="Q1122:S1122"/>
    <mergeCell ref="U1122:V1122"/>
    <mergeCell ref="E1123:G1123"/>
    <mergeCell ref="I1123:J1123"/>
    <mergeCell ref="Q1123:S1123"/>
    <mergeCell ref="U1123:V1123"/>
    <mergeCell ref="A1118:K1118"/>
    <mergeCell ref="M1118:W1118"/>
    <mergeCell ref="A1119:D1119"/>
    <mergeCell ref="F1119:I1119"/>
    <mergeCell ref="M1119:P1119"/>
    <mergeCell ref="R1119:U1119"/>
    <mergeCell ref="A1116:D1116"/>
    <mergeCell ref="F1116:K1116"/>
    <mergeCell ref="M1116:P1116"/>
    <mergeCell ref="R1116:W1116"/>
    <mergeCell ref="A1117:D1117"/>
    <mergeCell ref="F1117:K1117"/>
    <mergeCell ref="M1117:P1117"/>
    <mergeCell ref="R1117:W1117"/>
    <mergeCell ref="A1114:K1114"/>
    <mergeCell ref="M1114:W1114"/>
    <mergeCell ref="A1115:D1115"/>
    <mergeCell ref="F1115:K1115"/>
    <mergeCell ref="M1115:P1115"/>
    <mergeCell ref="R1115:W1115"/>
    <mergeCell ref="B1109:E1109"/>
    <mergeCell ref="N1109:Q1109"/>
    <mergeCell ref="I1110:K1110"/>
    <mergeCell ref="U1110:W1110"/>
    <mergeCell ref="A1112:K1112"/>
    <mergeCell ref="M1112:W1112"/>
    <mergeCell ref="A1106:F1106"/>
    <mergeCell ref="H1106:J1106"/>
    <mergeCell ref="M1106:R1106"/>
    <mergeCell ref="T1106:V1106"/>
    <mergeCell ref="I1108:K1108"/>
    <mergeCell ref="U1108:W1108"/>
    <mergeCell ref="A1104:F1104"/>
    <mergeCell ref="H1104:J1104"/>
    <mergeCell ref="M1104:R1104"/>
    <mergeCell ref="T1104:V1104"/>
    <mergeCell ref="A1105:F1105"/>
    <mergeCell ref="H1105:J1105"/>
    <mergeCell ref="M1105:R1105"/>
    <mergeCell ref="T1105:V1105"/>
    <mergeCell ref="A1102:F1102"/>
    <mergeCell ref="H1102:J1102"/>
    <mergeCell ref="M1102:R1102"/>
    <mergeCell ref="T1102:V1102"/>
    <mergeCell ref="A1103:F1103"/>
    <mergeCell ref="H1103:J1103"/>
    <mergeCell ref="M1103:R1103"/>
    <mergeCell ref="T1103:V1103"/>
    <mergeCell ref="A1100:F1100"/>
    <mergeCell ref="M1100:R1100"/>
    <mergeCell ref="A1101:F1101"/>
    <mergeCell ref="H1101:J1101"/>
    <mergeCell ref="M1101:R1101"/>
    <mergeCell ref="T1101:V1101"/>
    <mergeCell ref="I1097:J1097"/>
    <mergeCell ref="U1097:V1097"/>
    <mergeCell ref="A1098:F1098"/>
    <mergeCell ref="H1098:J1098"/>
    <mergeCell ref="M1098:R1098"/>
    <mergeCell ref="T1098:V1098"/>
    <mergeCell ref="E1095:G1095"/>
    <mergeCell ref="I1095:J1095"/>
    <mergeCell ref="Q1095:S1095"/>
    <mergeCell ref="U1095:V1095"/>
    <mergeCell ref="A1096:B1096"/>
    <mergeCell ref="I1096:J1096"/>
    <mergeCell ref="M1096:N1096"/>
    <mergeCell ref="U1096:V1096"/>
    <mergeCell ref="E1093:G1093"/>
    <mergeCell ref="I1093:J1093"/>
    <mergeCell ref="Q1093:S1093"/>
    <mergeCell ref="U1093:V1093"/>
    <mergeCell ref="I1094:J1094"/>
    <mergeCell ref="U1094:V1094"/>
    <mergeCell ref="E1091:G1091"/>
    <mergeCell ref="I1091:J1091"/>
    <mergeCell ref="Q1091:S1091"/>
    <mergeCell ref="U1091:V1091"/>
    <mergeCell ref="E1092:G1092"/>
    <mergeCell ref="I1092:J1092"/>
    <mergeCell ref="Q1092:S1092"/>
    <mergeCell ref="U1092:V1092"/>
    <mergeCell ref="E1089:G1089"/>
    <mergeCell ref="I1089:J1089"/>
    <mergeCell ref="Q1089:S1089"/>
    <mergeCell ref="U1089:V1089"/>
    <mergeCell ref="A1090:B1090"/>
    <mergeCell ref="E1090:G1090"/>
    <mergeCell ref="I1090:J1090"/>
    <mergeCell ref="M1090:N1090"/>
    <mergeCell ref="Q1090:S1090"/>
    <mergeCell ref="U1090:V1090"/>
    <mergeCell ref="E1087:G1087"/>
    <mergeCell ref="I1087:J1087"/>
    <mergeCell ref="Q1087:S1087"/>
    <mergeCell ref="U1087:V1087"/>
    <mergeCell ref="E1088:G1088"/>
    <mergeCell ref="I1088:J1088"/>
    <mergeCell ref="Q1088:S1088"/>
    <mergeCell ref="U1088:V1088"/>
    <mergeCell ref="E1085:G1085"/>
    <mergeCell ref="I1085:J1085"/>
    <mergeCell ref="Q1085:S1085"/>
    <mergeCell ref="U1085:V1085"/>
    <mergeCell ref="E1086:G1086"/>
    <mergeCell ref="I1086:J1086"/>
    <mergeCell ref="Q1086:S1086"/>
    <mergeCell ref="U1086:V1086"/>
    <mergeCell ref="A1081:K1081"/>
    <mergeCell ref="M1081:W1081"/>
    <mergeCell ref="A1082:D1082"/>
    <mergeCell ref="F1082:I1082"/>
    <mergeCell ref="M1082:P1082"/>
    <mergeCell ref="R1082:U1082"/>
    <mergeCell ref="A1079:D1079"/>
    <mergeCell ref="F1079:K1079"/>
    <mergeCell ref="M1079:P1079"/>
    <mergeCell ref="R1079:W1079"/>
    <mergeCell ref="A1080:D1080"/>
    <mergeCell ref="F1080:K1080"/>
    <mergeCell ref="M1080:P1080"/>
    <mergeCell ref="R1080:W1080"/>
    <mergeCell ref="A1077:K1077"/>
    <mergeCell ref="M1077:W1077"/>
    <mergeCell ref="A1078:D1078"/>
    <mergeCell ref="F1078:K1078"/>
    <mergeCell ref="M1078:P1078"/>
    <mergeCell ref="R1078:W1078"/>
    <mergeCell ref="B1072:E1072"/>
    <mergeCell ref="N1072:Q1072"/>
    <mergeCell ref="I1073:K1073"/>
    <mergeCell ref="U1073:W1073"/>
    <mergeCell ref="A1075:K1075"/>
    <mergeCell ref="M1075:W1075"/>
    <mergeCell ref="A1069:F1069"/>
    <mergeCell ref="H1069:J1069"/>
    <mergeCell ref="M1069:R1069"/>
    <mergeCell ref="T1069:V1069"/>
    <mergeCell ref="I1071:K1071"/>
    <mergeCell ref="U1071:W1071"/>
    <mergeCell ref="A1067:F1067"/>
    <mergeCell ref="H1067:J1067"/>
    <mergeCell ref="M1067:R1067"/>
    <mergeCell ref="T1067:V1067"/>
    <mergeCell ref="A1068:F1068"/>
    <mergeCell ref="H1068:J1068"/>
    <mergeCell ref="M1068:R1068"/>
    <mergeCell ref="T1068:V1068"/>
    <mergeCell ref="A1065:F1065"/>
    <mergeCell ref="H1065:J1065"/>
    <mergeCell ref="M1065:R1065"/>
    <mergeCell ref="T1065:V1065"/>
    <mergeCell ref="A1066:F1066"/>
    <mergeCell ref="H1066:J1066"/>
    <mergeCell ref="M1066:R1066"/>
    <mergeCell ref="T1066:V1066"/>
    <mergeCell ref="A1063:F1063"/>
    <mergeCell ref="M1063:R1063"/>
    <mergeCell ref="A1064:F1064"/>
    <mergeCell ref="H1064:J1064"/>
    <mergeCell ref="M1064:R1064"/>
    <mergeCell ref="T1064:V1064"/>
    <mergeCell ref="I1060:J1060"/>
    <mergeCell ref="U1060:V1060"/>
    <mergeCell ref="A1061:F1061"/>
    <mergeCell ref="H1061:J1061"/>
    <mergeCell ref="M1061:R1061"/>
    <mergeCell ref="T1061:V1061"/>
    <mergeCell ref="E1058:G1058"/>
    <mergeCell ref="I1058:J1058"/>
    <mergeCell ref="Q1058:S1058"/>
    <mergeCell ref="U1058:V1058"/>
    <mergeCell ref="A1059:B1059"/>
    <mergeCell ref="I1059:J1059"/>
    <mergeCell ref="M1059:N1059"/>
    <mergeCell ref="U1059:V1059"/>
    <mergeCell ref="E1056:G1056"/>
    <mergeCell ref="I1056:J1056"/>
    <mergeCell ref="Q1056:S1056"/>
    <mergeCell ref="U1056:V1056"/>
    <mergeCell ref="I1057:J1057"/>
    <mergeCell ref="U1057:V1057"/>
    <mergeCell ref="E1054:G1054"/>
    <mergeCell ref="I1054:J1054"/>
    <mergeCell ref="Q1054:S1054"/>
    <mergeCell ref="U1054:V1054"/>
    <mergeCell ref="E1055:G1055"/>
    <mergeCell ref="I1055:J1055"/>
    <mergeCell ref="Q1055:S1055"/>
    <mergeCell ref="U1055:V1055"/>
    <mergeCell ref="E1052:G1052"/>
    <mergeCell ref="I1052:J1052"/>
    <mergeCell ref="Q1052:S1052"/>
    <mergeCell ref="U1052:V1052"/>
    <mergeCell ref="A1053:B1053"/>
    <mergeCell ref="E1053:G1053"/>
    <mergeCell ref="I1053:J1053"/>
    <mergeCell ref="M1053:N1053"/>
    <mergeCell ref="Q1053:S1053"/>
    <mergeCell ref="U1053:V1053"/>
    <mergeCell ref="E1050:G1050"/>
    <mergeCell ref="I1050:J1050"/>
    <mergeCell ref="Q1050:S1050"/>
    <mergeCell ref="U1050:V1050"/>
    <mergeCell ref="E1051:G1051"/>
    <mergeCell ref="I1051:J1051"/>
    <mergeCell ref="Q1051:S1051"/>
    <mergeCell ref="U1051:V1051"/>
    <mergeCell ref="E1048:G1048"/>
    <mergeCell ref="I1048:J1048"/>
    <mergeCell ref="Q1048:S1048"/>
    <mergeCell ref="U1048:V1048"/>
    <mergeCell ref="E1049:G1049"/>
    <mergeCell ref="I1049:J1049"/>
    <mergeCell ref="Q1049:S1049"/>
    <mergeCell ref="U1049:V1049"/>
    <mergeCell ref="A1044:K1044"/>
    <mergeCell ref="M1044:W1044"/>
    <mergeCell ref="A1045:D1045"/>
    <mergeCell ref="F1045:I1045"/>
    <mergeCell ref="M1045:P1045"/>
    <mergeCell ref="R1045:U1045"/>
    <mergeCell ref="A1042:D1042"/>
    <mergeCell ref="F1042:K1042"/>
    <mergeCell ref="M1042:P1042"/>
    <mergeCell ref="R1042:W1042"/>
    <mergeCell ref="A1043:D1043"/>
    <mergeCell ref="F1043:K1043"/>
    <mergeCell ref="M1043:P1043"/>
    <mergeCell ref="R1043:W1043"/>
    <mergeCell ref="A1040:K1040"/>
    <mergeCell ref="M1040:W1040"/>
    <mergeCell ref="A1041:D1041"/>
    <mergeCell ref="F1041:K1041"/>
    <mergeCell ref="M1041:P1041"/>
    <mergeCell ref="R1041:W1041"/>
    <mergeCell ref="B1035:E1035"/>
    <mergeCell ref="N1035:Q1035"/>
    <mergeCell ref="I1036:K1036"/>
    <mergeCell ref="U1036:W1036"/>
    <mergeCell ref="A1038:K1038"/>
    <mergeCell ref="M1038:W1038"/>
    <mergeCell ref="A1032:F1032"/>
    <mergeCell ref="H1032:J1032"/>
    <mergeCell ref="M1032:R1032"/>
    <mergeCell ref="T1032:V1032"/>
    <mergeCell ref="I1034:K1034"/>
    <mergeCell ref="U1034:W1034"/>
    <mergeCell ref="A1030:F1030"/>
    <mergeCell ref="H1030:J1030"/>
    <mergeCell ref="M1030:R1030"/>
    <mergeCell ref="T1030:V1030"/>
    <mergeCell ref="A1031:F1031"/>
    <mergeCell ref="H1031:J1031"/>
    <mergeCell ref="M1031:R1031"/>
    <mergeCell ref="T1031:V1031"/>
    <mergeCell ref="A1028:F1028"/>
    <mergeCell ref="H1028:J1028"/>
    <mergeCell ref="M1028:R1028"/>
    <mergeCell ref="T1028:V1028"/>
    <mergeCell ref="A1029:F1029"/>
    <mergeCell ref="H1029:J1029"/>
    <mergeCell ref="M1029:R1029"/>
    <mergeCell ref="T1029:V1029"/>
    <mergeCell ref="A1026:F1026"/>
    <mergeCell ref="M1026:R1026"/>
    <mergeCell ref="A1027:F1027"/>
    <mergeCell ref="H1027:J1027"/>
    <mergeCell ref="M1027:R1027"/>
    <mergeCell ref="T1027:V1027"/>
    <mergeCell ref="I1023:J1023"/>
    <mergeCell ref="U1023:V1023"/>
    <mergeCell ref="A1024:F1024"/>
    <mergeCell ref="H1024:J1024"/>
    <mergeCell ref="M1024:R1024"/>
    <mergeCell ref="T1024:V1024"/>
    <mergeCell ref="E1021:G1021"/>
    <mergeCell ref="I1021:J1021"/>
    <mergeCell ref="Q1021:S1021"/>
    <mergeCell ref="U1021:V1021"/>
    <mergeCell ref="A1022:B1022"/>
    <mergeCell ref="I1022:J1022"/>
    <mergeCell ref="M1022:N1022"/>
    <mergeCell ref="U1022:V1022"/>
    <mergeCell ref="E1019:G1019"/>
    <mergeCell ref="I1019:J1019"/>
    <mergeCell ref="Q1019:S1019"/>
    <mergeCell ref="U1019:V1019"/>
    <mergeCell ref="I1020:J1020"/>
    <mergeCell ref="U1020:V1020"/>
    <mergeCell ref="E1017:G1017"/>
    <mergeCell ref="I1017:J1017"/>
    <mergeCell ref="Q1017:S1017"/>
    <mergeCell ref="U1017:V1017"/>
    <mergeCell ref="E1018:G1018"/>
    <mergeCell ref="I1018:J1018"/>
    <mergeCell ref="Q1018:S1018"/>
    <mergeCell ref="U1018:V1018"/>
    <mergeCell ref="E1015:G1015"/>
    <mergeCell ref="I1015:J1015"/>
    <mergeCell ref="Q1015:S1015"/>
    <mergeCell ref="U1015:V1015"/>
    <mergeCell ref="A1016:B1016"/>
    <mergeCell ref="E1016:G1016"/>
    <mergeCell ref="I1016:J1016"/>
    <mergeCell ref="M1016:N1016"/>
    <mergeCell ref="Q1016:S1016"/>
    <mergeCell ref="U1016:V1016"/>
    <mergeCell ref="E1013:G1013"/>
    <mergeCell ref="I1013:J1013"/>
    <mergeCell ref="Q1013:S1013"/>
    <mergeCell ref="U1013:V1013"/>
    <mergeCell ref="E1014:G1014"/>
    <mergeCell ref="I1014:J1014"/>
    <mergeCell ref="Q1014:S1014"/>
    <mergeCell ref="U1014:V1014"/>
    <mergeCell ref="E1011:G1011"/>
    <mergeCell ref="I1011:J1011"/>
    <mergeCell ref="Q1011:S1011"/>
    <mergeCell ref="U1011:V1011"/>
    <mergeCell ref="E1012:G1012"/>
    <mergeCell ref="I1012:J1012"/>
    <mergeCell ref="Q1012:S1012"/>
    <mergeCell ref="U1012:V1012"/>
    <mergeCell ref="A1007:K1007"/>
    <mergeCell ref="M1007:W1007"/>
    <mergeCell ref="A1008:D1008"/>
    <mergeCell ref="F1008:I1008"/>
    <mergeCell ref="M1008:P1008"/>
    <mergeCell ref="R1008:U1008"/>
    <mergeCell ref="A1005:D1005"/>
    <mergeCell ref="F1005:K1005"/>
    <mergeCell ref="M1005:P1005"/>
    <mergeCell ref="R1005:W1005"/>
    <mergeCell ref="A1006:D1006"/>
    <mergeCell ref="F1006:K1006"/>
    <mergeCell ref="M1006:P1006"/>
    <mergeCell ref="R1006:W1006"/>
    <mergeCell ref="A1003:K1003"/>
    <mergeCell ref="M1003:W1003"/>
    <mergeCell ref="A1004:D1004"/>
    <mergeCell ref="F1004:K1004"/>
    <mergeCell ref="M1004:P1004"/>
    <mergeCell ref="R1004:W1004"/>
    <mergeCell ref="B998:E998"/>
    <mergeCell ref="N998:Q998"/>
    <mergeCell ref="I999:K999"/>
    <mergeCell ref="U999:W999"/>
    <mergeCell ref="A1001:K1001"/>
    <mergeCell ref="M1001:W1001"/>
    <mergeCell ref="A995:F995"/>
    <mergeCell ref="H995:J995"/>
    <mergeCell ref="M995:R995"/>
    <mergeCell ref="T995:V995"/>
    <mergeCell ref="I997:K997"/>
    <mergeCell ref="U997:W997"/>
    <mergeCell ref="A993:F993"/>
    <mergeCell ref="H993:J993"/>
    <mergeCell ref="M993:R993"/>
    <mergeCell ref="T993:V993"/>
    <mergeCell ref="A994:F994"/>
    <mergeCell ref="H994:J994"/>
    <mergeCell ref="M994:R994"/>
    <mergeCell ref="T994:V994"/>
    <mergeCell ref="A991:F991"/>
    <mergeCell ref="H991:J991"/>
    <mergeCell ref="M991:R991"/>
    <mergeCell ref="T991:V991"/>
    <mergeCell ref="A992:F992"/>
    <mergeCell ref="H992:J992"/>
    <mergeCell ref="M992:R992"/>
    <mergeCell ref="T992:V992"/>
    <mergeCell ref="A989:F989"/>
    <mergeCell ref="M989:R989"/>
    <mergeCell ref="A990:F990"/>
    <mergeCell ref="H990:J990"/>
    <mergeCell ref="M990:R990"/>
    <mergeCell ref="T990:V990"/>
    <mergeCell ref="I986:J986"/>
    <mergeCell ref="U986:V986"/>
    <mergeCell ref="A987:F987"/>
    <mergeCell ref="H987:J987"/>
    <mergeCell ref="M987:R987"/>
    <mergeCell ref="T987:V987"/>
    <mergeCell ref="E984:G984"/>
    <mergeCell ref="I984:J984"/>
    <mergeCell ref="Q984:S984"/>
    <mergeCell ref="U984:V984"/>
    <mergeCell ref="A985:B985"/>
    <mergeCell ref="I985:J985"/>
    <mergeCell ref="M985:N985"/>
    <mergeCell ref="U985:V985"/>
    <mergeCell ref="E982:G982"/>
    <mergeCell ref="I982:J982"/>
    <mergeCell ref="Q982:S982"/>
    <mergeCell ref="U982:V982"/>
    <mergeCell ref="I983:J983"/>
    <mergeCell ref="U983:V983"/>
    <mergeCell ref="E980:G980"/>
    <mergeCell ref="I980:J980"/>
    <mergeCell ref="Q980:S980"/>
    <mergeCell ref="U980:V980"/>
    <mergeCell ref="E981:G981"/>
    <mergeCell ref="I981:J981"/>
    <mergeCell ref="Q981:S981"/>
    <mergeCell ref="U981:V981"/>
    <mergeCell ref="E978:G978"/>
    <mergeCell ref="I978:J978"/>
    <mergeCell ref="Q978:S978"/>
    <mergeCell ref="U978:V978"/>
    <mergeCell ref="A979:B979"/>
    <mergeCell ref="E979:G979"/>
    <mergeCell ref="I979:J979"/>
    <mergeCell ref="M979:N979"/>
    <mergeCell ref="Q979:S979"/>
    <mergeCell ref="U979:V979"/>
    <mergeCell ref="E976:G976"/>
    <mergeCell ref="I976:J976"/>
    <mergeCell ref="Q976:S976"/>
    <mergeCell ref="U976:V976"/>
    <mergeCell ref="E977:G977"/>
    <mergeCell ref="I977:J977"/>
    <mergeCell ref="Q977:S977"/>
    <mergeCell ref="U977:V977"/>
    <mergeCell ref="E974:G974"/>
    <mergeCell ref="I974:J974"/>
    <mergeCell ref="Q974:S974"/>
    <mergeCell ref="U974:V974"/>
    <mergeCell ref="E975:G975"/>
    <mergeCell ref="I975:J975"/>
    <mergeCell ref="Q975:S975"/>
    <mergeCell ref="U975:V975"/>
    <mergeCell ref="A970:K970"/>
    <mergeCell ref="M970:W970"/>
    <mergeCell ref="A971:D971"/>
    <mergeCell ref="F971:I971"/>
    <mergeCell ref="M971:P971"/>
    <mergeCell ref="R971:U971"/>
    <mergeCell ref="A968:D968"/>
    <mergeCell ref="F968:K968"/>
    <mergeCell ref="M968:P968"/>
    <mergeCell ref="R968:W968"/>
    <mergeCell ref="A969:D969"/>
    <mergeCell ref="F969:K969"/>
    <mergeCell ref="M969:P969"/>
    <mergeCell ref="R969:W969"/>
    <mergeCell ref="A966:K966"/>
    <mergeCell ref="M966:W966"/>
    <mergeCell ref="A967:D967"/>
    <mergeCell ref="F967:K967"/>
    <mergeCell ref="M967:P967"/>
    <mergeCell ref="R967:W967"/>
    <mergeCell ref="B961:E961"/>
    <mergeCell ref="N961:Q961"/>
    <mergeCell ref="I962:K962"/>
    <mergeCell ref="U962:W962"/>
    <mergeCell ref="A964:K964"/>
    <mergeCell ref="M964:W964"/>
    <mergeCell ref="A958:F958"/>
    <mergeCell ref="H958:J958"/>
    <mergeCell ref="M958:R958"/>
    <mergeCell ref="T958:V958"/>
    <mergeCell ref="I960:K960"/>
    <mergeCell ref="U960:W960"/>
    <mergeCell ref="A956:F956"/>
    <mergeCell ref="H956:J956"/>
    <mergeCell ref="M956:R956"/>
    <mergeCell ref="T956:V956"/>
    <mergeCell ref="A957:F957"/>
    <mergeCell ref="H957:J957"/>
    <mergeCell ref="M957:R957"/>
    <mergeCell ref="T957:V957"/>
    <mergeCell ref="A954:F954"/>
    <mergeCell ref="H954:J954"/>
    <mergeCell ref="M954:R954"/>
    <mergeCell ref="T954:V954"/>
    <mergeCell ref="A955:F955"/>
    <mergeCell ref="H955:J955"/>
    <mergeCell ref="M955:R955"/>
    <mergeCell ref="T955:V955"/>
    <mergeCell ref="A952:F952"/>
    <mergeCell ref="M952:R952"/>
    <mergeCell ref="A953:F953"/>
    <mergeCell ref="H953:J953"/>
    <mergeCell ref="M953:R953"/>
    <mergeCell ref="T953:V953"/>
    <mergeCell ref="I949:J949"/>
    <mergeCell ref="U949:V949"/>
    <mergeCell ref="A950:F950"/>
    <mergeCell ref="H950:J950"/>
    <mergeCell ref="M950:R950"/>
    <mergeCell ref="T950:V950"/>
    <mergeCell ref="E947:G947"/>
    <mergeCell ref="I947:J947"/>
    <mergeCell ref="Q947:S947"/>
    <mergeCell ref="U947:V947"/>
    <mergeCell ref="A948:B948"/>
    <mergeCell ref="I948:J948"/>
    <mergeCell ref="M948:N948"/>
    <mergeCell ref="U948:V948"/>
    <mergeCell ref="E945:G945"/>
    <mergeCell ref="I945:J945"/>
    <mergeCell ref="Q945:S945"/>
    <mergeCell ref="U945:V945"/>
    <mergeCell ref="I946:J946"/>
    <mergeCell ref="U946:V946"/>
    <mergeCell ref="E943:G943"/>
    <mergeCell ref="I943:J943"/>
    <mergeCell ref="Q943:S943"/>
    <mergeCell ref="U943:V943"/>
    <mergeCell ref="E944:G944"/>
    <mergeCell ref="I944:J944"/>
    <mergeCell ref="Q944:S944"/>
    <mergeCell ref="U944:V944"/>
    <mergeCell ref="E941:G941"/>
    <mergeCell ref="I941:J941"/>
    <mergeCell ref="Q941:S941"/>
    <mergeCell ref="U941:V941"/>
    <mergeCell ref="A942:B942"/>
    <mergeCell ref="E942:G942"/>
    <mergeCell ref="I942:J942"/>
    <mergeCell ref="M942:N942"/>
    <mergeCell ref="Q942:S942"/>
    <mergeCell ref="U942:V942"/>
    <mergeCell ref="E939:G939"/>
    <mergeCell ref="I939:J939"/>
    <mergeCell ref="Q939:S939"/>
    <mergeCell ref="U939:V939"/>
    <mergeCell ref="E940:G940"/>
    <mergeCell ref="I940:J940"/>
    <mergeCell ref="Q940:S940"/>
    <mergeCell ref="U940:V940"/>
    <mergeCell ref="E937:G937"/>
    <mergeCell ref="I937:J937"/>
    <mergeCell ref="Q937:S937"/>
    <mergeCell ref="U937:V937"/>
    <mergeCell ref="E938:G938"/>
    <mergeCell ref="I938:J938"/>
    <mergeCell ref="Q938:S938"/>
    <mergeCell ref="U938:V938"/>
    <mergeCell ref="A933:K933"/>
    <mergeCell ref="M933:W933"/>
    <mergeCell ref="A934:D934"/>
    <mergeCell ref="F934:I934"/>
    <mergeCell ref="M934:P934"/>
    <mergeCell ref="R934:U934"/>
    <mergeCell ref="A931:D931"/>
    <mergeCell ref="F931:K931"/>
    <mergeCell ref="M931:P931"/>
    <mergeCell ref="R931:W931"/>
    <mergeCell ref="A932:D932"/>
    <mergeCell ref="F932:K932"/>
    <mergeCell ref="M932:P932"/>
    <mergeCell ref="R932:W932"/>
    <mergeCell ref="A929:K929"/>
    <mergeCell ref="M929:W929"/>
    <mergeCell ref="A930:D930"/>
    <mergeCell ref="F930:K930"/>
    <mergeCell ref="M930:P930"/>
    <mergeCell ref="R930:W930"/>
    <mergeCell ref="B924:E924"/>
    <mergeCell ref="N924:Q924"/>
    <mergeCell ref="I925:K925"/>
    <mergeCell ref="U925:W925"/>
    <mergeCell ref="A927:K927"/>
    <mergeCell ref="M927:W927"/>
    <mergeCell ref="A921:F921"/>
    <mergeCell ref="H921:J921"/>
    <mergeCell ref="M921:R921"/>
    <mergeCell ref="T921:V921"/>
    <mergeCell ref="I923:K923"/>
    <mergeCell ref="U923:W923"/>
    <mergeCell ref="A919:F919"/>
    <mergeCell ref="H919:J919"/>
    <mergeCell ref="M919:R919"/>
    <mergeCell ref="T919:V919"/>
    <mergeCell ref="A920:F920"/>
    <mergeCell ref="H920:J920"/>
    <mergeCell ref="M920:R920"/>
    <mergeCell ref="T920:V920"/>
    <mergeCell ref="A917:F917"/>
    <mergeCell ref="H917:J917"/>
    <mergeCell ref="M917:R917"/>
    <mergeCell ref="T917:V917"/>
    <mergeCell ref="A918:F918"/>
    <mergeCell ref="H918:J918"/>
    <mergeCell ref="M918:R918"/>
    <mergeCell ref="T918:V918"/>
    <mergeCell ref="A915:F915"/>
    <mergeCell ref="M915:R915"/>
    <mergeCell ref="A916:F916"/>
    <mergeCell ref="H916:J916"/>
    <mergeCell ref="M916:R916"/>
    <mergeCell ref="T916:V916"/>
    <mergeCell ref="I912:J912"/>
    <mergeCell ref="U912:V912"/>
    <mergeCell ref="A913:F913"/>
    <mergeCell ref="H913:J913"/>
    <mergeCell ref="M913:R913"/>
    <mergeCell ref="T913:V913"/>
    <mergeCell ref="E910:G910"/>
    <mergeCell ref="I910:J910"/>
    <mergeCell ref="Q910:S910"/>
    <mergeCell ref="U910:V910"/>
    <mergeCell ref="A911:B911"/>
    <mergeCell ref="I911:J911"/>
    <mergeCell ref="M911:N911"/>
    <mergeCell ref="U911:V911"/>
    <mergeCell ref="E908:G908"/>
    <mergeCell ref="I908:J908"/>
    <mergeCell ref="Q908:S908"/>
    <mergeCell ref="U908:V908"/>
    <mergeCell ref="I909:J909"/>
    <mergeCell ref="U909:V909"/>
    <mergeCell ref="E906:G906"/>
    <mergeCell ref="I906:J906"/>
    <mergeCell ref="Q906:S906"/>
    <mergeCell ref="U906:V906"/>
    <mergeCell ref="E907:G907"/>
    <mergeCell ref="I907:J907"/>
    <mergeCell ref="Q907:S907"/>
    <mergeCell ref="U907:V907"/>
    <mergeCell ref="E904:G904"/>
    <mergeCell ref="I904:J904"/>
    <mergeCell ref="Q904:S904"/>
    <mergeCell ref="U904:V904"/>
    <mergeCell ref="A905:B905"/>
    <mergeCell ref="E905:G905"/>
    <mergeCell ref="I905:J905"/>
    <mergeCell ref="M905:N905"/>
    <mergeCell ref="Q905:S905"/>
    <mergeCell ref="U905:V905"/>
    <mergeCell ref="E902:G902"/>
    <mergeCell ref="I902:J902"/>
    <mergeCell ref="Q902:S902"/>
    <mergeCell ref="U902:V902"/>
    <mergeCell ref="E903:G903"/>
    <mergeCell ref="I903:J903"/>
    <mergeCell ref="Q903:S903"/>
    <mergeCell ref="U903:V903"/>
    <mergeCell ref="E900:G900"/>
    <mergeCell ref="I900:J900"/>
    <mergeCell ref="Q900:S900"/>
    <mergeCell ref="U900:V900"/>
    <mergeCell ref="E901:G901"/>
    <mergeCell ref="I901:J901"/>
    <mergeCell ref="Q901:S901"/>
    <mergeCell ref="U901:V901"/>
    <mergeCell ref="A896:K896"/>
    <mergeCell ref="M896:W896"/>
    <mergeCell ref="A897:D897"/>
    <mergeCell ref="F897:I897"/>
    <mergeCell ref="M897:P897"/>
    <mergeCell ref="R897:U897"/>
    <mergeCell ref="A894:D894"/>
    <mergeCell ref="F894:K894"/>
    <mergeCell ref="M894:P894"/>
    <mergeCell ref="R894:W894"/>
    <mergeCell ref="A895:D895"/>
    <mergeCell ref="F895:K895"/>
    <mergeCell ref="M895:P895"/>
    <mergeCell ref="R895:W895"/>
    <mergeCell ref="A892:K892"/>
    <mergeCell ref="M892:W892"/>
    <mergeCell ref="A893:D893"/>
    <mergeCell ref="F893:K893"/>
    <mergeCell ref="M893:P893"/>
    <mergeCell ref="R893:W893"/>
    <mergeCell ref="B887:E887"/>
    <mergeCell ref="N887:Q887"/>
    <mergeCell ref="I888:K888"/>
    <mergeCell ref="U888:W888"/>
    <mergeCell ref="A890:K890"/>
    <mergeCell ref="M890:W890"/>
    <mergeCell ref="A884:F884"/>
    <mergeCell ref="H884:J884"/>
    <mergeCell ref="M884:R884"/>
    <mergeCell ref="T884:V884"/>
    <mergeCell ref="I886:K886"/>
    <mergeCell ref="U886:W886"/>
    <mergeCell ref="A882:F882"/>
    <mergeCell ref="H882:J882"/>
    <mergeCell ref="M882:R882"/>
    <mergeCell ref="T882:V882"/>
    <mergeCell ref="A883:F883"/>
    <mergeCell ref="H883:J883"/>
    <mergeCell ref="M883:R883"/>
    <mergeCell ref="T883:V883"/>
    <mergeCell ref="A880:F880"/>
    <mergeCell ref="H880:J880"/>
    <mergeCell ref="M880:R880"/>
    <mergeCell ref="T880:V880"/>
    <mergeCell ref="A881:F881"/>
    <mergeCell ref="H881:J881"/>
    <mergeCell ref="M881:R881"/>
    <mergeCell ref="T881:V881"/>
    <mergeCell ref="A878:F878"/>
    <mergeCell ref="M878:R878"/>
    <mergeCell ref="A879:F879"/>
    <mergeCell ref="H879:J879"/>
    <mergeCell ref="M879:R879"/>
    <mergeCell ref="T879:V879"/>
    <mergeCell ref="I875:J875"/>
    <mergeCell ref="U875:V875"/>
    <mergeCell ref="A876:F876"/>
    <mergeCell ref="H876:J876"/>
    <mergeCell ref="M876:R876"/>
    <mergeCell ref="T876:V876"/>
    <mergeCell ref="E873:G873"/>
    <mergeCell ref="I873:J873"/>
    <mergeCell ref="Q873:S873"/>
    <mergeCell ref="U873:V873"/>
    <mergeCell ref="A874:B874"/>
    <mergeCell ref="I874:J874"/>
    <mergeCell ref="M874:N874"/>
    <mergeCell ref="U874:V874"/>
    <mergeCell ref="E871:G871"/>
    <mergeCell ref="I871:J871"/>
    <mergeCell ref="Q871:S871"/>
    <mergeCell ref="U871:V871"/>
    <mergeCell ref="I872:J872"/>
    <mergeCell ref="U872:V872"/>
    <mergeCell ref="E869:G869"/>
    <mergeCell ref="I869:J869"/>
    <mergeCell ref="Q869:S869"/>
    <mergeCell ref="U869:V869"/>
    <mergeCell ref="E870:G870"/>
    <mergeCell ref="I870:J870"/>
    <mergeCell ref="Q870:S870"/>
    <mergeCell ref="U870:V870"/>
    <mergeCell ref="E867:G867"/>
    <mergeCell ref="I867:J867"/>
    <mergeCell ref="Q867:S867"/>
    <mergeCell ref="U867:V867"/>
    <mergeCell ref="A868:B868"/>
    <mergeCell ref="E868:G868"/>
    <mergeCell ref="I868:J868"/>
    <mergeCell ref="M868:N868"/>
    <mergeCell ref="Q868:S868"/>
    <mergeCell ref="U868:V868"/>
    <mergeCell ref="E865:G865"/>
    <mergeCell ref="I865:J865"/>
    <mergeCell ref="Q865:S865"/>
    <mergeCell ref="U865:V865"/>
    <mergeCell ref="E866:G866"/>
    <mergeCell ref="I866:J866"/>
    <mergeCell ref="Q866:S866"/>
    <mergeCell ref="U866:V866"/>
    <mergeCell ref="E863:G863"/>
    <mergeCell ref="I863:J863"/>
    <mergeCell ref="Q863:S863"/>
    <mergeCell ref="U863:V863"/>
    <mergeCell ref="E864:G864"/>
    <mergeCell ref="I864:J864"/>
    <mergeCell ref="Q864:S864"/>
    <mergeCell ref="U864:V864"/>
    <mergeCell ref="A859:K859"/>
    <mergeCell ref="M859:W859"/>
    <mergeCell ref="A860:D860"/>
    <mergeCell ref="F860:I860"/>
    <mergeCell ref="M860:P860"/>
    <mergeCell ref="R860:U860"/>
    <mergeCell ref="A857:D857"/>
    <mergeCell ref="F857:K857"/>
    <mergeCell ref="M857:P857"/>
    <mergeCell ref="R857:W857"/>
    <mergeCell ref="A858:D858"/>
    <mergeCell ref="F858:K858"/>
    <mergeCell ref="M858:P858"/>
    <mergeCell ref="R858:W858"/>
    <mergeCell ref="A855:K855"/>
    <mergeCell ref="M855:W855"/>
    <mergeCell ref="A856:D856"/>
    <mergeCell ref="F856:K856"/>
    <mergeCell ref="M856:P856"/>
    <mergeCell ref="R856:W856"/>
    <mergeCell ref="B850:E850"/>
    <mergeCell ref="N850:Q850"/>
    <mergeCell ref="I851:K851"/>
    <mergeCell ref="U851:W851"/>
    <mergeCell ref="A853:K853"/>
    <mergeCell ref="M853:W853"/>
    <mergeCell ref="A847:F847"/>
    <mergeCell ref="H847:J847"/>
    <mergeCell ref="M847:R847"/>
    <mergeCell ref="T847:V847"/>
    <mergeCell ref="I849:K849"/>
    <mergeCell ref="U849:W849"/>
    <mergeCell ref="A845:F845"/>
    <mergeCell ref="H845:J845"/>
    <mergeCell ref="M845:R845"/>
    <mergeCell ref="T845:V845"/>
    <mergeCell ref="A846:F846"/>
    <mergeCell ref="H846:J846"/>
    <mergeCell ref="M846:R846"/>
    <mergeCell ref="T846:V846"/>
    <mergeCell ref="A843:F843"/>
    <mergeCell ref="H843:J843"/>
    <mergeCell ref="M843:R843"/>
    <mergeCell ref="T843:V843"/>
    <mergeCell ref="A844:F844"/>
    <mergeCell ref="H844:J844"/>
    <mergeCell ref="M844:R844"/>
    <mergeCell ref="T844:V844"/>
    <mergeCell ref="A841:F841"/>
    <mergeCell ref="M841:R841"/>
    <mergeCell ref="A842:F842"/>
    <mergeCell ref="H842:J842"/>
    <mergeCell ref="M842:R842"/>
    <mergeCell ref="T842:V842"/>
    <mergeCell ref="I838:J838"/>
    <mergeCell ref="U838:V838"/>
    <mergeCell ref="A839:F839"/>
    <mergeCell ref="H839:J839"/>
    <mergeCell ref="M839:R839"/>
    <mergeCell ref="T839:V839"/>
    <mergeCell ref="E836:G836"/>
    <mergeCell ref="I836:J836"/>
    <mergeCell ref="Q836:S836"/>
    <mergeCell ref="U836:V836"/>
    <mergeCell ref="A837:B837"/>
    <mergeCell ref="I837:J837"/>
    <mergeCell ref="M837:N837"/>
    <mergeCell ref="U837:V837"/>
    <mergeCell ref="E834:G834"/>
    <mergeCell ref="I834:J834"/>
    <mergeCell ref="Q834:S834"/>
    <mergeCell ref="U834:V834"/>
    <mergeCell ref="I835:J835"/>
    <mergeCell ref="U835:V835"/>
    <mergeCell ref="E832:G832"/>
    <mergeCell ref="I832:J832"/>
    <mergeCell ref="Q832:S832"/>
    <mergeCell ref="U832:V832"/>
    <mergeCell ref="E833:G833"/>
    <mergeCell ref="I833:J833"/>
    <mergeCell ref="Q833:S833"/>
    <mergeCell ref="U833:V833"/>
    <mergeCell ref="E830:G830"/>
    <mergeCell ref="I830:J830"/>
    <mergeCell ref="Q830:S830"/>
    <mergeCell ref="U830:V830"/>
    <mergeCell ref="A831:B831"/>
    <mergeCell ref="E831:G831"/>
    <mergeCell ref="I831:J831"/>
    <mergeCell ref="M831:N831"/>
    <mergeCell ref="Q831:S831"/>
    <mergeCell ref="U831:V831"/>
    <mergeCell ref="E828:G828"/>
    <mergeCell ref="I828:J828"/>
    <mergeCell ref="Q828:S828"/>
    <mergeCell ref="U828:V828"/>
    <mergeCell ref="E829:G829"/>
    <mergeCell ref="I829:J829"/>
    <mergeCell ref="Q829:S829"/>
    <mergeCell ref="U829:V829"/>
    <mergeCell ref="E826:G826"/>
    <mergeCell ref="I826:J826"/>
    <mergeCell ref="Q826:S826"/>
    <mergeCell ref="U826:V826"/>
    <mergeCell ref="E827:G827"/>
    <mergeCell ref="I827:J827"/>
    <mergeCell ref="Q827:S827"/>
    <mergeCell ref="U827:V827"/>
    <mergeCell ref="A822:K822"/>
    <mergeCell ref="M822:W822"/>
    <mergeCell ref="A823:D823"/>
    <mergeCell ref="F823:I823"/>
    <mergeCell ref="M823:P823"/>
    <mergeCell ref="R823:U823"/>
    <mergeCell ref="A820:D820"/>
    <mergeCell ref="F820:K820"/>
    <mergeCell ref="M820:P820"/>
    <mergeCell ref="R820:W820"/>
    <mergeCell ref="A821:D821"/>
    <mergeCell ref="F821:K821"/>
    <mergeCell ref="M821:P821"/>
    <mergeCell ref="R821:W821"/>
    <mergeCell ref="A818:K818"/>
    <mergeCell ref="M818:W818"/>
    <mergeCell ref="A819:D819"/>
    <mergeCell ref="F819:K819"/>
    <mergeCell ref="M819:P819"/>
    <mergeCell ref="R819:W819"/>
    <mergeCell ref="B813:E813"/>
    <mergeCell ref="N813:Q813"/>
    <mergeCell ref="I814:K814"/>
    <mergeCell ref="U814:W814"/>
    <mergeCell ref="A816:K816"/>
    <mergeCell ref="M816:W816"/>
    <mergeCell ref="A810:F810"/>
    <mergeCell ref="H810:J810"/>
    <mergeCell ref="M810:R810"/>
    <mergeCell ref="T810:V810"/>
    <mergeCell ref="I812:K812"/>
    <mergeCell ref="U812:W812"/>
    <mergeCell ref="A808:F808"/>
    <mergeCell ref="H808:J808"/>
    <mergeCell ref="M808:R808"/>
    <mergeCell ref="T808:V808"/>
    <mergeCell ref="A809:F809"/>
    <mergeCell ref="H809:J809"/>
    <mergeCell ref="M809:R809"/>
    <mergeCell ref="T809:V809"/>
    <mergeCell ref="A806:F806"/>
    <mergeCell ref="H806:J806"/>
    <mergeCell ref="M806:R806"/>
    <mergeCell ref="T806:V806"/>
    <mergeCell ref="A807:F807"/>
    <mergeCell ref="H807:J807"/>
    <mergeCell ref="M807:R807"/>
    <mergeCell ref="T807:V807"/>
    <mergeCell ref="A804:F804"/>
    <mergeCell ref="M804:R804"/>
    <mergeCell ref="A805:F805"/>
    <mergeCell ref="H805:J805"/>
    <mergeCell ref="M805:R805"/>
    <mergeCell ref="T805:V805"/>
    <mergeCell ref="I801:J801"/>
    <mergeCell ref="U801:V801"/>
    <mergeCell ref="A802:F802"/>
    <mergeCell ref="H802:J802"/>
    <mergeCell ref="M802:R802"/>
    <mergeCell ref="T802:V802"/>
    <mergeCell ref="E799:G799"/>
    <mergeCell ref="I799:J799"/>
    <mergeCell ref="Q799:S799"/>
    <mergeCell ref="U799:V799"/>
    <mergeCell ref="A800:B800"/>
    <mergeCell ref="I800:J800"/>
    <mergeCell ref="M800:N800"/>
    <mergeCell ref="U800:V800"/>
    <mergeCell ref="E797:G797"/>
    <mergeCell ref="I797:J797"/>
    <mergeCell ref="Q797:S797"/>
    <mergeCell ref="U797:V797"/>
    <mergeCell ref="I798:J798"/>
    <mergeCell ref="U798:V798"/>
    <mergeCell ref="E795:G795"/>
    <mergeCell ref="I795:J795"/>
    <mergeCell ref="Q795:S795"/>
    <mergeCell ref="U795:V795"/>
    <mergeCell ref="E796:G796"/>
    <mergeCell ref="I796:J796"/>
    <mergeCell ref="Q796:S796"/>
    <mergeCell ref="U796:V796"/>
    <mergeCell ref="E793:G793"/>
    <mergeCell ref="I793:J793"/>
    <mergeCell ref="Q793:S793"/>
    <mergeCell ref="U793:V793"/>
    <mergeCell ref="A794:B794"/>
    <mergeCell ref="E794:G794"/>
    <mergeCell ref="I794:J794"/>
    <mergeCell ref="M794:N794"/>
    <mergeCell ref="Q794:S794"/>
    <mergeCell ref="U794:V794"/>
    <mergeCell ref="E791:G791"/>
    <mergeCell ref="I791:J791"/>
    <mergeCell ref="Q791:S791"/>
    <mergeCell ref="U791:V791"/>
    <mergeCell ref="E792:G792"/>
    <mergeCell ref="I792:J792"/>
    <mergeCell ref="Q792:S792"/>
    <mergeCell ref="U792:V792"/>
    <mergeCell ref="E789:G789"/>
    <mergeCell ref="I789:J789"/>
    <mergeCell ref="Q789:S789"/>
    <mergeCell ref="U789:V789"/>
    <mergeCell ref="E790:G790"/>
    <mergeCell ref="I790:J790"/>
    <mergeCell ref="Q790:S790"/>
    <mergeCell ref="U790:V790"/>
    <mergeCell ref="A785:K785"/>
    <mergeCell ref="M785:W785"/>
    <mergeCell ref="A786:D786"/>
    <mergeCell ref="F786:I786"/>
    <mergeCell ref="M786:P786"/>
    <mergeCell ref="R786:U786"/>
    <mergeCell ref="A783:D783"/>
    <mergeCell ref="F783:K783"/>
    <mergeCell ref="M783:P783"/>
    <mergeCell ref="R783:W783"/>
    <mergeCell ref="A784:D784"/>
    <mergeCell ref="F784:K784"/>
    <mergeCell ref="M784:P784"/>
    <mergeCell ref="R784:W784"/>
    <mergeCell ref="A781:K781"/>
    <mergeCell ref="M781:W781"/>
    <mergeCell ref="A782:D782"/>
    <mergeCell ref="F782:K782"/>
    <mergeCell ref="M782:P782"/>
    <mergeCell ref="R782:W782"/>
    <mergeCell ref="B776:E776"/>
    <mergeCell ref="N776:Q776"/>
    <mergeCell ref="I777:K777"/>
    <mergeCell ref="U777:W777"/>
    <mergeCell ref="A779:K779"/>
    <mergeCell ref="M779:W779"/>
    <mergeCell ref="A773:F773"/>
    <mergeCell ref="H773:J773"/>
    <mergeCell ref="M773:R773"/>
    <mergeCell ref="T773:V773"/>
    <mergeCell ref="I775:K775"/>
    <mergeCell ref="U775:W775"/>
    <mergeCell ref="A771:F771"/>
    <mergeCell ref="H771:J771"/>
    <mergeCell ref="M771:R771"/>
    <mergeCell ref="T771:V771"/>
    <mergeCell ref="A772:F772"/>
    <mergeCell ref="H772:J772"/>
    <mergeCell ref="M772:R772"/>
    <mergeCell ref="T772:V772"/>
    <mergeCell ref="A769:F769"/>
    <mergeCell ref="H769:J769"/>
    <mergeCell ref="M769:R769"/>
    <mergeCell ref="T769:V769"/>
    <mergeCell ref="A770:F770"/>
    <mergeCell ref="H770:J770"/>
    <mergeCell ref="M770:R770"/>
    <mergeCell ref="T770:V770"/>
    <mergeCell ref="A767:F767"/>
    <mergeCell ref="M767:R767"/>
    <mergeCell ref="A768:F768"/>
    <mergeCell ref="H768:J768"/>
    <mergeCell ref="M768:R768"/>
    <mergeCell ref="T768:V768"/>
    <mergeCell ref="I764:J764"/>
    <mergeCell ref="U764:V764"/>
    <mergeCell ref="A765:F765"/>
    <mergeCell ref="H765:J765"/>
    <mergeCell ref="M765:R765"/>
    <mergeCell ref="T765:V765"/>
    <mergeCell ref="E762:G762"/>
    <mergeCell ref="I762:J762"/>
    <mergeCell ref="Q762:S762"/>
    <mergeCell ref="U762:V762"/>
    <mergeCell ref="A763:B763"/>
    <mergeCell ref="I763:J763"/>
    <mergeCell ref="M763:N763"/>
    <mergeCell ref="U763:V763"/>
    <mergeCell ref="E760:G760"/>
    <mergeCell ref="I760:J760"/>
    <mergeCell ref="Q760:S760"/>
    <mergeCell ref="U760:V760"/>
    <mergeCell ref="I761:J761"/>
    <mergeCell ref="U761:V761"/>
    <mergeCell ref="E758:G758"/>
    <mergeCell ref="I758:J758"/>
    <mergeCell ref="Q758:S758"/>
    <mergeCell ref="U758:V758"/>
    <mergeCell ref="E759:G759"/>
    <mergeCell ref="I759:J759"/>
    <mergeCell ref="Q759:S759"/>
    <mergeCell ref="U759:V759"/>
    <mergeCell ref="E756:G756"/>
    <mergeCell ref="I756:J756"/>
    <mergeCell ref="Q756:S756"/>
    <mergeCell ref="U756:V756"/>
    <mergeCell ref="A757:B757"/>
    <mergeCell ref="E757:G757"/>
    <mergeCell ref="I757:J757"/>
    <mergeCell ref="M757:N757"/>
    <mergeCell ref="Q757:S757"/>
    <mergeCell ref="U757:V757"/>
    <mergeCell ref="E754:G754"/>
    <mergeCell ref="I754:J754"/>
    <mergeCell ref="Q754:S754"/>
    <mergeCell ref="U754:V754"/>
    <mergeCell ref="E755:G755"/>
    <mergeCell ref="I755:J755"/>
    <mergeCell ref="Q755:S755"/>
    <mergeCell ref="U755:V755"/>
    <mergeCell ref="E752:G752"/>
    <mergeCell ref="I752:J752"/>
    <mergeCell ref="Q752:S752"/>
    <mergeCell ref="U752:V752"/>
    <mergeCell ref="E753:G753"/>
    <mergeCell ref="I753:J753"/>
    <mergeCell ref="Q753:S753"/>
    <mergeCell ref="U753:V753"/>
    <mergeCell ref="A748:K748"/>
    <mergeCell ref="M748:W748"/>
    <mergeCell ref="A749:D749"/>
    <mergeCell ref="F749:I749"/>
    <mergeCell ref="M749:P749"/>
    <mergeCell ref="R749:U749"/>
    <mergeCell ref="A746:D746"/>
    <mergeCell ref="F746:K746"/>
    <mergeCell ref="M746:P746"/>
    <mergeCell ref="R746:W746"/>
    <mergeCell ref="A747:D747"/>
    <mergeCell ref="F747:K747"/>
    <mergeCell ref="M747:P747"/>
    <mergeCell ref="R747:W747"/>
    <mergeCell ref="A744:K744"/>
    <mergeCell ref="M744:W744"/>
    <mergeCell ref="A745:D745"/>
    <mergeCell ref="F745:K745"/>
    <mergeCell ref="M745:P745"/>
    <mergeCell ref="R745:W745"/>
    <mergeCell ref="B739:E739"/>
    <mergeCell ref="N739:Q739"/>
    <mergeCell ref="I740:K740"/>
    <mergeCell ref="U740:W740"/>
    <mergeCell ref="A742:K742"/>
    <mergeCell ref="M742:W742"/>
    <mergeCell ref="A736:F736"/>
    <mergeCell ref="H736:J736"/>
    <mergeCell ref="M736:R736"/>
    <mergeCell ref="T736:V736"/>
    <mergeCell ref="I738:K738"/>
    <mergeCell ref="U738:W738"/>
    <mergeCell ref="A734:F734"/>
    <mergeCell ref="H734:J734"/>
    <mergeCell ref="M734:R734"/>
    <mergeCell ref="T734:V734"/>
    <mergeCell ref="A735:F735"/>
    <mergeCell ref="H735:J735"/>
    <mergeCell ref="M735:R735"/>
    <mergeCell ref="T735:V735"/>
    <mergeCell ref="A732:F732"/>
    <mergeCell ref="H732:J732"/>
    <mergeCell ref="M732:R732"/>
    <mergeCell ref="T732:V732"/>
    <mergeCell ref="A733:F733"/>
    <mergeCell ref="H733:J733"/>
    <mergeCell ref="M733:R733"/>
    <mergeCell ref="T733:V733"/>
    <mergeCell ref="A730:F730"/>
    <mergeCell ref="M730:R730"/>
    <mergeCell ref="A731:F731"/>
    <mergeCell ref="H731:J731"/>
    <mergeCell ref="M731:R731"/>
    <mergeCell ref="T731:V731"/>
    <mergeCell ref="I727:J727"/>
    <mergeCell ref="U727:V727"/>
    <mergeCell ref="A728:F728"/>
    <mergeCell ref="H728:J728"/>
    <mergeCell ref="M728:R728"/>
    <mergeCell ref="T728:V728"/>
    <mergeCell ref="E725:G725"/>
    <mergeCell ref="I725:J725"/>
    <mergeCell ref="Q725:S725"/>
    <mergeCell ref="U725:V725"/>
    <mergeCell ref="A726:B726"/>
    <mergeCell ref="I726:J726"/>
    <mergeCell ref="M726:N726"/>
    <mergeCell ref="U726:V726"/>
    <mergeCell ref="E723:G723"/>
    <mergeCell ref="I723:J723"/>
    <mergeCell ref="Q723:S723"/>
    <mergeCell ref="U723:V723"/>
    <mergeCell ref="I724:J724"/>
    <mergeCell ref="U724:V724"/>
    <mergeCell ref="E721:G721"/>
    <mergeCell ref="I721:J721"/>
    <mergeCell ref="Q721:S721"/>
    <mergeCell ref="U721:V721"/>
    <mergeCell ref="E722:G722"/>
    <mergeCell ref="I722:J722"/>
    <mergeCell ref="Q722:S722"/>
    <mergeCell ref="U722:V722"/>
    <mergeCell ref="E719:G719"/>
    <mergeCell ref="I719:J719"/>
    <mergeCell ref="Q719:S719"/>
    <mergeCell ref="U719:V719"/>
    <mergeCell ref="A720:B720"/>
    <mergeCell ref="E720:G720"/>
    <mergeCell ref="I720:J720"/>
    <mergeCell ref="M720:N720"/>
    <mergeCell ref="Q720:S720"/>
    <mergeCell ref="U720:V720"/>
    <mergeCell ref="E717:G717"/>
    <mergeCell ref="I717:J717"/>
    <mergeCell ref="Q717:S717"/>
    <mergeCell ref="U717:V717"/>
    <mergeCell ref="E718:G718"/>
    <mergeCell ref="I718:J718"/>
    <mergeCell ref="Q718:S718"/>
    <mergeCell ref="U718:V718"/>
    <mergeCell ref="E715:G715"/>
    <mergeCell ref="I715:J715"/>
    <mergeCell ref="Q715:S715"/>
    <mergeCell ref="U715:V715"/>
    <mergeCell ref="E716:G716"/>
    <mergeCell ref="I716:J716"/>
    <mergeCell ref="Q716:S716"/>
    <mergeCell ref="U716:V716"/>
    <mergeCell ref="A711:K711"/>
    <mergeCell ref="M711:W711"/>
    <mergeCell ref="A712:D712"/>
    <mergeCell ref="F712:I712"/>
    <mergeCell ref="M712:P712"/>
    <mergeCell ref="R712:U712"/>
    <mergeCell ref="A709:D709"/>
    <mergeCell ref="F709:K709"/>
    <mergeCell ref="M709:P709"/>
    <mergeCell ref="R709:W709"/>
    <mergeCell ref="A710:D710"/>
    <mergeCell ref="F710:K710"/>
    <mergeCell ref="M710:P710"/>
    <mergeCell ref="R710:W710"/>
    <mergeCell ref="A707:K707"/>
    <mergeCell ref="M707:W707"/>
    <mergeCell ref="A708:D708"/>
    <mergeCell ref="F708:K708"/>
    <mergeCell ref="M708:P708"/>
    <mergeCell ref="R708:W708"/>
    <mergeCell ref="B702:E702"/>
    <mergeCell ref="N702:Q702"/>
    <mergeCell ref="I703:K703"/>
    <mergeCell ref="U703:W703"/>
    <mergeCell ref="A705:K705"/>
    <mergeCell ref="M705:W705"/>
    <mergeCell ref="A699:F699"/>
    <mergeCell ref="H699:J699"/>
    <mergeCell ref="M699:R699"/>
    <mergeCell ref="T699:V699"/>
    <mergeCell ref="I701:K701"/>
    <mergeCell ref="U701:W701"/>
    <mergeCell ref="A697:F697"/>
    <mergeCell ref="H697:J697"/>
    <mergeCell ref="M697:R697"/>
    <mergeCell ref="T697:V697"/>
    <mergeCell ref="A698:F698"/>
    <mergeCell ref="H698:J698"/>
    <mergeCell ref="M698:R698"/>
    <mergeCell ref="T698:V698"/>
    <mergeCell ref="A695:F695"/>
    <mergeCell ref="H695:J695"/>
    <mergeCell ref="M695:R695"/>
    <mergeCell ref="T695:V695"/>
    <mergeCell ref="A696:F696"/>
    <mergeCell ref="H696:J696"/>
    <mergeCell ref="M696:R696"/>
    <mergeCell ref="T696:V696"/>
    <mergeCell ref="A693:F693"/>
    <mergeCell ref="M693:R693"/>
    <mergeCell ref="A694:F694"/>
    <mergeCell ref="H694:J694"/>
    <mergeCell ref="M694:R694"/>
    <mergeCell ref="T694:V694"/>
    <mergeCell ref="I690:J690"/>
    <mergeCell ref="U690:V690"/>
    <mergeCell ref="A691:F691"/>
    <mergeCell ref="H691:J691"/>
    <mergeCell ref="M691:R691"/>
    <mergeCell ref="T691:V691"/>
    <mergeCell ref="E688:G688"/>
    <mergeCell ref="I688:J688"/>
    <mergeCell ref="Q688:S688"/>
    <mergeCell ref="U688:V688"/>
    <mergeCell ref="A689:B689"/>
    <mergeCell ref="I689:J689"/>
    <mergeCell ref="M689:N689"/>
    <mergeCell ref="U689:V689"/>
    <mergeCell ref="E686:G686"/>
    <mergeCell ref="I686:J686"/>
    <mergeCell ref="Q686:S686"/>
    <mergeCell ref="U686:V686"/>
    <mergeCell ref="I687:J687"/>
    <mergeCell ref="U687:V687"/>
    <mergeCell ref="E684:G684"/>
    <mergeCell ref="I684:J684"/>
    <mergeCell ref="Q684:S684"/>
    <mergeCell ref="U684:V684"/>
    <mergeCell ref="E685:G685"/>
    <mergeCell ref="I685:J685"/>
    <mergeCell ref="Q685:S685"/>
    <mergeCell ref="U685:V685"/>
    <mergeCell ref="E682:G682"/>
    <mergeCell ref="I682:J682"/>
    <mergeCell ref="Q682:S682"/>
    <mergeCell ref="U682:V682"/>
    <mergeCell ref="A683:B683"/>
    <mergeCell ref="E683:G683"/>
    <mergeCell ref="I683:J683"/>
    <mergeCell ref="M683:N683"/>
    <mergeCell ref="Q683:S683"/>
    <mergeCell ref="U683:V683"/>
    <mergeCell ref="E680:G680"/>
    <mergeCell ref="I680:J680"/>
    <mergeCell ref="Q680:S680"/>
    <mergeCell ref="U680:V680"/>
    <mergeCell ref="E681:G681"/>
    <mergeCell ref="I681:J681"/>
    <mergeCell ref="Q681:S681"/>
    <mergeCell ref="U681:V681"/>
    <mergeCell ref="E678:G678"/>
    <mergeCell ref="I678:J678"/>
    <mergeCell ref="Q678:S678"/>
    <mergeCell ref="U678:V678"/>
    <mergeCell ref="E679:G679"/>
    <mergeCell ref="I679:J679"/>
    <mergeCell ref="Q679:S679"/>
    <mergeCell ref="U679:V679"/>
    <mergeCell ref="A674:K674"/>
    <mergeCell ref="M674:W674"/>
    <mergeCell ref="A675:D675"/>
    <mergeCell ref="F675:I675"/>
    <mergeCell ref="M675:P675"/>
    <mergeCell ref="R675:U675"/>
    <mergeCell ref="A672:D672"/>
    <mergeCell ref="F672:K672"/>
    <mergeCell ref="M672:P672"/>
    <mergeCell ref="R672:W672"/>
    <mergeCell ref="A673:D673"/>
    <mergeCell ref="F673:K673"/>
    <mergeCell ref="M673:P673"/>
    <mergeCell ref="R673:W673"/>
    <mergeCell ref="A670:K670"/>
    <mergeCell ref="M670:W670"/>
    <mergeCell ref="A671:D671"/>
    <mergeCell ref="F671:K671"/>
    <mergeCell ref="M671:P671"/>
    <mergeCell ref="R671:W671"/>
    <mergeCell ref="B665:E665"/>
    <mergeCell ref="N665:Q665"/>
    <mergeCell ref="I666:K666"/>
    <mergeCell ref="U666:W666"/>
    <mergeCell ref="A668:K668"/>
    <mergeCell ref="M668:W668"/>
    <mergeCell ref="A662:F662"/>
    <mergeCell ref="H662:J662"/>
    <mergeCell ref="M662:R662"/>
    <mergeCell ref="T662:V662"/>
    <mergeCell ref="I664:K664"/>
    <mergeCell ref="U664:W664"/>
    <mergeCell ref="A660:F660"/>
    <mergeCell ref="H660:J660"/>
    <mergeCell ref="M660:R660"/>
    <mergeCell ref="T660:V660"/>
    <mergeCell ref="A661:F661"/>
    <mergeCell ref="H661:J661"/>
    <mergeCell ref="M661:R661"/>
    <mergeCell ref="T661:V661"/>
    <mergeCell ref="A658:F658"/>
    <mergeCell ref="H658:J658"/>
    <mergeCell ref="M658:R658"/>
    <mergeCell ref="T658:V658"/>
    <mergeCell ref="A659:F659"/>
    <mergeCell ref="H659:J659"/>
    <mergeCell ref="M659:R659"/>
    <mergeCell ref="T659:V659"/>
    <mergeCell ref="A656:F656"/>
    <mergeCell ref="M656:R656"/>
    <mergeCell ref="A657:F657"/>
    <mergeCell ref="H657:J657"/>
    <mergeCell ref="M657:R657"/>
    <mergeCell ref="T657:V657"/>
    <mergeCell ref="I653:J653"/>
    <mergeCell ref="U653:V653"/>
    <mergeCell ref="A654:F654"/>
    <mergeCell ref="H654:J654"/>
    <mergeCell ref="M654:R654"/>
    <mergeCell ref="T654:V654"/>
    <mergeCell ref="E651:G651"/>
    <mergeCell ref="I651:J651"/>
    <mergeCell ref="Q651:S651"/>
    <mergeCell ref="U651:V651"/>
    <mergeCell ref="A652:B652"/>
    <mergeCell ref="I652:J652"/>
    <mergeCell ref="M652:N652"/>
    <mergeCell ref="U652:V652"/>
    <mergeCell ref="E649:G649"/>
    <mergeCell ref="I649:J649"/>
    <mergeCell ref="Q649:S649"/>
    <mergeCell ref="U649:V649"/>
    <mergeCell ref="I650:J650"/>
    <mergeCell ref="U650:V650"/>
    <mergeCell ref="E647:G647"/>
    <mergeCell ref="I647:J647"/>
    <mergeCell ref="Q647:S647"/>
    <mergeCell ref="U647:V647"/>
    <mergeCell ref="E648:G648"/>
    <mergeCell ref="I648:J648"/>
    <mergeCell ref="Q648:S648"/>
    <mergeCell ref="U648:V648"/>
    <mergeCell ref="E645:G645"/>
    <mergeCell ref="I645:J645"/>
    <mergeCell ref="Q645:S645"/>
    <mergeCell ref="U645:V645"/>
    <mergeCell ref="A646:B646"/>
    <mergeCell ref="E646:G646"/>
    <mergeCell ref="I646:J646"/>
    <mergeCell ref="M646:N646"/>
    <mergeCell ref="Q646:S646"/>
    <mergeCell ref="U646:V646"/>
    <mergeCell ref="E643:G643"/>
    <mergeCell ref="I643:J643"/>
    <mergeCell ref="Q643:S643"/>
    <mergeCell ref="U643:V643"/>
    <mergeCell ref="E644:G644"/>
    <mergeCell ref="I644:J644"/>
    <mergeCell ref="Q644:S644"/>
    <mergeCell ref="U644:V644"/>
    <mergeCell ref="E641:G641"/>
    <mergeCell ref="I641:J641"/>
    <mergeCell ref="Q641:S641"/>
    <mergeCell ref="U641:V641"/>
    <mergeCell ref="E642:G642"/>
    <mergeCell ref="I642:J642"/>
    <mergeCell ref="Q642:S642"/>
    <mergeCell ref="U642:V642"/>
    <mergeCell ref="A637:K637"/>
    <mergeCell ref="M637:W637"/>
    <mergeCell ref="A638:D638"/>
    <mergeCell ref="F638:I638"/>
    <mergeCell ref="M638:P638"/>
    <mergeCell ref="R638:U638"/>
    <mergeCell ref="A635:D635"/>
    <mergeCell ref="F635:K635"/>
    <mergeCell ref="M635:P635"/>
    <mergeCell ref="R635:W635"/>
    <mergeCell ref="A636:D636"/>
    <mergeCell ref="F636:K636"/>
    <mergeCell ref="M636:P636"/>
    <mergeCell ref="R636:W636"/>
    <mergeCell ref="A633:K633"/>
    <mergeCell ref="M633:W633"/>
    <mergeCell ref="A634:D634"/>
    <mergeCell ref="F634:K634"/>
    <mergeCell ref="M634:P634"/>
    <mergeCell ref="R634:W634"/>
    <mergeCell ref="B628:E628"/>
    <mergeCell ref="N628:Q628"/>
    <mergeCell ref="I629:K629"/>
    <mergeCell ref="U629:W629"/>
    <mergeCell ref="A631:K631"/>
    <mergeCell ref="M631:W631"/>
    <mergeCell ref="A625:F625"/>
    <mergeCell ref="H625:J625"/>
    <mergeCell ref="M625:R625"/>
    <mergeCell ref="T625:V625"/>
    <mergeCell ref="I627:K627"/>
    <mergeCell ref="U627:W627"/>
    <mergeCell ref="A623:F623"/>
    <mergeCell ref="H623:J623"/>
    <mergeCell ref="M623:R623"/>
    <mergeCell ref="T623:V623"/>
    <mergeCell ref="A624:F624"/>
    <mergeCell ref="H624:J624"/>
    <mergeCell ref="M624:R624"/>
    <mergeCell ref="T624:V624"/>
    <mergeCell ref="A621:F621"/>
    <mergeCell ref="H621:J621"/>
    <mergeCell ref="M621:R621"/>
    <mergeCell ref="T621:V621"/>
    <mergeCell ref="A622:F622"/>
    <mergeCell ref="H622:J622"/>
    <mergeCell ref="M622:R622"/>
    <mergeCell ref="T622:V622"/>
    <mergeCell ref="A619:F619"/>
    <mergeCell ref="M619:R619"/>
    <mergeCell ref="A620:F620"/>
    <mergeCell ref="H620:J620"/>
    <mergeCell ref="M620:R620"/>
    <mergeCell ref="T620:V620"/>
    <mergeCell ref="I616:J616"/>
    <mergeCell ref="U616:V616"/>
    <mergeCell ref="A617:F617"/>
    <mergeCell ref="H617:J617"/>
    <mergeCell ref="M617:R617"/>
    <mergeCell ref="T617:V617"/>
    <mergeCell ref="E614:G614"/>
    <mergeCell ref="I614:J614"/>
    <mergeCell ref="Q614:S614"/>
    <mergeCell ref="U614:V614"/>
    <mergeCell ref="A615:B615"/>
    <mergeCell ref="I615:J615"/>
    <mergeCell ref="M615:N615"/>
    <mergeCell ref="U615:V615"/>
    <mergeCell ref="E612:G612"/>
    <mergeCell ref="I612:J612"/>
    <mergeCell ref="Q612:S612"/>
    <mergeCell ref="U612:V612"/>
    <mergeCell ref="I613:J613"/>
    <mergeCell ref="U613:V613"/>
    <mergeCell ref="E610:G610"/>
    <mergeCell ref="I610:J610"/>
    <mergeCell ref="Q610:S610"/>
    <mergeCell ref="U610:V610"/>
    <mergeCell ref="E611:G611"/>
    <mergeCell ref="I611:J611"/>
    <mergeCell ref="Q611:S611"/>
    <mergeCell ref="U611:V611"/>
    <mergeCell ref="E608:G608"/>
    <mergeCell ref="I608:J608"/>
    <mergeCell ref="Q608:S608"/>
    <mergeCell ref="U608:V608"/>
    <mergeCell ref="A609:B609"/>
    <mergeCell ref="E609:G609"/>
    <mergeCell ref="I609:J609"/>
    <mergeCell ref="M609:N609"/>
    <mergeCell ref="Q609:S609"/>
    <mergeCell ref="U609:V609"/>
    <mergeCell ref="E606:G606"/>
    <mergeCell ref="I606:J606"/>
    <mergeCell ref="Q606:S606"/>
    <mergeCell ref="U606:V606"/>
    <mergeCell ref="E607:G607"/>
    <mergeCell ref="I607:J607"/>
    <mergeCell ref="Q607:S607"/>
    <mergeCell ref="U607:V607"/>
    <mergeCell ref="E604:G604"/>
    <mergeCell ref="I604:J604"/>
    <mergeCell ref="Q604:S604"/>
    <mergeCell ref="U604:V604"/>
    <mergeCell ref="E605:G605"/>
    <mergeCell ref="I605:J605"/>
    <mergeCell ref="Q605:S605"/>
    <mergeCell ref="U605:V605"/>
    <mergeCell ref="A600:K600"/>
    <mergeCell ref="M600:W600"/>
    <mergeCell ref="A601:D601"/>
    <mergeCell ref="F601:I601"/>
    <mergeCell ref="M601:P601"/>
    <mergeCell ref="R601:U601"/>
    <mergeCell ref="A598:D598"/>
    <mergeCell ref="F598:K598"/>
    <mergeCell ref="M598:P598"/>
    <mergeCell ref="R598:W598"/>
    <mergeCell ref="A599:D599"/>
    <mergeCell ref="F599:K599"/>
    <mergeCell ref="M599:P599"/>
    <mergeCell ref="R599:W599"/>
    <mergeCell ref="A596:K596"/>
    <mergeCell ref="M596:W596"/>
    <mergeCell ref="A597:D597"/>
    <mergeCell ref="F597:K597"/>
    <mergeCell ref="M597:P597"/>
    <mergeCell ref="R597:W597"/>
    <mergeCell ref="B591:E591"/>
    <mergeCell ref="N591:Q591"/>
    <mergeCell ref="I592:K592"/>
    <mergeCell ref="U592:W592"/>
    <mergeCell ref="A594:K594"/>
    <mergeCell ref="M594:W594"/>
    <mergeCell ref="A588:F588"/>
    <mergeCell ref="H588:J588"/>
    <mergeCell ref="M588:R588"/>
    <mergeCell ref="T588:V588"/>
    <mergeCell ref="I590:K590"/>
    <mergeCell ref="U590:W590"/>
    <mergeCell ref="A586:F586"/>
    <mergeCell ref="H586:J586"/>
    <mergeCell ref="M586:R586"/>
    <mergeCell ref="T586:V586"/>
    <mergeCell ref="A587:F587"/>
    <mergeCell ref="H587:J587"/>
    <mergeCell ref="M587:R587"/>
    <mergeCell ref="T587:V587"/>
    <mergeCell ref="A584:F584"/>
    <mergeCell ref="H584:J584"/>
    <mergeCell ref="M584:R584"/>
    <mergeCell ref="T584:V584"/>
    <mergeCell ref="A585:F585"/>
    <mergeCell ref="H585:J585"/>
    <mergeCell ref="M585:R585"/>
    <mergeCell ref="T585:V585"/>
    <mergeCell ref="A582:F582"/>
    <mergeCell ref="M582:R582"/>
    <mergeCell ref="A583:F583"/>
    <mergeCell ref="H583:J583"/>
    <mergeCell ref="M583:R583"/>
    <mergeCell ref="T583:V583"/>
    <mergeCell ref="I579:J579"/>
    <mergeCell ref="U579:V579"/>
    <mergeCell ref="A580:F580"/>
    <mergeCell ref="H580:J580"/>
    <mergeCell ref="M580:R580"/>
    <mergeCell ref="T580:V580"/>
    <mergeCell ref="E577:G577"/>
    <mergeCell ref="I577:J577"/>
    <mergeCell ref="Q577:S577"/>
    <mergeCell ref="U577:V577"/>
    <mergeCell ref="A578:B578"/>
    <mergeCell ref="I578:J578"/>
    <mergeCell ref="M578:N578"/>
    <mergeCell ref="U578:V578"/>
    <mergeCell ref="E575:G575"/>
    <mergeCell ref="I575:J575"/>
    <mergeCell ref="Q575:S575"/>
    <mergeCell ref="U575:V575"/>
    <mergeCell ref="I576:J576"/>
    <mergeCell ref="U576:V576"/>
    <mergeCell ref="E573:G573"/>
    <mergeCell ref="I573:J573"/>
    <mergeCell ref="Q573:S573"/>
    <mergeCell ref="U573:V573"/>
    <mergeCell ref="E574:G574"/>
    <mergeCell ref="I574:J574"/>
    <mergeCell ref="Q574:S574"/>
    <mergeCell ref="U574:V574"/>
    <mergeCell ref="E571:G571"/>
    <mergeCell ref="I571:J571"/>
    <mergeCell ref="Q571:S571"/>
    <mergeCell ref="U571:V571"/>
    <mergeCell ref="A572:B572"/>
    <mergeCell ref="E572:G572"/>
    <mergeCell ref="I572:J572"/>
    <mergeCell ref="M572:N572"/>
    <mergeCell ref="Q572:S572"/>
    <mergeCell ref="U572:V572"/>
    <mergeCell ref="E569:G569"/>
    <mergeCell ref="I569:J569"/>
    <mergeCell ref="Q569:S569"/>
    <mergeCell ref="U569:V569"/>
    <mergeCell ref="E570:G570"/>
    <mergeCell ref="I570:J570"/>
    <mergeCell ref="Q570:S570"/>
    <mergeCell ref="U570:V570"/>
    <mergeCell ref="E567:G567"/>
    <mergeCell ref="I567:J567"/>
    <mergeCell ref="Q567:S567"/>
    <mergeCell ref="U567:V567"/>
    <mergeCell ref="E568:G568"/>
    <mergeCell ref="I568:J568"/>
    <mergeCell ref="Q568:S568"/>
    <mergeCell ref="U568:V568"/>
    <mergeCell ref="A563:K563"/>
    <mergeCell ref="M563:W563"/>
    <mergeCell ref="A564:D564"/>
    <mergeCell ref="F564:I564"/>
    <mergeCell ref="M564:P564"/>
    <mergeCell ref="R564:U564"/>
    <mergeCell ref="A561:D561"/>
    <mergeCell ref="F561:K561"/>
    <mergeCell ref="M561:P561"/>
    <mergeCell ref="R561:W561"/>
    <mergeCell ref="A562:D562"/>
    <mergeCell ref="F562:K562"/>
    <mergeCell ref="M562:P562"/>
    <mergeCell ref="R562:W562"/>
    <mergeCell ref="A559:K559"/>
    <mergeCell ref="M559:W559"/>
    <mergeCell ref="A560:D560"/>
    <mergeCell ref="F560:K560"/>
    <mergeCell ref="M560:P560"/>
    <mergeCell ref="R560:W560"/>
    <mergeCell ref="B554:E554"/>
    <mergeCell ref="N554:Q554"/>
    <mergeCell ref="I555:K555"/>
    <mergeCell ref="U555:W555"/>
    <mergeCell ref="A557:K557"/>
    <mergeCell ref="M557:W557"/>
    <mergeCell ref="A551:F551"/>
    <mergeCell ref="H551:J551"/>
    <mergeCell ref="M551:R551"/>
    <mergeCell ref="T551:V551"/>
    <mergeCell ref="I553:K553"/>
    <mergeCell ref="U553:W553"/>
    <mergeCell ref="A549:F549"/>
    <mergeCell ref="H549:J549"/>
    <mergeCell ref="M549:R549"/>
    <mergeCell ref="T549:V549"/>
    <mergeCell ref="A550:F550"/>
    <mergeCell ref="H550:J550"/>
    <mergeCell ref="M550:R550"/>
    <mergeCell ref="T550:V550"/>
    <mergeCell ref="A547:F547"/>
    <mergeCell ref="H547:J547"/>
    <mergeCell ref="M547:R547"/>
    <mergeCell ref="T547:V547"/>
    <mergeCell ref="A548:F548"/>
    <mergeCell ref="H548:J548"/>
    <mergeCell ref="M548:R548"/>
    <mergeCell ref="T548:V548"/>
    <mergeCell ref="A545:F545"/>
    <mergeCell ref="M545:R545"/>
    <mergeCell ref="A546:F546"/>
    <mergeCell ref="H546:J546"/>
    <mergeCell ref="M546:R546"/>
    <mergeCell ref="T546:V546"/>
    <mergeCell ref="I542:J542"/>
    <mergeCell ref="U542:V542"/>
    <mergeCell ref="A543:F543"/>
    <mergeCell ref="H543:J543"/>
    <mergeCell ref="M543:R543"/>
    <mergeCell ref="T543:V543"/>
    <mergeCell ref="E540:G540"/>
    <mergeCell ref="I540:J540"/>
    <mergeCell ref="Q540:S540"/>
    <mergeCell ref="U540:V540"/>
    <mergeCell ref="A541:B541"/>
    <mergeCell ref="I541:J541"/>
    <mergeCell ref="M541:N541"/>
    <mergeCell ref="U541:V541"/>
    <mergeCell ref="E538:G538"/>
    <mergeCell ref="I538:J538"/>
    <mergeCell ref="Q538:S538"/>
    <mergeCell ref="U538:V538"/>
    <mergeCell ref="I539:J539"/>
    <mergeCell ref="U539:V539"/>
    <mergeCell ref="E536:G536"/>
    <mergeCell ref="I536:J536"/>
    <mergeCell ref="Q536:S536"/>
    <mergeCell ref="U536:V536"/>
    <mergeCell ref="E537:G537"/>
    <mergeCell ref="I537:J537"/>
    <mergeCell ref="Q537:S537"/>
    <mergeCell ref="U537:V537"/>
    <mergeCell ref="E534:G534"/>
    <mergeCell ref="I534:J534"/>
    <mergeCell ref="Q534:S534"/>
    <mergeCell ref="U534:V534"/>
    <mergeCell ref="A535:B535"/>
    <mergeCell ref="E535:G535"/>
    <mergeCell ref="I535:J535"/>
    <mergeCell ref="M535:N535"/>
    <mergeCell ref="Q535:S535"/>
    <mergeCell ref="U535:V535"/>
    <mergeCell ref="E532:G532"/>
    <mergeCell ref="I532:J532"/>
    <mergeCell ref="Q532:S532"/>
    <mergeCell ref="U532:V532"/>
    <mergeCell ref="E533:G533"/>
    <mergeCell ref="I533:J533"/>
    <mergeCell ref="Q533:S533"/>
    <mergeCell ref="U533:V533"/>
    <mergeCell ref="E530:G530"/>
    <mergeCell ref="I530:J530"/>
    <mergeCell ref="Q530:S530"/>
    <mergeCell ref="U530:V530"/>
    <mergeCell ref="E531:G531"/>
    <mergeCell ref="I531:J531"/>
    <mergeCell ref="Q531:S531"/>
    <mergeCell ref="U531:V531"/>
    <mergeCell ref="A526:K526"/>
    <mergeCell ref="M526:W526"/>
    <mergeCell ref="A527:D527"/>
    <mergeCell ref="F527:I527"/>
    <mergeCell ref="M527:P527"/>
    <mergeCell ref="R527:U527"/>
    <mergeCell ref="A524:D524"/>
    <mergeCell ref="F524:K524"/>
    <mergeCell ref="M524:P524"/>
    <mergeCell ref="R524:W524"/>
    <mergeCell ref="A525:D525"/>
    <mergeCell ref="F525:K525"/>
    <mergeCell ref="M525:P525"/>
    <mergeCell ref="R525:W525"/>
    <mergeCell ref="A522:K522"/>
    <mergeCell ref="M522:W522"/>
    <mergeCell ref="A523:D523"/>
    <mergeCell ref="F523:K523"/>
    <mergeCell ref="M523:P523"/>
    <mergeCell ref="R523:W523"/>
    <mergeCell ref="B517:E517"/>
    <mergeCell ref="N517:Q517"/>
    <mergeCell ref="I518:K518"/>
    <mergeCell ref="U518:W518"/>
    <mergeCell ref="A520:K520"/>
    <mergeCell ref="M520:W520"/>
    <mergeCell ref="A514:F514"/>
    <mergeCell ref="H514:J514"/>
    <mergeCell ref="M514:R514"/>
    <mergeCell ref="T514:V514"/>
    <mergeCell ref="I516:K516"/>
    <mergeCell ref="U516:W516"/>
    <mergeCell ref="A512:F512"/>
    <mergeCell ref="H512:J512"/>
    <mergeCell ref="M512:R512"/>
    <mergeCell ref="T512:V512"/>
    <mergeCell ref="A513:F513"/>
    <mergeCell ref="H513:J513"/>
    <mergeCell ref="M513:R513"/>
    <mergeCell ref="T513:V513"/>
    <mergeCell ref="A510:F510"/>
    <mergeCell ref="H510:J510"/>
    <mergeCell ref="M510:R510"/>
    <mergeCell ref="T510:V510"/>
    <mergeCell ref="A511:F511"/>
    <mergeCell ref="H511:J511"/>
    <mergeCell ref="M511:R511"/>
    <mergeCell ref="T511:V511"/>
    <mergeCell ref="A508:F508"/>
    <mergeCell ref="M508:R508"/>
    <mergeCell ref="A509:F509"/>
    <mergeCell ref="H509:J509"/>
    <mergeCell ref="M509:R509"/>
    <mergeCell ref="T509:V509"/>
    <mergeCell ref="I505:J505"/>
    <mergeCell ref="U505:V505"/>
    <mergeCell ref="A506:F506"/>
    <mergeCell ref="H506:J506"/>
    <mergeCell ref="M506:R506"/>
    <mergeCell ref="T506:V506"/>
    <mergeCell ref="E503:G503"/>
    <mergeCell ref="I503:J503"/>
    <mergeCell ref="Q503:S503"/>
    <mergeCell ref="U503:V503"/>
    <mergeCell ref="A504:B504"/>
    <mergeCell ref="I504:J504"/>
    <mergeCell ref="M504:N504"/>
    <mergeCell ref="U504:V504"/>
    <mergeCell ref="E501:G501"/>
    <mergeCell ref="I501:J501"/>
    <mergeCell ref="Q501:S501"/>
    <mergeCell ref="U501:V501"/>
    <mergeCell ref="I502:J502"/>
    <mergeCell ref="U502:V502"/>
    <mergeCell ref="E499:G499"/>
    <mergeCell ref="I499:J499"/>
    <mergeCell ref="Q499:S499"/>
    <mergeCell ref="U499:V499"/>
    <mergeCell ref="E500:G500"/>
    <mergeCell ref="I500:J500"/>
    <mergeCell ref="Q500:S500"/>
    <mergeCell ref="U500:V500"/>
    <mergeCell ref="E497:G497"/>
    <mergeCell ref="I497:J497"/>
    <mergeCell ref="Q497:S497"/>
    <mergeCell ref="U497:V497"/>
    <mergeCell ref="A498:B498"/>
    <mergeCell ref="E498:G498"/>
    <mergeCell ref="I498:J498"/>
    <mergeCell ref="M498:N498"/>
    <mergeCell ref="Q498:S498"/>
    <mergeCell ref="U498:V498"/>
    <mergeCell ref="E495:G495"/>
    <mergeCell ref="I495:J495"/>
    <mergeCell ref="Q495:S495"/>
    <mergeCell ref="U495:V495"/>
    <mergeCell ref="E496:G496"/>
    <mergeCell ref="I496:J496"/>
    <mergeCell ref="Q496:S496"/>
    <mergeCell ref="U496:V496"/>
    <mergeCell ref="E493:G493"/>
    <mergeCell ref="I493:J493"/>
    <mergeCell ref="Q493:S493"/>
    <mergeCell ref="U493:V493"/>
    <mergeCell ref="E494:G494"/>
    <mergeCell ref="I494:J494"/>
    <mergeCell ref="Q494:S494"/>
    <mergeCell ref="U494:V494"/>
    <mergeCell ref="A489:K489"/>
    <mergeCell ref="M489:W489"/>
    <mergeCell ref="A490:D490"/>
    <mergeCell ref="F490:I490"/>
    <mergeCell ref="M490:P490"/>
    <mergeCell ref="R490:U490"/>
    <mergeCell ref="A487:D487"/>
    <mergeCell ref="F487:K487"/>
    <mergeCell ref="M487:P487"/>
    <mergeCell ref="R487:W487"/>
    <mergeCell ref="A488:D488"/>
    <mergeCell ref="F488:K488"/>
    <mergeCell ref="M488:P488"/>
    <mergeCell ref="R488:W488"/>
    <mergeCell ref="A485:K485"/>
    <mergeCell ref="M485:W485"/>
    <mergeCell ref="A486:D486"/>
    <mergeCell ref="F486:K486"/>
    <mergeCell ref="M486:P486"/>
    <mergeCell ref="R486:W486"/>
    <mergeCell ref="B480:E480"/>
    <mergeCell ref="N480:Q480"/>
    <mergeCell ref="I481:K481"/>
    <mergeCell ref="U481:W481"/>
    <mergeCell ref="A483:K483"/>
    <mergeCell ref="M483:W483"/>
    <mergeCell ref="A477:F477"/>
    <mergeCell ref="H477:J477"/>
    <mergeCell ref="M477:R477"/>
    <mergeCell ref="T477:V477"/>
    <mergeCell ref="I479:K479"/>
    <mergeCell ref="U479:W479"/>
    <mergeCell ref="A475:F475"/>
    <mergeCell ref="H475:J475"/>
    <mergeCell ref="M475:R475"/>
    <mergeCell ref="T475:V475"/>
    <mergeCell ref="A476:F476"/>
    <mergeCell ref="H476:J476"/>
    <mergeCell ref="M476:R476"/>
    <mergeCell ref="T476:V476"/>
    <mergeCell ref="A473:F473"/>
    <mergeCell ref="H473:J473"/>
    <mergeCell ref="M473:R473"/>
    <mergeCell ref="T473:V473"/>
    <mergeCell ref="A474:F474"/>
    <mergeCell ref="H474:J474"/>
    <mergeCell ref="M474:R474"/>
    <mergeCell ref="T474:V474"/>
    <mergeCell ref="A471:F471"/>
    <mergeCell ref="M471:R471"/>
    <mergeCell ref="A472:F472"/>
    <mergeCell ref="H472:J472"/>
    <mergeCell ref="M472:R472"/>
    <mergeCell ref="T472:V472"/>
    <mergeCell ref="I468:J468"/>
    <mergeCell ref="U468:V468"/>
    <mergeCell ref="A469:F469"/>
    <mergeCell ref="H469:J469"/>
    <mergeCell ref="M469:R469"/>
    <mergeCell ref="T469:V469"/>
    <mergeCell ref="E466:G466"/>
    <mergeCell ref="I466:J466"/>
    <mergeCell ref="Q466:S466"/>
    <mergeCell ref="U466:V466"/>
    <mergeCell ref="A467:B467"/>
    <mergeCell ref="I467:J467"/>
    <mergeCell ref="M467:N467"/>
    <mergeCell ref="U467:V467"/>
    <mergeCell ref="E464:G464"/>
    <mergeCell ref="I464:J464"/>
    <mergeCell ref="Q464:S464"/>
    <mergeCell ref="U464:V464"/>
    <mergeCell ref="I465:J465"/>
    <mergeCell ref="U465:V465"/>
    <mergeCell ref="E462:G462"/>
    <mergeCell ref="I462:J462"/>
    <mergeCell ref="Q462:S462"/>
    <mergeCell ref="U462:V462"/>
    <mergeCell ref="E463:G463"/>
    <mergeCell ref="I463:J463"/>
    <mergeCell ref="Q463:S463"/>
    <mergeCell ref="U463:V463"/>
    <mergeCell ref="E460:G460"/>
    <mergeCell ref="I460:J460"/>
    <mergeCell ref="Q460:S460"/>
    <mergeCell ref="U460:V460"/>
    <mergeCell ref="A461:B461"/>
    <mergeCell ref="E461:G461"/>
    <mergeCell ref="I461:J461"/>
    <mergeCell ref="M461:N461"/>
    <mergeCell ref="Q461:S461"/>
    <mergeCell ref="U461:V461"/>
    <mergeCell ref="E458:G458"/>
    <mergeCell ref="I458:J458"/>
    <mergeCell ref="Q458:S458"/>
    <mergeCell ref="U458:V458"/>
    <mergeCell ref="E459:G459"/>
    <mergeCell ref="I459:J459"/>
    <mergeCell ref="Q459:S459"/>
    <mergeCell ref="U459:V459"/>
    <mergeCell ref="E456:G456"/>
    <mergeCell ref="I456:J456"/>
    <mergeCell ref="Q456:S456"/>
    <mergeCell ref="U456:V456"/>
    <mergeCell ref="E457:G457"/>
    <mergeCell ref="I457:J457"/>
    <mergeCell ref="Q457:S457"/>
    <mergeCell ref="U457:V457"/>
    <mergeCell ref="A452:K452"/>
    <mergeCell ref="M452:W452"/>
    <mergeCell ref="A453:D453"/>
    <mergeCell ref="F453:I453"/>
    <mergeCell ref="M453:P453"/>
    <mergeCell ref="R453:U453"/>
    <mergeCell ref="A450:D450"/>
    <mergeCell ref="F450:K450"/>
    <mergeCell ref="M450:P450"/>
    <mergeCell ref="R450:W450"/>
    <mergeCell ref="A451:D451"/>
    <mergeCell ref="F451:K451"/>
    <mergeCell ref="M451:P451"/>
    <mergeCell ref="R451:W451"/>
    <mergeCell ref="A448:K448"/>
    <mergeCell ref="M448:W448"/>
    <mergeCell ref="A449:D449"/>
    <mergeCell ref="F449:K449"/>
    <mergeCell ref="M449:P449"/>
    <mergeCell ref="R449:W449"/>
    <mergeCell ref="B443:E443"/>
    <mergeCell ref="N443:Q443"/>
    <mergeCell ref="I444:K444"/>
    <mergeCell ref="U444:W444"/>
    <mergeCell ref="A446:K446"/>
    <mergeCell ref="M446:W446"/>
    <mergeCell ref="A440:F440"/>
    <mergeCell ref="H440:J440"/>
    <mergeCell ref="M440:R440"/>
    <mergeCell ref="T440:V440"/>
    <mergeCell ref="I442:K442"/>
    <mergeCell ref="U442:W442"/>
    <mergeCell ref="A438:F438"/>
    <mergeCell ref="H438:J438"/>
    <mergeCell ref="M438:R438"/>
    <mergeCell ref="T438:V438"/>
    <mergeCell ref="A439:F439"/>
    <mergeCell ref="H439:J439"/>
    <mergeCell ref="M439:R439"/>
    <mergeCell ref="T439:V439"/>
    <mergeCell ref="A436:F436"/>
    <mergeCell ref="H436:J436"/>
    <mergeCell ref="M436:R436"/>
    <mergeCell ref="T436:V436"/>
    <mergeCell ref="A437:F437"/>
    <mergeCell ref="H437:J437"/>
    <mergeCell ref="M437:R437"/>
    <mergeCell ref="T437:V437"/>
    <mergeCell ref="A434:F434"/>
    <mergeCell ref="M434:R434"/>
    <mergeCell ref="A435:F435"/>
    <mergeCell ref="H435:J435"/>
    <mergeCell ref="M435:R435"/>
    <mergeCell ref="T435:V435"/>
    <mergeCell ref="I431:J431"/>
    <mergeCell ref="U431:V431"/>
    <mergeCell ref="A432:F432"/>
    <mergeCell ref="H432:J432"/>
    <mergeCell ref="M432:R432"/>
    <mergeCell ref="T432:V432"/>
    <mergeCell ref="E429:G429"/>
    <mergeCell ref="I429:J429"/>
    <mergeCell ref="Q429:S429"/>
    <mergeCell ref="U429:V429"/>
    <mergeCell ref="A430:B430"/>
    <mergeCell ref="I430:J430"/>
    <mergeCell ref="M430:N430"/>
    <mergeCell ref="U430:V430"/>
    <mergeCell ref="E427:G427"/>
    <mergeCell ref="I427:J427"/>
    <mergeCell ref="Q427:S427"/>
    <mergeCell ref="U427:V427"/>
    <mergeCell ref="I428:J428"/>
    <mergeCell ref="U428:V428"/>
    <mergeCell ref="E425:G425"/>
    <mergeCell ref="I425:J425"/>
    <mergeCell ref="Q425:S425"/>
    <mergeCell ref="U425:V425"/>
    <mergeCell ref="E426:G426"/>
    <mergeCell ref="I426:J426"/>
    <mergeCell ref="Q426:S426"/>
    <mergeCell ref="U426:V426"/>
    <mergeCell ref="E423:G423"/>
    <mergeCell ref="I423:J423"/>
    <mergeCell ref="Q423:S423"/>
    <mergeCell ref="U423:V423"/>
    <mergeCell ref="A424:B424"/>
    <mergeCell ref="E424:G424"/>
    <mergeCell ref="I424:J424"/>
    <mergeCell ref="M424:N424"/>
    <mergeCell ref="Q424:S424"/>
    <mergeCell ref="U424:V424"/>
    <mergeCell ref="E421:G421"/>
    <mergeCell ref="I421:J421"/>
    <mergeCell ref="Q421:S421"/>
    <mergeCell ref="U421:V421"/>
    <mergeCell ref="E422:G422"/>
    <mergeCell ref="I422:J422"/>
    <mergeCell ref="Q422:S422"/>
    <mergeCell ref="U422:V422"/>
    <mergeCell ref="E419:G419"/>
    <mergeCell ref="I419:J419"/>
    <mergeCell ref="Q419:S419"/>
    <mergeCell ref="U419:V419"/>
    <mergeCell ref="E420:G420"/>
    <mergeCell ref="I420:J420"/>
    <mergeCell ref="Q420:S420"/>
    <mergeCell ref="U420:V420"/>
    <mergeCell ref="A415:K415"/>
    <mergeCell ref="M415:W415"/>
    <mergeCell ref="A416:D416"/>
    <mergeCell ref="F416:I416"/>
    <mergeCell ref="M416:P416"/>
    <mergeCell ref="R416:U416"/>
    <mergeCell ref="A413:D413"/>
    <mergeCell ref="F413:K413"/>
    <mergeCell ref="M413:P413"/>
    <mergeCell ref="R413:W413"/>
    <mergeCell ref="A414:D414"/>
    <mergeCell ref="F414:K414"/>
    <mergeCell ref="M414:P414"/>
    <mergeCell ref="R414:W414"/>
    <mergeCell ref="A411:K411"/>
    <mergeCell ref="M411:W411"/>
    <mergeCell ref="A412:D412"/>
    <mergeCell ref="F412:K412"/>
    <mergeCell ref="M412:P412"/>
    <mergeCell ref="R412:W412"/>
    <mergeCell ref="B406:E406"/>
    <mergeCell ref="N406:Q406"/>
    <mergeCell ref="I407:K407"/>
    <mergeCell ref="U407:W407"/>
    <mergeCell ref="A409:K409"/>
    <mergeCell ref="M409:W409"/>
    <mergeCell ref="A403:F403"/>
    <mergeCell ref="H403:J403"/>
    <mergeCell ref="M403:R403"/>
    <mergeCell ref="T403:V403"/>
    <mergeCell ref="I405:K405"/>
    <mergeCell ref="U405:W405"/>
    <mergeCell ref="A401:F401"/>
    <mergeCell ref="H401:J401"/>
    <mergeCell ref="M401:R401"/>
    <mergeCell ref="T401:V401"/>
    <mergeCell ref="A402:F402"/>
    <mergeCell ref="H402:J402"/>
    <mergeCell ref="M402:R402"/>
    <mergeCell ref="T402:V402"/>
    <mergeCell ref="A399:F399"/>
    <mergeCell ref="H399:J399"/>
    <mergeCell ref="M399:R399"/>
    <mergeCell ref="T399:V399"/>
    <mergeCell ref="A400:F400"/>
    <mergeCell ref="H400:J400"/>
    <mergeCell ref="M400:R400"/>
    <mergeCell ref="T400:V400"/>
    <mergeCell ref="A397:F397"/>
    <mergeCell ref="M397:R397"/>
    <mergeCell ref="A398:F398"/>
    <mergeCell ref="H398:J398"/>
    <mergeCell ref="M398:R398"/>
    <mergeCell ref="T398:V398"/>
    <mergeCell ref="I394:J394"/>
    <mergeCell ref="U394:V394"/>
    <mergeCell ref="A395:F395"/>
    <mergeCell ref="H395:J395"/>
    <mergeCell ref="M395:R395"/>
    <mergeCell ref="T395:V395"/>
    <mergeCell ref="E392:G392"/>
    <mergeCell ref="I392:J392"/>
    <mergeCell ref="Q392:S392"/>
    <mergeCell ref="U392:V392"/>
    <mergeCell ref="A393:B393"/>
    <mergeCell ref="I393:J393"/>
    <mergeCell ref="M393:N393"/>
    <mergeCell ref="U393:V393"/>
    <mergeCell ref="E390:G390"/>
    <mergeCell ref="I390:J390"/>
    <mergeCell ref="Q390:S390"/>
    <mergeCell ref="U390:V390"/>
    <mergeCell ref="I391:J391"/>
    <mergeCell ref="U391:V391"/>
    <mergeCell ref="E388:G388"/>
    <mergeCell ref="I388:J388"/>
    <mergeCell ref="Q388:S388"/>
    <mergeCell ref="U388:V388"/>
    <mergeCell ref="E389:G389"/>
    <mergeCell ref="I389:J389"/>
    <mergeCell ref="Q389:S389"/>
    <mergeCell ref="U389:V389"/>
    <mergeCell ref="E386:G386"/>
    <mergeCell ref="I386:J386"/>
    <mergeCell ref="Q386:S386"/>
    <mergeCell ref="U386:V386"/>
    <mergeCell ref="A387:B387"/>
    <mergeCell ref="E387:G387"/>
    <mergeCell ref="I387:J387"/>
    <mergeCell ref="M387:N387"/>
    <mergeCell ref="Q387:S387"/>
    <mergeCell ref="U387:V387"/>
    <mergeCell ref="E384:G384"/>
    <mergeCell ref="I384:J384"/>
    <mergeCell ref="Q384:S384"/>
    <mergeCell ref="U384:V384"/>
    <mergeCell ref="E385:G385"/>
    <mergeCell ref="I385:J385"/>
    <mergeCell ref="Q385:S385"/>
    <mergeCell ref="U385:V385"/>
    <mergeCell ref="E382:G382"/>
    <mergeCell ref="I382:J382"/>
    <mergeCell ref="Q382:S382"/>
    <mergeCell ref="U382:V382"/>
    <mergeCell ref="E383:G383"/>
    <mergeCell ref="I383:J383"/>
    <mergeCell ref="Q383:S383"/>
    <mergeCell ref="U383:V383"/>
    <mergeCell ref="A378:K378"/>
    <mergeCell ref="M378:W378"/>
    <mergeCell ref="A379:D379"/>
    <mergeCell ref="F379:I379"/>
    <mergeCell ref="M379:P379"/>
    <mergeCell ref="R379:U379"/>
    <mergeCell ref="A376:D376"/>
    <mergeCell ref="F376:K376"/>
    <mergeCell ref="M376:P376"/>
    <mergeCell ref="R376:W376"/>
    <mergeCell ref="A377:D377"/>
    <mergeCell ref="F377:K377"/>
    <mergeCell ref="M377:P377"/>
    <mergeCell ref="R377:W377"/>
    <mergeCell ref="A374:K374"/>
    <mergeCell ref="M374:W374"/>
    <mergeCell ref="A375:D375"/>
    <mergeCell ref="F375:K375"/>
    <mergeCell ref="M375:P375"/>
    <mergeCell ref="R375:W375"/>
    <mergeCell ref="B369:E369"/>
    <mergeCell ref="N369:Q369"/>
    <mergeCell ref="I370:K370"/>
    <mergeCell ref="U370:W370"/>
    <mergeCell ref="A372:K372"/>
    <mergeCell ref="M372:W372"/>
    <mergeCell ref="A366:F366"/>
    <mergeCell ref="H366:J366"/>
    <mergeCell ref="M366:R366"/>
    <mergeCell ref="T366:V366"/>
    <mergeCell ref="I368:K368"/>
    <mergeCell ref="U368:W368"/>
    <mergeCell ref="A364:F364"/>
    <mergeCell ref="H364:J364"/>
    <mergeCell ref="M364:R364"/>
    <mergeCell ref="T364:V364"/>
    <mergeCell ref="A365:F365"/>
    <mergeCell ref="H365:J365"/>
    <mergeCell ref="M365:R365"/>
    <mergeCell ref="T365:V365"/>
    <mergeCell ref="A362:F362"/>
    <mergeCell ref="H362:J362"/>
    <mergeCell ref="M362:R362"/>
    <mergeCell ref="T362:V362"/>
    <mergeCell ref="A363:F363"/>
    <mergeCell ref="H363:J363"/>
    <mergeCell ref="M363:R363"/>
    <mergeCell ref="T363:V363"/>
    <mergeCell ref="A360:F360"/>
    <mergeCell ref="M360:R360"/>
    <mergeCell ref="A361:F361"/>
    <mergeCell ref="H361:J361"/>
    <mergeCell ref="M361:R361"/>
    <mergeCell ref="T361:V361"/>
    <mergeCell ref="I357:J357"/>
    <mergeCell ref="U357:V357"/>
    <mergeCell ref="A358:F358"/>
    <mergeCell ref="H358:J358"/>
    <mergeCell ref="M358:R358"/>
    <mergeCell ref="T358:V358"/>
    <mergeCell ref="E355:G355"/>
    <mergeCell ref="I355:J355"/>
    <mergeCell ref="Q355:S355"/>
    <mergeCell ref="U355:V355"/>
    <mergeCell ref="A356:B356"/>
    <mergeCell ref="I356:J356"/>
    <mergeCell ref="M356:N356"/>
    <mergeCell ref="U356:V356"/>
    <mergeCell ref="E353:G353"/>
    <mergeCell ref="I353:J353"/>
    <mergeCell ref="Q353:S353"/>
    <mergeCell ref="U353:V353"/>
    <mergeCell ref="I354:J354"/>
    <mergeCell ref="U354:V354"/>
    <mergeCell ref="E351:G351"/>
    <mergeCell ref="I351:J351"/>
    <mergeCell ref="Q351:S351"/>
    <mergeCell ref="U351:V351"/>
    <mergeCell ref="E352:G352"/>
    <mergeCell ref="I352:J352"/>
    <mergeCell ref="Q352:S352"/>
    <mergeCell ref="U352:V352"/>
    <mergeCell ref="E349:G349"/>
    <mergeCell ref="I349:J349"/>
    <mergeCell ref="Q349:S349"/>
    <mergeCell ref="U349:V349"/>
    <mergeCell ref="A350:B350"/>
    <mergeCell ref="E350:G350"/>
    <mergeCell ref="I350:J350"/>
    <mergeCell ref="M350:N350"/>
    <mergeCell ref="Q350:S350"/>
    <mergeCell ref="U350:V350"/>
    <mergeCell ref="E347:G347"/>
    <mergeCell ref="I347:J347"/>
    <mergeCell ref="Q347:S347"/>
    <mergeCell ref="U347:V347"/>
    <mergeCell ref="E348:G348"/>
    <mergeCell ref="I348:J348"/>
    <mergeCell ref="Q348:S348"/>
    <mergeCell ref="U348:V348"/>
    <mergeCell ref="E345:G345"/>
    <mergeCell ref="I345:J345"/>
    <mergeCell ref="Q345:S345"/>
    <mergeCell ref="U345:V345"/>
    <mergeCell ref="E346:G346"/>
    <mergeCell ref="I346:J346"/>
    <mergeCell ref="Q346:S346"/>
    <mergeCell ref="U346:V346"/>
    <mergeCell ref="A341:K341"/>
    <mergeCell ref="M341:W341"/>
    <mergeCell ref="A342:D342"/>
    <mergeCell ref="F342:I342"/>
    <mergeCell ref="M342:P342"/>
    <mergeCell ref="R342:U342"/>
    <mergeCell ref="A339:D339"/>
    <mergeCell ref="F339:K339"/>
    <mergeCell ref="M339:P339"/>
    <mergeCell ref="R339:W339"/>
    <mergeCell ref="A340:D340"/>
    <mergeCell ref="F340:K340"/>
    <mergeCell ref="M340:P340"/>
    <mergeCell ref="R340:W340"/>
    <mergeCell ref="A337:K337"/>
    <mergeCell ref="M337:W337"/>
    <mergeCell ref="A338:D338"/>
    <mergeCell ref="F338:K338"/>
    <mergeCell ref="M338:P338"/>
    <mergeCell ref="R338:W338"/>
    <mergeCell ref="B332:E332"/>
    <mergeCell ref="N332:Q332"/>
    <mergeCell ref="I333:K333"/>
    <mergeCell ref="U333:W333"/>
    <mergeCell ref="A335:K335"/>
    <mergeCell ref="M335:W335"/>
    <mergeCell ref="A329:F329"/>
    <mergeCell ref="H329:J329"/>
    <mergeCell ref="M329:R329"/>
    <mergeCell ref="T329:V329"/>
    <mergeCell ref="I331:K331"/>
    <mergeCell ref="U331:W331"/>
    <mergeCell ref="A327:F327"/>
    <mergeCell ref="H327:J327"/>
    <mergeCell ref="M327:R327"/>
    <mergeCell ref="T327:V327"/>
    <mergeCell ref="A328:F328"/>
    <mergeCell ref="H328:J328"/>
    <mergeCell ref="M328:R328"/>
    <mergeCell ref="T328:V328"/>
    <mergeCell ref="A325:F325"/>
    <mergeCell ref="H325:J325"/>
    <mergeCell ref="M325:R325"/>
    <mergeCell ref="T325:V325"/>
    <mergeCell ref="A326:F326"/>
    <mergeCell ref="H326:J326"/>
    <mergeCell ref="M326:R326"/>
    <mergeCell ref="T326:V326"/>
    <mergeCell ref="A323:F323"/>
    <mergeCell ref="M323:R323"/>
    <mergeCell ref="A324:F324"/>
    <mergeCell ref="H324:J324"/>
    <mergeCell ref="M324:R324"/>
    <mergeCell ref="T324:V324"/>
    <mergeCell ref="I320:J320"/>
    <mergeCell ref="U320:V320"/>
    <mergeCell ref="A321:F321"/>
    <mergeCell ref="H321:J321"/>
    <mergeCell ref="M321:R321"/>
    <mergeCell ref="T321:V321"/>
    <mergeCell ref="E318:G318"/>
    <mergeCell ref="I318:J318"/>
    <mergeCell ref="Q318:S318"/>
    <mergeCell ref="U318:V318"/>
    <mergeCell ref="A319:B319"/>
    <mergeCell ref="I319:J319"/>
    <mergeCell ref="M319:N319"/>
    <mergeCell ref="U319:V319"/>
    <mergeCell ref="E316:G316"/>
    <mergeCell ref="I316:J316"/>
    <mergeCell ref="Q316:S316"/>
    <mergeCell ref="U316:V316"/>
    <mergeCell ref="I317:J317"/>
    <mergeCell ref="U317:V317"/>
    <mergeCell ref="E314:G314"/>
    <mergeCell ref="I314:J314"/>
    <mergeCell ref="Q314:S314"/>
    <mergeCell ref="U314:V314"/>
    <mergeCell ref="E315:G315"/>
    <mergeCell ref="I315:J315"/>
    <mergeCell ref="Q315:S315"/>
    <mergeCell ref="U315:V315"/>
    <mergeCell ref="E312:G312"/>
    <mergeCell ref="I312:J312"/>
    <mergeCell ref="Q312:S312"/>
    <mergeCell ref="U312:V312"/>
    <mergeCell ref="A313:B313"/>
    <mergeCell ref="E313:G313"/>
    <mergeCell ref="I313:J313"/>
    <mergeCell ref="M313:N313"/>
    <mergeCell ref="Q313:S313"/>
    <mergeCell ref="U313:V313"/>
    <mergeCell ref="E310:G310"/>
    <mergeCell ref="I310:J310"/>
    <mergeCell ref="Q310:S310"/>
    <mergeCell ref="U310:V310"/>
    <mergeCell ref="E311:G311"/>
    <mergeCell ref="I311:J311"/>
    <mergeCell ref="Q311:S311"/>
    <mergeCell ref="U311:V311"/>
    <mergeCell ref="E308:G308"/>
    <mergeCell ref="I308:J308"/>
    <mergeCell ref="Q308:S308"/>
    <mergeCell ref="U308:V308"/>
    <mergeCell ref="E309:G309"/>
    <mergeCell ref="I309:J309"/>
    <mergeCell ref="Q309:S309"/>
    <mergeCell ref="U309:V309"/>
    <mergeCell ref="A304:K304"/>
    <mergeCell ref="M304:W304"/>
    <mergeCell ref="A305:D305"/>
    <mergeCell ref="F305:I305"/>
    <mergeCell ref="M305:P305"/>
    <mergeCell ref="R305:U305"/>
    <mergeCell ref="A302:D302"/>
    <mergeCell ref="F302:K302"/>
    <mergeCell ref="M302:P302"/>
    <mergeCell ref="R302:W302"/>
    <mergeCell ref="A303:D303"/>
    <mergeCell ref="F303:K303"/>
    <mergeCell ref="M303:P303"/>
    <mergeCell ref="R303:W303"/>
    <mergeCell ref="A300:K300"/>
    <mergeCell ref="M300:W300"/>
    <mergeCell ref="A301:D301"/>
    <mergeCell ref="F301:K301"/>
    <mergeCell ref="M301:P301"/>
    <mergeCell ref="R301:W301"/>
    <mergeCell ref="B295:E295"/>
    <mergeCell ref="N295:Q295"/>
    <mergeCell ref="I296:K296"/>
    <mergeCell ref="U296:W296"/>
    <mergeCell ref="A298:K298"/>
    <mergeCell ref="M298:W298"/>
    <mergeCell ref="A292:F292"/>
    <mergeCell ref="H292:J292"/>
    <mergeCell ref="M292:R292"/>
    <mergeCell ref="T292:V292"/>
    <mergeCell ref="I294:K294"/>
    <mergeCell ref="U294:W294"/>
    <mergeCell ref="A290:F290"/>
    <mergeCell ref="H290:J290"/>
    <mergeCell ref="M290:R290"/>
    <mergeCell ref="T290:V290"/>
    <mergeCell ref="A291:F291"/>
    <mergeCell ref="H291:J291"/>
    <mergeCell ref="M291:R291"/>
    <mergeCell ref="T291:V291"/>
    <mergeCell ref="A288:F288"/>
    <mergeCell ref="H288:J288"/>
    <mergeCell ref="M288:R288"/>
    <mergeCell ref="T288:V288"/>
    <mergeCell ref="A289:F289"/>
    <mergeCell ref="H289:J289"/>
    <mergeCell ref="M289:R289"/>
    <mergeCell ref="T289:V289"/>
    <mergeCell ref="A286:F286"/>
    <mergeCell ref="M286:R286"/>
    <mergeCell ref="A287:F287"/>
    <mergeCell ref="H287:J287"/>
    <mergeCell ref="M287:R287"/>
    <mergeCell ref="T287:V287"/>
    <mergeCell ref="I283:J283"/>
    <mergeCell ref="U283:V283"/>
    <mergeCell ref="A284:F284"/>
    <mergeCell ref="H284:J284"/>
    <mergeCell ref="M284:R284"/>
    <mergeCell ref="T284:V284"/>
    <mergeCell ref="E281:G281"/>
    <mergeCell ref="I281:J281"/>
    <mergeCell ref="U281:V281"/>
    <mergeCell ref="A282:B282"/>
    <mergeCell ref="I282:J282"/>
    <mergeCell ref="M282:N282"/>
    <mergeCell ref="U282:V282"/>
    <mergeCell ref="E279:G279"/>
    <mergeCell ref="I279:J279"/>
    <mergeCell ref="Q279:S279"/>
    <mergeCell ref="U279:V279"/>
    <mergeCell ref="I280:J280"/>
    <mergeCell ref="U280:V280"/>
    <mergeCell ref="E277:G277"/>
    <mergeCell ref="I277:J277"/>
    <mergeCell ref="Q277:S277"/>
    <mergeCell ref="U277:V277"/>
    <mergeCell ref="E278:G278"/>
    <mergeCell ref="I278:J278"/>
    <mergeCell ref="Q278:S278"/>
    <mergeCell ref="U278:V278"/>
    <mergeCell ref="Q280:S280"/>
    <mergeCell ref="M281:N281"/>
    <mergeCell ref="E275:G275"/>
    <mergeCell ref="I275:J275"/>
    <mergeCell ref="Q275:S275"/>
    <mergeCell ref="U275:V275"/>
    <mergeCell ref="A276:B276"/>
    <mergeCell ref="E276:G276"/>
    <mergeCell ref="I276:J276"/>
    <mergeCell ref="M276:N276"/>
    <mergeCell ref="Q276:S276"/>
    <mergeCell ref="U276:V276"/>
    <mergeCell ref="E273:G273"/>
    <mergeCell ref="I273:J273"/>
    <mergeCell ref="Q273:S273"/>
    <mergeCell ref="U273:V273"/>
    <mergeCell ref="E274:G274"/>
    <mergeCell ref="I274:J274"/>
    <mergeCell ref="Q274:S274"/>
    <mergeCell ref="U274:V274"/>
    <mergeCell ref="E271:G271"/>
    <mergeCell ref="I271:J271"/>
    <mergeCell ref="Q271:S271"/>
    <mergeCell ref="U271:V271"/>
    <mergeCell ref="E272:G272"/>
    <mergeCell ref="I272:J272"/>
    <mergeCell ref="Q272:S272"/>
    <mergeCell ref="U272:V272"/>
    <mergeCell ref="A267:K267"/>
    <mergeCell ref="M267:W267"/>
    <mergeCell ref="A268:D268"/>
    <mergeCell ref="F268:I268"/>
    <mergeCell ref="M268:P268"/>
    <mergeCell ref="R268:U268"/>
    <mergeCell ref="A265:D265"/>
    <mergeCell ref="F265:K265"/>
    <mergeCell ref="M265:P265"/>
    <mergeCell ref="R265:W265"/>
    <mergeCell ref="A266:D266"/>
    <mergeCell ref="F266:K266"/>
    <mergeCell ref="M266:P266"/>
    <mergeCell ref="R266:W266"/>
    <mergeCell ref="A263:K263"/>
    <mergeCell ref="M263:W263"/>
    <mergeCell ref="A264:D264"/>
    <mergeCell ref="F264:K264"/>
    <mergeCell ref="M264:P264"/>
    <mergeCell ref="R264:W264"/>
    <mergeCell ref="B258:E258"/>
    <mergeCell ref="N258:Q258"/>
    <mergeCell ref="I259:K259"/>
    <mergeCell ref="U259:W259"/>
    <mergeCell ref="A261:K261"/>
    <mergeCell ref="M261:W261"/>
    <mergeCell ref="A255:F255"/>
    <mergeCell ref="H255:J255"/>
    <mergeCell ref="M255:R255"/>
    <mergeCell ref="T255:V255"/>
    <mergeCell ref="I257:K257"/>
    <mergeCell ref="U257:W257"/>
    <mergeCell ref="A253:F253"/>
    <mergeCell ref="H253:J253"/>
    <mergeCell ref="M253:R253"/>
    <mergeCell ref="T253:V253"/>
    <mergeCell ref="A254:F254"/>
    <mergeCell ref="H254:J254"/>
    <mergeCell ref="M254:R254"/>
    <mergeCell ref="T254:V254"/>
    <mergeCell ref="A251:F251"/>
    <mergeCell ref="H251:J251"/>
    <mergeCell ref="M251:R251"/>
    <mergeCell ref="T251:V251"/>
    <mergeCell ref="A252:F252"/>
    <mergeCell ref="H252:J252"/>
    <mergeCell ref="M252:R252"/>
    <mergeCell ref="T252:V252"/>
    <mergeCell ref="A249:F249"/>
    <mergeCell ref="M249:R249"/>
    <mergeCell ref="A250:F250"/>
    <mergeCell ref="H250:J250"/>
    <mergeCell ref="M250:R250"/>
    <mergeCell ref="T250:V250"/>
    <mergeCell ref="I246:J246"/>
    <mergeCell ref="U246:V246"/>
    <mergeCell ref="A247:F247"/>
    <mergeCell ref="H247:J247"/>
    <mergeCell ref="M247:R247"/>
    <mergeCell ref="T247:V247"/>
    <mergeCell ref="E244:G244"/>
    <mergeCell ref="I244:J244"/>
    <mergeCell ref="Q244:S244"/>
    <mergeCell ref="U244:V244"/>
    <mergeCell ref="A245:B245"/>
    <mergeCell ref="I245:J245"/>
    <mergeCell ref="M245:N245"/>
    <mergeCell ref="U245:V245"/>
    <mergeCell ref="E242:G242"/>
    <mergeCell ref="I242:J242"/>
    <mergeCell ref="Q242:S242"/>
    <mergeCell ref="U242:V242"/>
    <mergeCell ref="I243:J243"/>
    <mergeCell ref="U243:V243"/>
    <mergeCell ref="E240:G240"/>
    <mergeCell ref="I240:J240"/>
    <mergeCell ref="Q240:S240"/>
    <mergeCell ref="U240:V240"/>
    <mergeCell ref="E241:G241"/>
    <mergeCell ref="I241:J241"/>
    <mergeCell ref="Q241:S241"/>
    <mergeCell ref="U241:V241"/>
    <mergeCell ref="E238:G238"/>
    <mergeCell ref="I238:J238"/>
    <mergeCell ref="Q238:S238"/>
    <mergeCell ref="U238:V238"/>
    <mergeCell ref="A239:B239"/>
    <mergeCell ref="E239:G239"/>
    <mergeCell ref="I239:J239"/>
    <mergeCell ref="M239:N239"/>
    <mergeCell ref="Q239:S239"/>
    <mergeCell ref="U239:V239"/>
    <mergeCell ref="E236:G236"/>
    <mergeCell ref="I236:J236"/>
    <mergeCell ref="Q236:S236"/>
    <mergeCell ref="U236:V236"/>
    <mergeCell ref="E237:G237"/>
    <mergeCell ref="I237:J237"/>
    <mergeCell ref="Q237:S237"/>
    <mergeCell ref="U237:V237"/>
    <mergeCell ref="E234:G234"/>
    <mergeCell ref="I234:J234"/>
    <mergeCell ref="Q234:S234"/>
    <mergeCell ref="U234:V234"/>
    <mergeCell ref="E235:G235"/>
    <mergeCell ref="I235:J235"/>
    <mergeCell ref="Q235:S235"/>
    <mergeCell ref="U235:V235"/>
    <mergeCell ref="A230:K230"/>
    <mergeCell ref="M230:W230"/>
    <mergeCell ref="A231:D231"/>
    <mergeCell ref="F231:I231"/>
    <mergeCell ref="M231:P231"/>
    <mergeCell ref="R231:U231"/>
    <mergeCell ref="A228:D228"/>
    <mergeCell ref="F228:K228"/>
    <mergeCell ref="M228:P228"/>
    <mergeCell ref="R228:W228"/>
    <mergeCell ref="A229:D229"/>
    <mergeCell ref="F229:K229"/>
    <mergeCell ref="M229:P229"/>
    <mergeCell ref="R229:W229"/>
    <mergeCell ref="A226:K226"/>
    <mergeCell ref="M226:W226"/>
    <mergeCell ref="A227:D227"/>
    <mergeCell ref="F227:K227"/>
    <mergeCell ref="M227:P227"/>
    <mergeCell ref="R227:W227"/>
    <mergeCell ref="B221:E221"/>
    <mergeCell ref="N221:Q221"/>
    <mergeCell ref="I222:K222"/>
    <mergeCell ref="U222:W222"/>
    <mergeCell ref="A224:K224"/>
    <mergeCell ref="M224:W224"/>
    <mergeCell ref="A218:F218"/>
    <mergeCell ref="H218:J218"/>
    <mergeCell ref="M218:R218"/>
    <mergeCell ref="T218:V218"/>
    <mergeCell ref="I220:K220"/>
    <mergeCell ref="U220:W220"/>
    <mergeCell ref="A216:F216"/>
    <mergeCell ref="H216:J216"/>
    <mergeCell ref="M216:R216"/>
    <mergeCell ref="T216:V216"/>
    <mergeCell ref="A217:F217"/>
    <mergeCell ref="H217:J217"/>
    <mergeCell ref="M217:R217"/>
    <mergeCell ref="T217:V217"/>
    <mergeCell ref="A214:F214"/>
    <mergeCell ref="H214:J214"/>
    <mergeCell ref="M214:R214"/>
    <mergeCell ref="T214:V214"/>
    <mergeCell ref="A215:F215"/>
    <mergeCell ref="H215:J215"/>
    <mergeCell ref="M215:R215"/>
    <mergeCell ref="T215:V215"/>
    <mergeCell ref="A212:F212"/>
    <mergeCell ref="M212:R212"/>
    <mergeCell ref="A213:F213"/>
    <mergeCell ref="H213:J213"/>
    <mergeCell ref="M213:R213"/>
    <mergeCell ref="T213:V213"/>
    <mergeCell ref="I209:J209"/>
    <mergeCell ref="U209:V209"/>
    <mergeCell ref="A210:F210"/>
    <mergeCell ref="H210:J210"/>
    <mergeCell ref="M210:R210"/>
    <mergeCell ref="T210:V210"/>
    <mergeCell ref="E207:G207"/>
    <mergeCell ref="I207:J207"/>
    <mergeCell ref="Q207:S207"/>
    <mergeCell ref="U207:V207"/>
    <mergeCell ref="A208:B208"/>
    <mergeCell ref="I208:J208"/>
    <mergeCell ref="M208:N208"/>
    <mergeCell ref="U208:V208"/>
    <mergeCell ref="E205:G205"/>
    <mergeCell ref="I205:J205"/>
    <mergeCell ref="Q205:S205"/>
    <mergeCell ref="U205:V205"/>
    <mergeCell ref="I206:J206"/>
    <mergeCell ref="U206:V206"/>
    <mergeCell ref="E203:G203"/>
    <mergeCell ref="I203:J203"/>
    <mergeCell ref="Q203:S203"/>
    <mergeCell ref="U203:V203"/>
    <mergeCell ref="E204:G204"/>
    <mergeCell ref="I204:J204"/>
    <mergeCell ref="Q204:S204"/>
    <mergeCell ref="U204:V204"/>
    <mergeCell ref="E201:G201"/>
    <mergeCell ref="I201:J201"/>
    <mergeCell ref="Q201:S201"/>
    <mergeCell ref="U201:V201"/>
    <mergeCell ref="A202:B202"/>
    <mergeCell ref="E202:G202"/>
    <mergeCell ref="I202:J202"/>
    <mergeCell ref="M202:N202"/>
    <mergeCell ref="Q202:S202"/>
    <mergeCell ref="U202:V202"/>
    <mergeCell ref="E199:G199"/>
    <mergeCell ref="I199:J199"/>
    <mergeCell ref="Q199:S199"/>
    <mergeCell ref="U199:V199"/>
    <mergeCell ref="E200:G200"/>
    <mergeCell ref="I200:J200"/>
    <mergeCell ref="Q200:S200"/>
    <mergeCell ref="U200:V200"/>
    <mergeCell ref="E197:G197"/>
    <mergeCell ref="I197:J197"/>
    <mergeCell ref="Q197:S197"/>
    <mergeCell ref="U197:V197"/>
    <mergeCell ref="E198:G198"/>
    <mergeCell ref="I198:J198"/>
    <mergeCell ref="Q198:S198"/>
    <mergeCell ref="U198:V198"/>
    <mergeCell ref="A193:K193"/>
    <mergeCell ref="M193:W193"/>
    <mergeCell ref="A194:D194"/>
    <mergeCell ref="F194:I194"/>
    <mergeCell ref="M194:P194"/>
    <mergeCell ref="R194:U194"/>
    <mergeCell ref="A191:D191"/>
    <mergeCell ref="F191:K191"/>
    <mergeCell ref="M191:P191"/>
    <mergeCell ref="R191:W191"/>
    <mergeCell ref="A192:D192"/>
    <mergeCell ref="F192:K192"/>
    <mergeCell ref="M192:P192"/>
    <mergeCell ref="R192:W192"/>
    <mergeCell ref="A189:K189"/>
    <mergeCell ref="M189:W189"/>
    <mergeCell ref="A190:D190"/>
    <mergeCell ref="F190:K190"/>
    <mergeCell ref="M190:P190"/>
    <mergeCell ref="R190:W190"/>
    <mergeCell ref="B184:E184"/>
    <mergeCell ref="N184:Q184"/>
    <mergeCell ref="I185:K185"/>
    <mergeCell ref="U185:W185"/>
    <mergeCell ref="A187:K187"/>
    <mergeCell ref="M187:W187"/>
    <mergeCell ref="A181:F181"/>
    <mergeCell ref="H181:J181"/>
    <mergeCell ref="M181:R181"/>
    <mergeCell ref="T181:V181"/>
    <mergeCell ref="I183:K183"/>
    <mergeCell ref="U183:W183"/>
    <mergeCell ref="A179:F179"/>
    <mergeCell ref="H179:J179"/>
    <mergeCell ref="M179:R179"/>
    <mergeCell ref="T179:V179"/>
    <mergeCell ref="A180:F180"/>
    <mergeCell ref="H180:J180"/>
    <mergeCell ref="M180:R180"/>
    <mergeCell ref="T180:V180"/>
    <mergeCell ref="A177:F177"/>
    <mergeCell ref="H177:J177"/>
    <mergeCell ref="M177:R177"/>
    <mergeCell ref="T177:V177"/>
    <mergeCell ref="A178:F178"/>
    <mergeCell ref="H178:J178"/>
    <mergeCell ref="M178:R178"/>
    <mergeCell ref="T178:V178"/>
    <mergeCell ref="A175:F175"/>
    <mergeCell ref="M175:R175"/>
    <mergeCell ref="A176:F176"/>
    <mergeCell ref="H176:J176"/>
    <mergeCell ref="M176:R176"/>
    <mergeCell ref="T176:V176"/>
    <mergeCell ref="I172:J172"/>
    <mergeCell ref="U172:V172"/>
    <mergeCell ref="A173:F173"/>
    <mergeCell ref="H173:J173"/>
    <mergeCell ref="M173:R173"/>
    <mergeCell ref="T173:V173"/>
    <mergeCell ref="E170:G170"/>
    <mergeCell ref="I170:J170"/>
    <mergeCell ref="Q170:S170"/>
    <mergeCell ref="U170:V170"/>
    <mergeCell ref="A171:B171"/>
    <mergeCell ref="I171:J171"/>
    <mergeCell ref="M171:N171"/>
    <mergeCell ref="U171:V171"/>
    <mergeCell ref="E168:G168"/>
    <mergeCell ref="I168:J168"/>
    <mergeCell ref="Q168:S168"/>
    <mergeCell ref="U168:V168"/>
    <mergeCell ref="I169:J169"/>
    <mergeCell ref="U169:V169"/>
    <mergeCell ref="E166:G166"/>
    <mergeCell ref="I166:J166"/>
    <mergeCell ref="Q166:S166"/>
    <mergeCell ref="U166:V166"/>
    <mergeCell ref="E167:G167"/>
    <mergeCell ref="I167:J167"/>
    <mergeCell ref="Q167:S167"/>
    <mergeCell ref="U167:V167"/>
    <mergeCell ref="E164:G164"/>
    <mergeCell ref="I164:J164"/>
    <mergeCell ref="Q164:S164"/>
    <mergeCell ref="U164:V164"/>
    <mergeCell ref="A165:B165"/>
    <mergeCell ref="E165:G165"/>
    <mergeCell ref="I165:J165"/>
    <mergeCell ref="M165:N165"/>
    <mergeCell ref="Q165:S165"/>
    <mergeCell ref="U165:V165"/>
    <mergeCell ref="E162:G162"/>
    <mergeCell ref="I162:J162"/>
    <mergeCell ref="Q162:S162"/>
    <mergeCell ref="U162:V162"/>
    <mergeCell ref="E163:G163"/>
    <mergeCell ref="I163:J163"/>
    <mergeCell ref="Q163:S163"/>
    <mergeCell ref="U163:V163"/>
    <mergeCell ref="E160:G160"/>
    <mergeCell ref="I160:J160"/>
    <mergeCell ref="Q160:S160"/>
    <mergeCell ref="U160:V160"/>
    <mergeCell ref="E161:G161"/>
    <mergeCell ref="I161:J161"/>
    <mergeCell ref="Q161:S161"/>
    <mergeCell ref="U161:V161"/>
    <mergeCell ref="A156:K156"/>
    <mergeCell ref="M156:W156"/>
    <mergeCell ref="A157:D157"/>
    <mergeCell ref="F157:I157"/>
    <mergeCell ref="M157:P157"/>
    <mergeCell ref="R157:U157"/>
    <mergeCell ref="A154:D154"/>
    <mergeCell ref="F154:K154"/>
    <mergeCell ref="M154:P154"/>
    <mergeCell ref="R154:W154"/>
    <mergeCell ref="A155:D155"/>
    <mergeCell ref="F155:K155"/>
    <mergeCell ref="M155:P155"/>
    <mergeCell ref="R155:W155"/>
    <mergeCell ref="A152:K152"/>
    <mergeCell ref="M152:W152"/>
    <mergeCell ref="A153:D153"/>
    <mergeCell ref="F153:K153"/>
    <mergeCell ref="M153:P153"/>
    <mergeCell ref="R153:W153"/>
    <mergeCell ref="B147:E147"/>
    <mergeCell ref="N147:Q147"/>
    <mergeCell ref="I148:K148"/>
    <mergeCell ref="U148:W148"/>
    <mergeCell ref="A150:K150"/>
    <mergeCell ref="M150:W150"/>
    <mergeCell ref="A144:F144"/>
    <mergeCell ref="H144:J144"/>
    <mergeCell ref="M144:R144"/>
    <mergeCell ref="T144:V144"/>
    <mergeCell ref="I146:K146"/>
    <mergeCell ref="U146:W146"/>
    <mergeCell ref="A142:F142"/>
    <mergeCell ref="H142:J142"/>
    <mergeCell ref="M142:R142"/>
    <mergeCell ref="T142:V142"/>
    <mergeCell ref="A143:F143"/>
    <mergeCell ref="H143:J143"/>
    <mergeCell ref="M143:R143"/>
    <mergeCell ref="T143:V143"/>
    <mergeCell ref="A140:F140"/>
    <mergeCell ref="H140:J140"/>
    <mergeCell ref="M140:R140"/>
    <mergeCell ref="T140:V140"/>
    <mergeCell ref="A141:F141"/>
    <mergeCell ref="H141:J141"/>
    <mergeCell ref="M141:R141"/>
    <mergeCell ref="T141:V141"/>
    <mergeCell ref="A138:F138"/>
    <mergeCell ref="M138:R138"/>
    <mergeCell ref="A139:F139"/>
    <mergeCell ref="H139:J139"/>
    <mergeCell ref="M139:R139"/>
    <mergeCell ref="T139:V139"/>
    <mergeCell ref="I135:J135"/>
    <mergeCell ref="U135:V135"/>
    <mergeCell ref="A136:F136"/>
    <mergeCell ref="H136:J136"/>
    <mergeCell ref="M136:R136"/>
    <mergeCell ref="T136:V136"/>
    <mergeCell ref="E133:G133"/>
    <mergeCell ref="I133:J133"/>
    <mergeCell ref="Q133:S133"/>
    <mergeCell ref="U133:V133"/>
    <mergeCell ref="A134:B134"/>
    <mergeCell ref="I134:J134"/>
    <mergeCell ref="M134:N134"/>
    <mergeCell ref="U134:V134"/>
    <mergeCell ref="E131:G131"/>
    <mergeCell ref="I131:J131"/>
    <mergeCell ref="Q131:S131"/>
    <mergeCell ref="U131:V131"/>
    <mergeCell ref="I132:J132"/>
    <mergeCell ref="U132:V132"/>
    <mergeCell ref="E129:G129"/>
    <mergeCell ref="I129:J129"/>
    <mergeCell ref="Q129:S129"/>
    <mergeCell ref="U129:V129"/>
    <mergeCell ref="E130:G130"/>
    <mergeCell ref="I130:J130"/>
    <mergeCell ref="Q130:S130"/>
    <mergeCell ref="U130:V130"/>
    <mergeCell ref="E127:G127"/>
    <mergeCell ref="I127:J127"/>
    <mergeCell ref="Q127:S127"/>
    <mergeCell ref="U127:V127"/>
    <mergeCell ref="A128:B128"/>
    <mergeCell ref="E128:G128"/>
    <mergeCell ref="I128:J128"/>
    <mergeCell ref="M128:N128"/>
    <mergeCell ref="Q128:S128"/>
    <mergeCell ref="U128:V128"/>
    <mergeCell ref="E125:G125"/>
    <mergeCell ref="I125:J125"/>
    <mergeCell ref="Q125:S125"/>
    <mergeCell ref="U125:V125"/>
    <mergeCell ref="E126:G126"/>
    <mergeCell ref="I126:J126"/>
    <mergeCell ref="Q126:S126"/>
    <mergeCell ref="U126:V126"/>
    <mergeCell ref="E123:G123"/>
    <mergeCell ref="I123:J123"/>
    <mergeCell ref="Q123:S123"/>
    <mergeCell ref="U123:V123"/>
    <mergeCell ref="E124:G124"/>
    <mergeCell ref="I124:J124"/>
    <mergeCell ref="Q124:S124"/>
    <mergeCell ref="U124:V124"/>
    <mergeCell ref="A119:K119"/>
    <mergeCell ref="M119:W119"/>
    <mergeCell ref="A120:D120"/>
    <mergeCell ref="F120:I120"/>
    <mergeCell ref="M120:P120"/>
    <mergeCell ref="R120:U120"/>
    <mergeCell ref="A117:D117"/>
    <mergeCell ref="F117:K117"/>
    <mergeCell ref="M117:P117"/>
    <mergeCell ref="R117:W117"/>
    <mergeCell ref="A118:D118"/>
    <mergeCell ref="F118:K118"/>
    <mergeCell ref="M118:P118"/>
    <mergeCell ref="R118:W118"/>
    <mergeCell ref="A115:K115"/>
    <mergeCell ref="M115:W115"/>
    <mergeCell ref="A116:D116"/>
    <mergeCell ref="F116:K116"/>
    <mergeCell ref="M116:P116"/>
    <mergeCell ref="R116:W116"/>
    <mergeCell ref="B110:E110"/>
    <mergeCell ref="N110:Q110"/>
    <mergeCell ref="I111:K111"/>
    <mergeCell ref="U111:W111"/>
    <mergeCell ref="A113:K113"/>
    <mergeCell ref="M113:W113"/>
    <mergeCell ref="A107:F107"/>
    <mergeCell ref="H107:J107"/>
    <mergeCell ref="M107:R107"/>
    <mergeCell ref="T107:V107"/>
    <mergeCell ref="I109:K109"/>
    <mergeCell ref="U109:W109"/>
    <mergeCell ref="A105:F105"/>
    <mergeCell ref="H105:J105"/>
    <mergeCell ref="M105:R105"/>
    <mergeCell ref="T105:V105"/>
    <mergeCell ref="A106:F106"/>
    <mergeCell ref="H106:J106"/>
    <mergeCell ref="M106:R106"/>
    <mergeCell ref="T106:V106"/>
    <mergeCell ref="A103:F103"/>
    <mergeCell ref="H103:J103"/>
    <mergeCell ref="M103:R103"/>
    <mergeCell ref="T103:V103"/>
    <mergeCell ref="A104:F104"/>
    <mergeCell ref="H104:J104"/>
    <mergeCell ref="M104:R104"/>
    <mergeCell ref="T104:V104"/>
    <mergeCell ref="A101:F101"/>
    <mergeCell ref="M101:R101"/>
    <mergeCell ref="A102:F102"/>
    <mergeCell ref="H102:J102"/>
    <mergeCell ref="M102:R102"/>
    <mergeCell ref="T102:V102"/>
    <mergeCell ref="I98:J98"/>
    <mergeCell ref="U98:V98"/>
    <mergeCell ref="A99:F99"/>
    <mergeCell ref="H99:J99"/>
    <mergeCell ref="M99:R99"/>
    <mergeCell ref="T99:V99"/>
    <mergeCell ref="E96:G96"/>
    <mergeCell ref="I96:J96"/>
    <mergeCell ref="Q96:S96"/>
    <mergeCell ref="U96:V96"/>
    <mergeCell ref="A97:B97"/>
    <mergeCell ref="I97:J97"/>
    <mergeCell ref="M97:N97"/>
    <mergeCell ref="U97:V97"/>
    <mergeCell ref="E94:G94"/>
    <mergeCell ref="I94:J94"/>
    <mergeCell ref="Q94:S94"/>
    <mergeCell ref="U94:V94"/>
    <mergeCell ref="I95:J95"/>
    <mergeCell ref="U95:V95"/>
    <mergeCell ref="E92:G92"/>
    <mergeCell ref="I92:J92"/>
    <mergeCell ref="Q92:S92"/>
    <mergeCell ref="U92:V92"/>
    <mergeCell ref="E93:G93"/>
    <mergeCell ref="I93:J93"/>
    <mergeCell ref="Q93:S93"/>
    <mergeCell ref="U93:V93"/>
    <mergeCell ref="E90:G90"/>
    <mergeCell ref="I90:J90"/>
    <mergeCell ref="Q90:S90"/>
    <mergeCell ref="U90:V90"/>
    <mergeCell ref="A91:B91"/>
    <mergeCell ref="E91:G91"/>
    <mergeCell ref="I91:J91"/>
    <mergeCell ref="M91:N91"/>
    <mergeCell ref="Q91:S91"/>
    <mergeCell ref="U91:V91"/>
    <mergeCell ref="E88:G88"/>
    <mergeCell ref="I88:J88"/>
    <mergeCell ref="Q88:S88"/>
    <mergeCell ref="U88:V88"/>
    <mergeCell ref="E89:G89"/>
    <mergeCell ref="I89:J89"/>
    <mergeCell ref="Q89:S89"/>
    <mergeCell ref="U89:V89"/>
    <mergeCell ref="E86:G86"/>
    <mergeCell ref="I86:J86"/>
    <mergeCell ref="Q86:S86"/>
    <mergeCell ref="U86:V86"/>
    <mergeCell ref="E87:G87"/>
    <mergeCell ref="I87:J87"/>
    <mergeCell ref="Q87:S87"/>
    <mergeCell ref="U87:V87"/>
    <mergeCell ref="A82:K82"/>
    <mergeCell ref="M82:W82"/>
    <mergeCell ref="A83:D83"/>
    <mergeCell ref="F83:I83"/>
    <mergeCell ref="M83:P83"/>
    <mergeCell ref="R83:U83"/>
    <mergeCell ref="A80:D80"/>
    <mergeCell ref="F80:K80"/>
    <mergeCell ref="M80:P80"/>
    <mergeCell ref="R80:W80"/>
    <mergeCell ref="A81:D81"/>
    <mergeCell ref="F81:K81"/>
    <mergeCell ref="M81:P81"/>
    <mergeCell ref="R81:W81"/>
    <mergeCell ref="A78:K78"/>
    <mergeCell ref="M78:W78"/>
    <mergeCell ref="A79:D79"/>
    <mergeCell ref="F79:K79"/>
    <mergeCell ref="M79:P79"/>
    <mergeCell ref="R79:W79"/>
    <mergeCell ref="B73:E73"/>
    <mergeCell ref="N73:Q73"/>
    <mergeCell ref="I74:K74"/>
    <mergeCell ref="U74:W74"/>
    <mergeCell ref="A76:K76"/>
    <mergeCell ref="M76:W76"/>
    <mergeCell ref="A70:F70"/>
    <mergeCell ref="H70:J70"/>
    <mergeCell ref="M70:R70"/>
    <mergeCell ref="T70:V70"/>
    <mergeCell ref="I72:K72"/>
    <mergeCell ref="U72:W72"/>
    <mergeCell ref="A68:F68"/>
    <mergeCell ref="H68:J68"/>
    <mergeCell ref="M68:R68"/>
    <mergeCell ref="T68:V68"/>
    <mergeCell ref="A69:F69"/>
    <mergeCell ref="H69:J69"/>
    <mergeCell ref="M69:R69"/>
    <mergeCell ref="T69:V69"/>
    <mergeCell ref="A66:F66"/>
    <mergeCell ref="H66:J66"/>
    <mergeCell ref="M66:R66"/>
    <mergeCell ref="T66:V66"/>
    <mergeCell ref="A67:F67"/>
    <mergeCell ref="H67:J67"/>
    <mergeCell ref="M67:R67"/>
    <mergeCell ref="T67:V67"/>
    <mergeCell ref="A64:F64"/>
    <mergeCell ref="M64:R64"/>
    <mergeCell ref="A65:F65"/>
    <mergeCell ref="H65:J65"/>
    <mergeCell ref="M65:R65"/>
    <mergeCell ref="T65:V65"/>
    <mergeCell ref="I61:J61"/>
    <mergeCell ref="U61:V61"/>
    <mergeCell ref="A62:F62"/>
    <mergeCell ref="H62:J62"/>
    <mergeCell ref="M62:R62"/>
    <mergeCell ref="T62:V62"/>
    <mergeCell ref="E59:G59"/>
    <mergeCell ref="I59:J59"/>
    <mergeCell ref="Q59:S59"/>
    <mergeCell ref="U59:V59"/>
    <mergeCell ref="A60:B60"/>
    <mergeCell ref="I60:J60"/>
    <mergeCell ref="M60:N60"/>
    <mergeCell ref="U60:V60"/>
    <mergeCell ref="E57:G57"/>
    <mergeCell ref="I57:J57"/>
    <mergeCell ref="Q57:S57"/>
    <mergeCell ref="U57:V57"/>
    <mergeCell ref="I58:J58"/>
    <mergeCell ref="U58:V58"/>
    <mergeCell ref="E55:G55"/>
    <mergeCell ref="I55:J55"/>
    <mergeCell ref="Q55:S55"/>
    <mergeCell ref="U55:V55"/>
    <mergeCell ref="E56:G56"/>
    <mergeCell ref="I56:J56"/>
    <mergeCell ref="Q56:S56"/>
    <mergeCell ref="U56:V56"/>
    <mergeCell ref="E53:G53"/>
    <mergeCell ref="I53:J53"/>
    <mergeCell ref="Q53:S53"/>
    <mergeCell ref="U53:V53"/>
    <mergeCell ref="A54:B54"/>
    <mergeCell ref="E54:G54"/>
    <mergeCell ref="I54:J54"/>
    <mergeCell ref="M54:N54"/>
    <mergeCell ref="Q54:S54"/>
    <mergeCell ref="U54:V54"/>
    <mergeCell ref="E51:G51"/>
    <mergeCell ref="I51:J51"/>
    <mergeCell ref="Q51:S51"/>
    <mergeCell ref="U51:V51"/>
    <mergeCell ref="E52:G52"/>
    <mergeCell ref="I52:J52"/>
    <mergeCell ref="Q52:S52"/>
    <mergeCell ref="U52:V52"/>
    <mergeCell ref="E49:G49"/>
    <mergeCell ref="I49:J49"/>
    <mergeCell ref="Q49:S49"/>
    <mergeCell ref="U49:V49"/>
    <mergeCell ref="E50:G50"/>
    <mergeCell ref="I50:J50"/>
    <mergeCell ref="Q50:S50"/>
    <mergeCell ref="U50:V50"/>
    <mergeCell ref="A45:K45"/>
    <mergeCell ref="M45:W45"/>
    <mergeCell ref="A46:D46"/>
    <mergeCell ref="F46:I46"/>
    <mergeCell ref="M46:P46"/>
    <mergeCell ref="R46:U46"/>
    <mergeCell ref="A43:D43"/>
    <mergeCell ref="F43:K43"/>
    <mergeCell ref="M43:P43"/>
    <mergeCell ref="R43:W43"/>
    <mergeCell ref="A44:D44"/>
    <mergeCell ref="F44:K44"/>
    <mergeCell ref="M44:P44"/>
    <mergeCell ref="R44:W44"/>
    <mergeCell ref="A41:K41"/>
    <mergeCell ref="M41:W41"/>
    <mergeCell ref="A42:D42"/>
    <mergeCell ref="F42:K42"/>
    <mergeCell ref="M42:P42"/>
    <mergeCell ref="R42:W42"/>
    <mergeCell ref="B35:E35"/>
    <mergeCell ref="N35:Q35"/>
    <mergeCell ref="I36:K36"/>
    <mergeCell ref="U36:W36"/>
    <mergeCell ref="A39:K39"/>
    <mergeCell ref="M39:W39"/>
    <mergeCell ref="A32:F32"/>
    <mergeCell ref="H32:J32"/>
    <mergeCell ref="M32:R32"/>
    <mergeCell ref="T32:V32"/>
    <mergeCell ref="I34:K34"/>
    <mergeCell ref="U34:W34"/>
    <mergeCell ref="A30:F30"/>
    <mergeCell ref="H30:J30"/>
    <mergeCell ref="M30:R30"/>
    <mergeCell ref="T30:V30"/>
    <mergeCell ref="A31:F31"/>
    <mergeCell ref="H31:J31"/>
    <mergeCell ref="M31:R31"/>
    <mergeCell ref="T31:V31"/>
    <mergeCell ref="A28:F28"/>
    <mergeCell ref="H28:J28"/>
    <mergeCell ref="M28:R28"/>
    <mergeCell ref="T28:V28"/>
    <mergeCell ref="A29:F29"/>
    <mergeCell ref="H29:J29"/>
    <mergeCell ref="M29:R29"/>
    <mergeCell ref="T29:V29"/>
    <mergeCell ref="A26:F26"/>
    <mergeCell ref="M26:R26"/>
    <mergeCell ref="A27:F27"/>
    <mergeCell ref="H27:J27"/>
    <mergeCell ref="M27:R27"/>
    <mergeCell ref="T27:V27"/>
    <mergeCell ref="I23:J23"/>
    <mergeCell ref="U23:V23"/>
    <mergeCell ref="A24:F24"/>
    <mergeCell ref="H24:J24"/>
    <mergeCell ref="M24:R24"/>
    <mergeCell ref="T24:V24"/>
    <mergeCell ref="E21:G21"/>
    <mergeCell ref="I21:J21"/>
    <mergeCell ref="Q21:S21"/>
    <mergeCell ref="U21:V21"/>
    <mergeCell ref="A22:B22"/>
    <mergeCell ref="I22:J22"/>
    <mergeCell ref="M22:N22"/>
    <mergeCell ref="U22:V22"/>
    <mergeCell ref="E19:G19"/>
    <mergeCell ref="I19:J19"/>
    <mergeCell ref="Q19:S19"/>
    <mergeCell ref="U19:V19"/>
    <mergeCell ref="I20:J20"/>
    <mergeCell ref="U20:V20"/>
    <mergeCell ref="E17:G17"/>
    <mergeCell ref="I17:J17"/>
    <mergeCell ref="Q17:S17"/>
    <mergeCell ref="U17:V17"/>
    <mergeCell ref="E18:G18"/>
    <mergeCell ref="I18:J18"/>
    <mergeCell ref="Q18:S18"/>
    <mergeCell ref="U18:V18"/>
    <mergeCell ref="E15:G15"/>
    <mergeCell ref="I15:J15"/>
    <mergeCell ref="Q15:S15"/>
    <mergeCell ref="U15:V15"/>
    <mergeCell ref="A16:B16"/>
    <mergeCell ref="E16:G16"/>
    <mergeCell ref="I16:J16"/>
    <mergeCell ref="M16:N16"/>
    <mergeCell ref="Q16:S16"/>
    <mergeCell ref="U16:V16"/>
    <mergeCell ref="E14:G14"/>
    <mergeCell ref="I14:J14"/>
    <mergeCell ref="Q14:S14"/>
    <mergeCell ref="U14:V14"/>
    <mergeCell ref="E11:G11"/>
    <mergeCell ref="I11:J11"/>
    <mergeCell ref="Q11:S11"/>
    <mergeCell ref="U11:V11"/>
    <mergeCell ref="E12:G12"/>
    <mergeCell ref="I12:J12"/>
    <mergeCell ref="Q12:S12"/>
    <mergeCell ref="U12:V12"/>
    <mergeCell ref="A7:K7"/>
    <mergeCell ref="M7:W7"/>
    <mergeCell ref="A8:D8"/>
    <mergeCell ref="F8:I8"/>
    <mergeCell ref="M8:P8"/>
    <mergeCell ref="R8:U8"/>
    <mergeCell ref="A5:D5"/>
    <mergeCell ref="F5:K5"/>
    <mergeCell ref="M5:P5"/>
    <mergeCell ref="R5:W5"/>
    <mergeCell ref="A6:D6"/>
    <mergeCell ref="F6:K6"/>
    <mergeCell ref="M6:P6"/>
    <mergeCell ref="R6:W6"/>
    <mergeCell ref="A1:K1"/>
    <mergeCell ref="M1:W1"/>
    <mergeCell ref="A3:K3"/>
    <mergeCell ref="M3:W3"/>
    <mergeCell ref="A4:D4"/>
    <mergeCell ref="F4:K4"/>
    <mergeCell ref="M4:P4"/>
    <mergeCell ref="R4:W4"/>
    <mergeCell ref="E13:G13"/>
    <mergeCell ref="I13:J13"/>
    <mergeCell ref="Q13:S13"/>
    <mergeCell ref="U13:V13"/>
  </mergeCells>
  <pageMargins left="0.28000000000000003" right="0.2" top="0.24" bottom="0.75" header="0.3" footer="0.3"/>
  <pageSetup paperSize="9" scale="57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C465"/>
  <sheetViews>
    <sheetView workbookViewId="0">
      <pane xSplit="5" ySplit="7" topLeftCell="F8" activePane="bottomRight" state="frozen"/>
      <selection activeCell="BS59" sqref="BS59"/>
      <selection pane="topRight" activeCell="BS59" sqref="BS59"/>
      <selection pane="bottomLeft" activeCell="BS59" sqref="BS59"/>
      <selection pane="bottomRight" activeCell="FY300" sqref="FY300"/>
    </sheetView>
  </sheetViews>
  <sheetFormatPr defaultColWidth="9" defaultRowHeight="15.75"/>
  <cols>
    <col min="1" max="1" width="5.125" style="108" customWidth="1"/>
    <col min="2" max="2" width="25.625" style="153" customWidth="1"/>
    <col min="3" max="3" width="10.625" style="153" customWidth="1"/>
    <col min="4" max="4" width="8" style="154" customWidth="1"/>
    <col min="5" max="5" width="6.875" style="104" customWidth="1"/>
    <col min="6" max="6" width="5.75" style="13" customWidth="1"/>
    <col min="7" max="68" width="5" style="13" customWidth="1"/>
    <col min="69" max="69" width="5.875" style="151" customWidth="1"/>
    <col min="70" max="71" width="5" style="151" customWidth="1"/>
    <col min="72" max="190" width="5" style="13" customWidth="1"/>
    <col min="191" max="191" width="11.25" style="108" customWidth="1"/>
    <col min="192" max="197" width="6.625" style="108" customWidth="1"/>
    <col min="198" max="16384" width="9" style="108"/>
  </cols>
  <sheetData>
    <row r="1" spans="1:204" ht="15.75" customHeight="1">
      <c r="A1" s="105" t="s">
        <v>0</v>
      </c>
      <c r="B1" s="313">
        <v>6797</v>
      </c>
      <c r="C1" s="482" t="s">
        <v>234</v>
      </c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6"/>
      <c r="BO1" s="486"/>
      <c r="BP1" s="486"/>
      <c r="BQ1" s="486"/>
      <c r="BR1" s="486"/>
      <c r="BS1" s="486"/>
      <c r="BT1" s="486"/>
      <c r="BU1" s="486"/>
      <c r="BV1" s="486"/>
      <c r="BW1" s="486"/>
      <c r="BX1" s="486"/>
      <c r="BY1" s="486"/>
      <c r="BZ1" s="486"/>
      <c r="CA1" s="486"/>
      <c r="CB1" s="486"/>
      <c r="CC1" s="486"/>
      <c r="CD1" s="486"/>
      <c r="CE1" s="486"/>
      <c r="CF1" s="486"/>
      <c r="CG1" s="486"/>
      <c r="CH1" s="486"/>
      <c r="CI1" s="486"/>
      <c r="CJ1" s="486"/>
      <c r="CK1" s="486"/>
      <c r="CL1" s="486"/>
      <c r="CM1" s="486"/>
      <c r="CN1" s="486"/>
      <c r="CO1" s="486"/>
      <c r="CP1" s="486"/>
      <c r="CQ1" s="486"/>
      <c r="CR1" s="486"/>
      <c r="CS1" s="486"/>
      <c r="CT1" s="486"/>
      <c r="CU1" s="486"/>
      <c r="CV1" s="486"/>
      <c r="CW1" s="486"/>
      <c r="CX1" s="486"/>
      <c r="CY1" s="486"/>
      <c r="CZ1" s="486"/>
      <c r="DA1" s="106"/>
      <c r="DB1" s="107"/>
      <c r="DC1" s="107"/>
      <c r="DD1" s="107"/>
      <c r="DE1" s="107"/>
      <c r="DF1" s="107"/>
      <c r="DG1" s="107"/>
      <c r="DH1" s="107"/>
      <c r="DI1" s="107"/>
      <c r="DJ1" s="107"/>
      <c r="DK1" s="107"/>
      <c r="DL1" s="107"/>
      <c r="DM1" s="107"/>
      <c r="DN1" s="107"/>
      <c r="DO1" s="107"/>
      <c r="DP1" s="107"/>
      <c r="DQ1" s="107"/>
      <c r="DR1" s="107"/>
      <c r="DS1" s="107"/>
      <c r="DT1" s="107"/>
      <c r="DU1" s="107"/>
      <c r="DV1" s="107"/>
      <c r="DW1" s="107"/>
      <c r="DX1" s="107"/>
      <c r="DY1" s="107"/>
      <c r="DZ1" s="107"/>
      <c r="EA1" s="107"/>
      <c r="EB1" s="107"/>
      <c r="EC1" s="107"/>
      <c r="ED1" s="107"/>
      <c r="EE1" s="107"/>
      <c r="EF1" s="107"/>
      <c r="EG1" s="107"/>
      <c r="EH1" s="107"/>
      <c r="EI1" s="107"/>
      <c r="EJ1" s="107"/>
      <c r="EK1" s="107"/>
      <c r="EL1" s="107"/>
      <c r="EM1" s="107"/>
      <c r="EN1" s="107"/>
      <c r="EO1" s="107"/>
      <c r="EP1" s="107"/>
      <c r="EQ1" s="107"/>
      <c r="ER1" s="107"/>
      <c r="ES1" s="107"/>
      <c r="ET1" s="107"/>
      <c r="EU1" s="107"/>
      <c r="EV1" s="107"/>
      <c r="EW1" s="107"/>
      <c r="EX1" s="107"/>
      <c r="EY1" s="107"/>
      <c r="EZ1" s="107"/>
      <c r="FA1" s="107"/>
      <c r="FB1" s="107"/>
      <c r="FC1" s="107"/>
      <c r="FD1" s="107"/>
      <c r="FE1" s="107"/>
      <c r="FF1" s="107"/>
      <c r="FG1" s="107"/>
      <c r="FH1" s="107"/>
      <c r="FI1" s="107"/>
      <c r="FJ1" s="107"/>
      <c r="FK1" s="107"/>
      <c r="FL1" s="107"/>
      <c r="FM1" s="107"/>
      <c r="FN1" s="107"/>
      <c r="FO1" s="107"/>
      <c r="FP1" s="107"/>
      <c r="FQ1" s="107"/>
      <c r="FR1" s="107"/>
      <c r="FS1" s="107"/>
      <c r="FT1" s="107"/>
      <c r="FU1" s="107"/>
      <c r="FV1" s="107"/>
      <c r="FW1" s="107"/>
      <c r="FX1" s="107"/>
      <c r="FY1" s="107"/>
      <c r="FZ1" s="107"/>
      <c r="GA1" s="107"/>
      <c r="GB1" s="107"/>
      <c r="GC1" s="107"/>
      <c r="GD1" s="107"/>
      <c r="GE1" s="107"/>
      <c r="GF1" s="107"/>
      <c r="GG1" s="107"/>
      <c r="GH1" s="107"/>
      <c r="GI1" s="487"/>
    </row>
    <row r="2" spans="1:204" ht="16.5" customHeight="1">
      <c r="A2" s="291" t="s">
        <v>1</v>
      </c>
      <c r="B2" s="127">
        <v>1000</v>
      </c>
      <c r="C2" s="484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  <c r="X2" s="485"/>
      <c r="Y2" s="485"/>
      <c r="Z2" s="485"/>
      <c r="AA2" s="485"/>
      <c r="AB2" s="485"/>
      <c r="AC2" s="485"/>
      <c r="AD2" s="485"/>
      <c r="AE2" s="485"/>
      <c r="AF2" s="485"/>
      <c r="AG2" s="485"/>
      <c r="AH2" s="485"/>
      <c r="AI2" s="485"/>
      <c r="AJ2" s="485"/>
      <c r="AK2" s="485"/>
      <c r="AL2" s="485"/>
      <c r="AM2" s="485"/>
      <c r="AN2" s="485"/>
      <c r="AO2" s="485"/>
      <c r="AP2" s="485"/>
      <c r="AQ2" s="485"/>
      <c r="AR2" s="485"/>
      <c r="AS2" s="485"/>
      <c r="AT2" s="485"/>
      <c r="AU2" s="485"/>
      <c r="AV2" s="485"/>
      <c r="AW2" s="485"/>
      <c r="AX2" s="485"/>
      <c r="AY2" s="485"/>
      <c r="AZ2" s="485"/>
      <c r="BA2" s="485"/>
      <c r="BB2" s="485"/>
      <c r="BC2" s="485"/>
      <c r="BD2" s="485"/>
      <c r="BE2" s="485"/>
      <c r="BF2" s="485"/>
      <c r="BG2" s="485"/>
      <c r="BH2" s="485"/>
      <c r="BI2" s="485"/>
      <c r="BJ2" s="485"/>
      <c r="BK2" s="485"/>
      <c r="BL2" s="485"/>
      <c r="BM2" s="485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109"/>
      <c r="DB2" s="109"/>
      <c r="DC2" s="109"/>
      <c r="DD2" s="109"/>
      <c r="DE2" s="109"/>
      <c r="DF2" s="109"/>
      <c r="DG2" s="109"/>
      <c r="DH2" s="109"/>
      <c r="DI2" s="109"/>
      <c r="DJ2" s="109"/>
      <c r="DK2" s="109"/>
      <c r="DL2" s="109"/>
      <c r="DM2" s="109"/>
      <c r="DN2" s="109"/>
      <c r="DO2" s="109"/>
      <c r="DP2" s="109"/>
      <c r="DQ2" s="109"/>
      <c r="DR2" s="109"/>
      <c r="DS2" s="109"/>
      <c r="DT2" s="109"/>
      <c r="DU2" s="109"/>
      <c r="DV2" s="109"/>
      <c r="DW2" s="109"/>
      <c r="DX2" s="109"/>
      <c r="DY2" s="109"/>
      <c r="DZ2" s="109"/>
      <c r="EA2" s="109"/>
      <c r="EB2" s="109"/>
      <c r="EC2" s="109"/>
      <c r="ED2" s="109"/>
      <c r="EE2" s="109"/>
      <c r="EF2" s="109"/>
      <c r="EG2" s="109"/>
      <c r="EH2" s="109"/>
      <c r="EI2" s="109"/>
      <c r="EJ2" s="109"/>
      <c r="EK2" s="109"/>
      <c r="EL2" s="109"/>
      <c r="EM2" s="109"/>
      <c r="EN2" s="109"/>
      <c r="EO2" s="109"/>
      <c r="EP2" s="109"/>
      <c r="EQ2" s="109"/>
      <c r="ER2" s="109"/>
      <c r="ES2" s="109"/>
      <c r="ET2" s="109"/>
      <c r="EU2" s="109"/>
      <c r="EV2" s="109"/>
      <c r="EW2" s="109"/>
      <c r="EX2" s="109"/>
      <c r="EY2" s="109"/>
      <c r="EZ2" s="109"/>
      <c r="FA2" s="109"/>
      <c r="FB2" s="109"/>
      <c r="FC2" s="109"/>
      <c r="FD2" s="109"/>
      <c r="FE2" s="109"/>
      <c r="FF2" s="109"/>
      <c r="FG2" s="109"/>
      <c r="FH2" s="109"/>
      <c r="FI2" s="109"/>
      <c r="FJ2" s="109"/>
      <c r="FK2" s="109"/>
      <c r="FL2" s="109"/>
      <c r="FM2" s="109"/>
      <c r="FN2" s="109"/>
      <c r="FO2" s="109"/>
      <c r="FP2" s="109"/>
      <c r="FQ2" s="109"/>
      <c r="FR2" s="109"/>
      <c r="FS2" s="109"/>
      <c r="FT2" s="109"/>
      <c r="FU2" s="109"/>
      <c r="FV2" s="109"/>
      <c r="FW2" s="109"/>
      <c r="FX2" s="109"/>
      <c r="FY2" s="109"/>
      <c r="FZ2" s="109"/>
      <c r="GA2" s="109"/>
      <c r="GB2" s="109"/>
      <c r="GC2" s="109"/>
      <c r="GD2" s="109"/>
      <c r="GE2" s="109"/>
      <c r="GF2" s="109"/>
      <c r="GG2" s="109"/>
      <c r="GH2" s="109"/>
      <c r="GI2" s="488"/>
      <c r="GJ2" s="108">
        <f>D3*9</f>
        <v>0</v>
      </c>
    </row>
    <row r="3" spans="1:204" s="98" customFormat="1" ht="20.25" customHeight="1">
      <c r="A3" s="479" t="s">
        <v>5</v>
      </c>
      <c r="B3" s="480">
        <f>IFERROR(D6*B2/100,0)</f>
        <v>0</v>
      </c>
      <c r="C3" s="110"/>
      <c r="D3" s="111"/>
      <c r="E3" s="6"/>
      <c r="F3" s="16">
        <f>IFERROR($B$2-F4,0)</f>
        <v>1000</v>
      </c>
      <c r="G3" s="16">
        <f t="shared" ref="G3:BR3" si="0">IFERROR($B$2-G4,0)</f>
        <v>1000</v>
      </c>
      <c r="H3" s="16">
        <f t="shared" si="0"/>
        <v>1000</v>
      </c>
      <c r="I3" s="16">
        <f t="shared" si="0"/>
        <v>1000</v>
      </c>
      <c r="J3" s="16">
        <f t="shared" si="0"/>
        <v>1000</v>
      </c>
      <c r="K3" s="16">
        <f t="shared" si="0"/>
        <v>1000</v>
      </c>
      <c r="L3" s="16">
        <f t="shared" si="0"/>
        <v>1000</v>
      </c>
      <c r="M3" s="16">
        <f t="shared" si="0"/>
        <v>1000</v>
      </c>
      <c r="N3" s="16">
        <f t="shared" si="0"/>
        <v>1000</v>
      </c>
      <c r="O3" s="16">
        <f t="shared" si="0"/>
        <v>1000</v>
      </c>
      <c r="P3" s="16">
        <f t="shared" si="0"/>
        <v>1000</v>
      </c>
      <c r="Q3" s="16">
        <f t="shared" si="0"/>
        <v>1000</v>
      </c>
      <c r="R3" s="16">
        <f t="shared" si="0"/>
        <v>1000</v>
      </c>
      <c r="S3" s="16">
        <f t="shared" si="0"/>
        <v>1000</v>
      </c>
      <c r="T3" s="16">
        <f t="shared" si="0"/>
        <v>1000</v>
      </c>
      <c r="U3" s="16">
        <f t="shared" si="0"/>
        <v>1000</v>
      </c>
      <c r="V3" s="16">
        <f t="shared" si="0"/>
        <v>1000</v>
      </c>
      <c r="W3" s="16">
        <f t="shared" si="0"/>
        <v>1000</v>
      </c>
      <c r="X3" s="16">
        <f t="shared" si="0"/>
        <v>1000</v>
      </c>
      <c r="Y3" s="16">
        <f t="shared" si="0"/>
        <v>1000</v>
      </c>
      <c r="Z3" s="16">
        <f t="shared" si="0"/>
        <v>1000</v>
      </c>
      <c r="AA3" s="16">
        <f t="shared" si="0"/>
        <v>1000</v>
      </c>
      <c r="AB3" s="16">
        <f t="shared" si="0"/>
        <v>1000</v>
      </c>
      <c r="AC3" s="16">
        <f t="shared" si="0"/>
        <v>1000</v>
      </c>
      <c r="AD3" s="16">
        <f t="shared" si="0"/>
        <v>1000</v>
      </c>
      <c r="AE3" s="16">
        <f t="shared" si="0"/>
        <v>1000</v>
      </c>
      <c r="AF3" s="16">
        <f t="shared" si="0"/>
        <v>1000</v>
      </c>
      <c r="AG3" s="16">
        <f t="shared" si="0"/>
        <v>1000</v>
      </c>
      <c r="AH3" s="16">
        <f t="shared" si="0"/>
        <v>1000</v>
      </c>
      <c r="AI3" s="16">
        <f t="shared" si="0"/>
        <v>1000</v>
      </c>
      <c r="AJ3" s="16">
        <f t="shared" si="0"/>
        <v>1000</v>
      </c>
      <c r="AK3" s="16">
        <f t="shared" si="0"/>
        <v>1000</v>
      </c>
      <c r="AL3" s="16">
        <f t="shared" si="0"/>
        <v>1000</v>
      </c>
      <c r="AM3" s="16">
        <f t="shared" si="0"/>
        <v>1000</v>
      </c>
      <c r="AN3" s="16">
        <f t="shared" si="0"/>
        <v>1000</v>
      </c>
      <c r="AO3" s="16">
        <f t="shared" si="0"/>
        <v>1000</v>
      </c>
      <c r="AP3" s="16">
        <f t="shared" si="0"/>
        <v>1000</v>
      </c>
      <c r="AQ3" s="16">
        <f t="shared" si="0"/>
        <v>1000</v>
      </c>
      <c r="AR3" s="16">
        <f t="shared" si="0"/>
        <v>1000</v>
      </c>
      <c r="AS3" s="16">
        <f t="shared" si="0"/>
        <v>1000</v>
      </c>
      <c r="AT3" s="16">
        <f t="shared" si="0"/>
        <v>1000</v>
      </c>
      <c r="AU3" s="16">
        <f t="shared" si="0"/>
        <v>1000</v>
      </c>
      <c r="AV3" s="16">
        <f t="shared" si="0"/>
        <v>1000</v>
      </c>
      <c r="AW3" s="16">
        <f t="shared" si="0"/>
        <v>1000</v>
      </c>
      <c r="AX3" s="16">
        <f t="shared" si="0"/>
        <v>1000</v>
      </c>
      <c r="AY3" s="16">
        <f t="shared" si="0"/>
        <v>1000</v>
      </c>
      <c r="AZ3" s="16">
        <f t="shared" si="0"/>
        <v>1000</v>
      </c>
      <c r="BA3" s="16">
        <f t="shared" si="0"/>
        <v>1000</v>
      </c>
      <c r="BB3" s="16">
        <f t="shared" si="0"/>
        <v>1000</v>
      </c>
      <c r="BC3" s="16">
        <f t="shared" si="0"/>
        <v>1000</v>
      </c>
      <c r="BD3" s="16">
        <f t="shared" si="0"/>
        <v>1000</v>
      </c>
      <c r="BE3" s="16">
        <f t="shared" si="0"/>
        <v>1000</v>
      </c>
      <c r="BF3" s="16">
        <f t="shared" si="0"/>
        <v>1000</v>
      </c>
      <c r="BG3" s="16">
        <f t="shared" si="0"/>
        <v>1000</v>
      </c>
      <c r="BH3" s="16">
        <f t="shared" si="0"/>
        <v>1000</v>
      </c>
      <c r="BI3" s="16">
        <f t="shared" si="0"/>
        <v>1000</v>
      </c>
      <c r="BJ3" s="16">
        <f t="shared" si="0"/>
        <v>1000</v>
      </c>
      <c r="BK3" s="16">
        <f t="shared" si="0"/>
        <v>1000</v>
      </c>
      <c r="BL3" s="16">
        <f t="shared" si="0"/>
        <v>1000</v>
      </c>
      <c r="BM3" s="16">
        <f t="shared" si="0"/>
        <v>1000</v>
      </c>
      <c r="BN3" s="16">
        <f t="shared" si="0"/>
        <v>1000</v>
      </c>
      <c r="BO3" s="16">
        <f t="shared" si="0"/>
        <v>1000</v>
      </c>
      <c r="BP3" s="16">
        <f t="shared" si="0"/>
        <v>1000</v>
      </c>
      <c r="BQ3" s="16">
        <f t="shared" si="0"/>
        <v>1000</v>
      </c>
      <c r="BR3" s="16">
        <f t="shared" si="0"/>
        <v>1000</v>
      </c>
      <c r="BS3" s="16">
        <f t="shared" ref="BS3:ED3" si="1">IFERROR($B$2-BS4,0)</f>
        <v>1000</v>
      </c>
      <c r="BT3" s="16">
        <f t="shared" si="1"/>
        <v>1000</v>
      </c>
      <c r="BU3" s="16">
        <f t="shared" si="1"/>
        <v>1000</v>
      </c>
      <c r="BV3" s="16">
        <f t="shared" si="1"/>
        <v>1000</v>
      </c>
      <c r="BW3" s="16">
        <f t="shared" si="1"/>
        <v>1000</v>
      </c>
      <c r="BX3" s="16">
        <f t="shared" si="1"/>
        <v>1000</v>
      </c>
      <c r="BY3" s="16">
        <f t="shared" si="1"/>
        <v>1000</v>
      </c>
      <c r="BZ3" s="16">
        <f t="shared" si="1"/>
        <v>1000</v>
      </c>
      <c r="CA3" s="16">
        <f t="shared" si="1"/>
        <v>1000</v>
      </c>
      <c r="CB3" s="16">
        <f t="shared" si="1"/>
        <v>1000</v>
      </c>
      <c r="CC3" s="16">
        <f t="shared" si="1"/>
        <v>1000</v>
      </c>
      <c r="CD3" s="16">
        <f t="shared" si="1"/>
        <v>1000</v>
      </c>
      <c r="CE3" s="16">
        <f t="shared" si="1"/>
        <v>1000</v>
      </c>
      <c r="CF3" s="16">
        <f t="shared" si="1"/>
        <v>1000</v>
      </c>
      <c r="CG3" s="16">
        <f t="shared" si="1"/>
        <v>1000</v>
      </c>
      <c r="CH3" s="16">
        <f t="shared" si="1"/>
        <v>1000</v>
      </c>
      <c r="CI3" s="16">
        <f t="shared" si="1"/>
        <v>1000</v>
      </c>
      <c r="CJ3" s="16">
        <f t="shared" si="1"/>
        <v>1000</v>
      </c>
      <c r="CK3" s="16">
        <f t="shared" si="1"/>
        <v>1000</v>
      </c>
      <c r="CL3" s="16">
        <f t="shared" si="1"/>
        <v>1000</v>
      </c>
      <c r="CM3" s="16">
        <f t="shared" si="1"/>
        <v>1000</v>
      </c>
      <c r="CN3" s="16">
        <f t="shared" si="1"/>
        <v>1000</v>
      </c>
      <c r="CO3" s="16">
        <f t="shared" si="1"/>
        <v>1000</v>
      </c>
      <c r="CP3" s="16">
        <f t="shared" si="1"/>
        <v>1000</v>
      </c>
      <c r="CQ3" s="16">
        <f t="shared" si="1"/>
        <v>1000</v>
      </c>
      <c r="CR3" s="16">
        <f t="shared" si="1"/>
        <v>1000</v>
      </c>
      <c r="CS3" s="16">
        <f t="shared" si="1"/>
        <v>1000</v>
      </c>
      <c r="CT3" s="16">
        <f t="shared" si="1"/>
        <v>1000</v>
      </c>
      <c r="CU3" s="16">
        <f t="shared" si="1"/>
        <v>1000</v>
      </c>
      <c r="CV3" s="16">
        <f t="shared" si="1"/>
        <v>1000</v>
      </c>
      <c r="CW3" s="16">
        <f t="shared" si="1"/>
        <v>1000</v>
      </c>
      <c r="CX3" s="16">
        <f t="shared" si="1"/>
        <v>1000</v>
      </c>
      <c r="CY3" s="16">
        <f t="shared" si="1"/>
        <v>1000</v>
      </c>
      <c r="CZ3" s="16">
        <f t="shared" si="1"/>
        <v>1000</v>
      </c>
      <c r="DA3" s="16">
        <f t="shared" si="1"/>
        <v>1000</v>
      </c>
      <c r="DB3" s="16">
        <f t="shared" si="1"/>
        <v>1000</v>
      </c>
      <c r="DC3" s="16">
        <f t="shared" si="1"/>
        <v>1000</v>
      </c>
      <c r="DD3" s="16">
        <f t="shared" si="1"/>
        <v>1000</v>
      </c>
      <c r="DE3" s="16">
        <f t="shared" si="1"/>
        <v>1000</v>
      </c>
      <c r="DF3" s="16">
        <f t="shared" si="1"/>
        <v>1000</v>
      </c>
      <c r="DG3" s="16">
        <f t="shared" si="1"/>
        <v>1000</v>
      </c>
      <c r="DH3" s="16">
        <f t="shared" si="1"/>
        <v>1000</v>
      </c>
      <c r="DI3" s="16">
        <f t="shared" si="1"/>
        <v>1000</v>
      </c>
      <c r="DJ3" s="16">
        <f t="shared" si="1"/>
        <v>1000</v>
      </c>
      <c r="DK3" s="16">
        <f t="shared" si="1"/>
        <v>1000</v>
      </c>
      <c r="DL3" s="16">
        <f t="shared" si="1"/>
        <v>1000</v>
      </c>
      <c r="DM3" s="16">
        <f t="shared" si="1"/>
        <v>1000</v>
      </c>
      <c r="DN3" s="16">
        <f t="shared" si="1"/>
        <v>1000</v>
      </c>
      <c r="DO3" s="16">
        <f t="shared" si="1"/>
        <v>1000</v>
      </c>
      <c r="DP3" s="16">
        <f t="shared" si="1"/>
        <v>1000</v>
      </c>
      <c r="DQ3" s="16">
        <f t="shared" si="1"/>
        <v>1000</v>
      </c>
      <c r="DR3" s="16">
        <f t="shared" si="1"/>
        <v>1000</v>
      </c>
      <c r="DS3" s="16">
        <f t="shared" si="1"/>
        <v>1000</v>
      </c>
      <c r="DT3" s="16">
        <f t="shared" si="1"/>
        <v>1000</v>
      </c>
      <c r="DU3" s="16">
        <f t="shared" si="1"/>
        <v>1000</v>
      </c>
      <c r="DV3" s="16">
        <f t="shared" si="1"/>
        <v>1000</v>
      </c>
      <c r="DW3" s="16">
        <f t="shared" si="1"/>
        <v>1000</v>
      </c>
      <c r="DX3" s="16">
        <f t="shared" si="1"/>
        <v>1000</v>
      </c>
      <c r="DY3" s="16">
        <f t="shared" si="1"/>
        <v>1000</v>
      </c>
      <c r="DZ3" s="16">
        <f t="shared" si="1"/>
        <v>1000</v>
      </c>
      <c r="EA3" s="16">
        <f t="shared" si="1"/>
        <v>1000</v>
      </c>
      <c r="EB3" s="16">
        <f t="shared" si="1"/>
        <v>1000</v>
      </c>
      <c r="EC3" s="16">
        <f t="shared" si="1"/>
        <v>1000</v>
      </c>
      <c r="ED3" s="16">
        <f t="shared" si="1"/>
        <v>1000</v>
      </c>
      <c r="EE3" s="16">
        <f t="shared" ref="EE3:GH3" si="2">IFERROR($B$2-EE4,0)</f>
        <v>1000</v>
      </c>
      <c r="EF3" s="16">
        <f t="shared" si="2"/>
        <v>1000</v>
      </c>
      <c r="EG3" s="16">
        <f t="shared" si="2"/>
        <v>1000</v>
      </c>
      <c r="EH3" s="16">
        <f t="shared" si="2"/>
        <v>1000</v>
      </c>
      <c r="EI3" s="16">
        <f t="shared" si="2"/>
        <v>1000</v>
      </c>
      <c r="EJ3" s="16">
        <f t="shared" si="2"/>
        <v>1000</v>
      </c>
      <c r="EK3" s="16">
        <f t="shared" si="2"/>
        <v>1000</v>
      </c>
      <c r="EL3" s="16">
        <f t="shared" si="2"/>
        <v>1000</v>
      </c>
      <c r="EM3" s="16">
        <f t="shared" si="2"/>
        <v>1000</v>
      </c>
      <c r="EN3" s="16">
        <f t="shared" si="2"/>
        <v>1000</v>
      </c>
      <c r="EO3" s="16">
        <f t="shared" si="2"/>
        <v>1000</v>
      </c>
      <c r="EP3" s="16">
        <f t="shared" si="2"/>
        <v>1000</v>
      </c>
      <c r="EQ3" s="16">
        <f t="shared" si="2"/>
        <v>1000</v>
      </c>
      <c r="ER3" s="16">
        <f t="shared" si="2"/>
        <v>1000</v>
      </c>
      <c r="ES3" s="16">
        <f t="shared" si="2"/>
        <v>1000</v>
      </c>
      <c r="ET3" s="16">
        <f t="shared" si="2"/>
        <v>1000</v>
      </c>
      <c r="EU3" s="16">
        <f t="shared" si="2"/>
        <v>1000</v>
      </c>
      <c r="EV3" s="16">
        <f t="shared" si="2"/>
        <v>1000</v>
      </c>
      <c r="EW3" s="16">
        <f t="shared" si="2"/>
        <v>1000</v>
      </c>
      <c r="EX3" s="16">
        <f t="shared" si="2"/>
        <v>1000</v>
      </c>
      <c r="EY3" s="16">
        <f t="shared" si="2"/>
        <v>1000</v>
      </c>
      <c r="EZ3" s="16">
        <f t="shared" si="2"/>
        <v>1000</v>
      </c>
      <c r="FA3" s="16">
        <f t="shared" si="2"/>
        <v>1000</v>
      </c>
      <c r="FB3" s="16">
        <f t="shared" si="2"/>
        <v>1000</v>
      </c>
      <c r="FC3" s="16">
        <f t="shared" si="2"/>
        <v>1000</v>
      </c>
      <c r="FD3" s="16">
        <f t="shared" si="2"/>
        <v>1000</v>
      </c>
      <c r="FE3" s="16">
        <f t="shared" si="2"/>
        <v>1000</v>
      </c>
      <c r="FF3" s="16">
        <f t="shared" si="2"/>
        <v>1000</v>
      </c>
      <c r="FG3" s="16">
        <f t="shared" si="2"/>
        <v>1000</v>
      </c>
      <c r="FH3" s="16">
        <f t="shared" si="2"/>
        <v>1000</v>
      </c>
      <c r="FI3" s="16">
        <f t="shared" si="2"/>
        <v>1000</v>
      </c>
      <c r="FJ3" s="16">
        <f t="shared" si="2"/>
        <v>1000</v>
      </c>
      <c r="FK3" s="16">
        <f t="shared" si="2"/>
        <v>1000</v>
      </c>
      <c r="FL3" s="16">
        <f t="shared" si="2"/>
        <v>1000</v>
      </c>
      <c r="FM3" s="16">
        <f t="shared" si="2"/>
        <v>1000</v>
      </c>
      <c r="FN3" s="16">
        <f t="shared" si="2"/>
        <v>1000</v>
      </c>
      <c r="FO3" s="16">
        <f t="shared" si="2"/>
        <v>1000</v>
      </c>
      <c r="FP3" s="16">
        <f t="shared" si="2"/>
        <v>1000</v>
      </c>
      <c r="FQ3" s="16">
        <f t="shared" si="2"/>
        <v>1000</v>
      </c>
      <c r="FR3" s="16">
        <f t="shared" si="2"/>
        <v>1000</v>
      </c>
      <c r="FS3" s="16">
        <f t="shared" si="2"/>
        <v>1000</v>
      </c>
      <c r="FT3" s="16">
        <f t="shared" si="2"/>
        <v>1000</v>
      </c>
      <c r="FU3" s="16">
        <f t="shared" si="2"/>
        <v>1000</v>
      </c>
      <c r="FV3" s="16">
        <f t="shared" si="2"/>
        <v>1000</v>
      </c>
      <c r="FW3" s="16">
        <f t="shared" si="2"/>
        <v>1000</v>
      </c>
      <c r="FX3" s="16">
        <f t="shared" si="2"/>
        <v>1000</v>
      </c>
      <c r="FY3" s="16">
        <f t="shared" si="2"/>
        <v>1000</v>
      </c>
      <c r="FZ3" s="16">
        <f t="shared" si="2"/>
        <v>1000</v>
      </c>
      <c r="GA3" s="16">
        <f t="shared" si="2"/>
        <v>1000</v>
      </c>
      <c r="GB3" s="16">
        <f t="shared" si="2"/>
        <v>1000</v>
      </c>
      <c r="GC3" s="16">
        <f t="shared" si="2"/>
        <v>1000</v>
      </c>
      <c r="GD3" s="16">
        <f t="shared" si="2"/>
        <v>1000</v>
      </c>
      <c r="GE3" s="16">
        <f t="shared" si="2"/>
        <v>1000</v>
      </c>
      <c r="GF3" s="16">
        <f t="shared" si="2"/>
        <v>1000</v>
      </c>
      <c r="GG3" s="16">
        <f t="shared" si="2"/>
        <v>1000</v>
      </c>
      <c r="GH3" s="16">
        <f t="shared" si="2"/>
        <v>1000</v>
      </c>
      <c r="GI3" s="489" t="s">
        <v>7</v>
      </c>
      <c r="GJ3" s="8"/>
      <c r="GK3" s="7"/>
      <c r="GL3" s="7"/>
      <c r="GM3" s="7"/>
      <c r="GN3" s="7">
        <f t="shared" ref="GN3:GV3" si="3">SUM(GN15:GN304)</f>
        <v>0</v>
      </c>
      <c r="GO3" s="7">
        <f t="shared" si="3"/>
        <v>0</v>
      </c>
      <c r="GP3" s="7">
        <f t="shared" si="3"/>
        <v>0</v>
      </c>
      <c r="GQ3" s="7">
        <f t="shared" si="3"/>
        <v>0</v>
      </c>
      <c r="GR3" s="7">
        <f t="shared" si="3"/>
        <v>0</v>
      </c>
      <c r="GS3" s="7">
        <f t="shared" si="3"/>
        <v>0</v>
      </c>
      <c r="GT3" s="7">
        <f t="shared" si="3"/>
        <v>0</v>
      </c>
      <c r="GU3" s="7">
        <f t="shared" si="3"/>
        <v>0</v>
      </c>
      <c r="GV3" s="7">
        <f t="shared" si="3"/>
        <v>0</v>
      </c>
    </row>
    <row r="4" spans="1:204" s="98" customFormat="1" ht="20.25" customHeight="1">
      <c r="A4" s="479"/>
      <c r="B4" s="392"/>
      <c r="C4" s="112"/>
      <c r="D4" s="113"/>
      <c r="E4" s="6"/>
      <c r="F4" s="16" cm="1">
        <f t="array" ref="F4">IFERROR(SUM(_xlfn._xlws.FILTER(F8:F298,ISNUMBER(F8:F298))),0)</f>
        <v>0</v>
      </c>
      <c r="G4" s="16" cm="1">
        <f t="array" ref="G4">IFERROR(SUM(_xlfn._xlws.FILTER(G8:G298,ISNUMBER(G8:G298))),0)</f>
        <v>0</v>
      </c>
      <c r="H4" s="16" cm="1">
        <f t="array" ref="H4">IFERROR(SUM(_xlfn._xlws.FILTER(H8:H298,ISNUMBER(H8:H298))),0)</f>
        <v>0</v>
      </c>
      <c r="I4" s="16" cm="1">
        <f t="array" ref="I4">IFERROR(SUM(_xlfn._xlws.FILTER(I8:I298,ISNUMBER(I8:I298))),0)</f>
        <v>0</v>
      </c>
      <c r="J4" s="16" cm="1">
        <f t="array" ref="J4">IFERROR(SUM(_xlfn._xlws.FILTER(J8:J298,ISNUMBER(J8:J298))),0)</f>
        <v>0</v>
      </c>
      <c r="K4" s="16" cm="1">
        <f t="array" ref="K4">IFERROR(SUM(_xlfn._xlws.FILTER(K8:K298,ISNUMBER(K8:K298))),0)</f>
        <v>0</v>
      </c>
      <c r="L4" s="16" cm="1">
        <f t="array" ref="L4">IFERROR(SUM(_xlfn._xlws.FILTER(L8:L298,ISNUMBER(L8:L298))),0)</f>
        <v>0</v>
      </c>
      <c r="M4" s="16" cm="1">
        <f t="array" ref="M4">IFERROR(SUM(_xlfn._xlws.FILTER(M8:M298,ISNUMBER(M8:M298))),0)</f>
        <v>0</v>
      </c>
      <c r="N4" s="16" cm="1">
        <f t="array" ref="N4">IFERROR(SUM(_xlfn._xlws.FILTER(N8:N298,ISNUMBER(N8:N298))),0)</f>
        <v>0</v>
      </c>
      <c r="O4" s="16" cm="1">
        <f t="array" ref="O4">IFERROR(SUM(_xlfn._xlws.FILTER(O8:O298,ISNUMBER(O8:O298))),0)</f>
        <v>0</v>
      </c>
      <c r="P4" s="16" cm="1">
        <f t="array" ref="P4">IFERROR(SUM(_xlfn._xlws.FILTER(P8:P298,ISNUMBER(P8:P298))),0)</f>
        <v>0</v>
      </c>
      <c r="Q4" s="16" cm="1">
        <f t="array" ref="Q4">IFERROR(SUM(_xlfn._xlws.FILTER(Q8:Q298,ISNUMBER(Q8:Q298))),0)</f>
        <v>0</v>
      </c>
      <c r="R4" s="16" cm="1">
        <f t="array" ref="R4">IFERROR(SUM(_xlfn._xlws.FILTER(R8:R298,ISNUMBER(R8:R298))),0)</f>
        <v>0</v>
      </c>
      <c r="S4" s="16" cm="1">
        <f t="array" ref="S4">IFERROR(SUM(_xlfn._xlws.FILTER(S8:S298,ISNUMBER(S8:S298))),0)</f>
        <v>0</v>
      </c>
      <c r="T4" s="16" cm="1">
        <f t="array" ref="T4">IFERROR(SUM(_xlfn._xlws.FILTER(T8:T298,ISNUMBER(T8:T298))),0)</f>
        <v>0</v>
      </c>
      <c r="U4" s="16" cm="1">
        <f t="array" ref="U4">IFERROR(SUM(_xlfn._xlws.FILTER(U8:U298,ISNUMBER(U8:U298))),0)</f>
        <v>0</v>
      </c>
      <c r="V4" s="16" cm="1">
        <f t="array" ref="V4">IFERROR(SUM(_xlfn._xlws.FILTER(V8:V298,ISNUMBER(V8:V298))),0)</f>
        <v>0</v>
      </c>
      <c r="W4" s="16" cm="1">
        <f t="array" ref="W4">IFERROR(SUM(_xlfn._xlws.FILTER(W8:W298,ISNUMBER(W8:W298))),0)</f>
        <v>0</v>
      </c>
      <c r="X4" s="16" cm="1">
        <f t="array" ref="X4">IFERROR(SUM(_xlfn._xlws.FILTER(X8:X298,ISNUMBER(X8:X298))),0)</f>
        <v>0</v>
      </c>
      <c r="Y4" s="16" cm="1">
        <f t="array" ref="Y4">IFERROR(SUM(_xlfn._xlws.FILTER(Y8:Y298,ISNUMBER(Y8:Y298))),0)</f>
        <v>0</v>
      </c>
      <c r="Z4" s="16" cm="1">
        <f t="array" ref="Z4">IFERROR(SUM(_xlfn._xlws.FILTER(Z8:Z298,ISNUMBER(Z8:Z298))),0)</f>
        <v>0</v>
      </c>
      <c r="AA4" s="16" cm="1">
        <f t="array" ref="AA4">IFERROR(SUM(_xlfn._xlws.FILTER(AA8:AA298,ISNUMBER(AA8:AA298))),0)</f>
        <v>0</v>
      </c>
      <c r="AB4" s="16" cm="1">
        <f t="array" ref="AB4">IFERROR(SUM(_xlfn._xlws.FILTER(AB8:AB298,ISNUMBER(AB8:AB298))),0)</f>
        <v>0</v>
      </c>
      <c r="AC4" s="16" cm="1">
        <f t="array" ref="AC4">IFERROR(SUM(_xlfn._xlws.FILTER(AC8:AC298,ISNUMBER(AC8:AC298))),0)</f>
        <v>0</v>
      </c>
      <c r="AD4" s="16" cm="1">
        <f t="array" ref="AD4">IFERROR(SUM(_xlfn._xlws.FILTER(AD8:AD298,ISNUMBER(AD8:AD298))),0)</f>
        <v>0</v>
      </c>
      <c r="AE4" s="16" cm="1">
        <f t="array" ref="AE4">IFERROR(SUM(_xlfn._xlws.FILTER(AE8:AE298,ISNUMBER(AE8:AE298))),0)</f>
        <v>0</v>
      </c>
      <c r="AF4" s="16" cm="1">
        <f t="array" ref="AF4">IFERROR(SUM(_xlfn._xlws.FILTER(AF8:AF298,ISNUMBER(AF8:AF298))),0)</f>
        <v>0</v>
      </c>
      <c r="AG4" s="16" cm="1">
        <f t="array" ref="AG4">IFERROR(SUM(_xlfn._xlws.FILTER(AG8:AG298,ISNUMBER(AG8:AG298))),0)</f>
        <v>0</v>
      </c>
      <c r="AH4" s="16" cm="1">
        <f t="array" ref="AH4">IFERROR(SUM(_xlfn._xlws.FILTER(AH8:AH298,ISNUMBER(AH8:AH298))),0)</f>
        <v>0</v>
      </c>
      <c r="AI4" s="16" cm="1">
        <f t="array" ref="AI4">IFERROR(SUM(_xlfn._xlws.FILTER(AI8:AI298,ISNUMBER(AI8:AI298))),0)</f>
        <v>0</v>
      </c>
      <c r="AJ4" s="16" cm="1">
        <f t="array" ref="AJ4">IFERROR(SUM(_xlfn._xlws.FILTER(AJ8:AJ298,ISNUMBER(AJ8:AJ298))),0)</f>
        <v>0</v>
      </c>
      <c r="AK4" s="16" cm="1">
        <f t="array" ref="AK4">IFERROR(SUM(_xlfn._xlws.FILTER(AK8:AK298,ISNUMBER(AK8:AK298))),0)</f>
        <v>0</v>
      </c>
      <c r="AL4" s="16" cm="1">
        <f t="array" ref="AL4">IFERROR(SUM(_xlfn._xlws.FILTER(AL8:AL298,ISNUMBER(AL8:AL298))),0)</f>
        <v>0</v>
      </c>
      <c r="AM4" s="16" cm="1">
        <f t="array" ref="AM4">IFERROR(SUM(_xlfn._xlws.FILTER(AM8:AM298,ISNUMBER(AM8:AM298))),0)</f>
        <v>0</v>
      </c>
      <c r="AN4" s="16" cm="1">
        <f t="array" ref="AN4">IFERROR(SUM(_xlfn._xlws.FILTER(AN8:AN298,ISNUMBER(AN8:AN298))),0)</f>
        <v>0</v>
      </c>
      <c r="AO4" s="16" cm="1">
        <f t="array" ref="AO4">IFERROR(SUM(_xlfn._xlws.FILTER(AO8:AO298,ISNUMBER(AO8:AO298))),0)</f>
        <v>0</v>
      </c>
      <c r="AP4" s="16" cm="1">
        <f t="array" ref="AP4">IFERROR(SUM(_xlfn._xlws.FILTER(AP8:AP298,ISNUMBER(AP8:AP298))),0)</f>
        <v>0</v>
      </c>
      <c r="AQ4" s="16" cm="1">
        <f t="array" ref="AQ4">IFERROR(SUM(_xlfn._xlws.FILTER(AQ8:AQ298,ISNUMBER(AQ8:AQ298))),0)</f>
        <v>0</v>
      </c>
      <c r="AR4" s="16" cm="1">
        <f t="array" ref="AR4">IFERROR(SUM(_xlfn._xlws.FILTER(AR8:AR298,ISNUMBER(AR8:AR298))),0)</f>
        <v>0</v>
      </c>
      <c r="AS4" s="16" cm="1">
        <f t="array" ref="AS4">IFERROR(SUM(_xlfn._xlws.FILTER(AS8:AS298,ISNUMBER(AS8:AS298))),0)</f>
        <v>0</v>
      </c>
      <c r="AT4" s="16" cm="1">
        <f t="array" ref="AT4">IFERROR(SUM(_xlfn._xlws.FILTER(AT8:AT298,ISNUMBER(AT8:AT298))),0)</f>
        <v>0</v>
      </c>
      <c r="AU4" s="16" cm="1">
        <f t="array" ref="AU4">IFERROR(SUM(_xlfn._xlws.FILTER(AU8:AU298,ISNUMBER(AU8:AU298))),0)</f>
        <v>0</v>
      </c>
      <c r="AV4" s="16" cm="1">
        <f t="array" ref="AV4">IFERROR(SUM(_xlfn._xlws.FILTER(AV8:AV298,ISNUMBER(AV8:AV298))),0)</f>
        <v>0</v>
      </c>
      <c r="AW4" s="16" cm="1">
        <f t="array" ref="AW4">IFERROR(SUM(_xlfn._xlws.FILTER(AW8:AW298,ISNUMBER(AW8:AW298))),0)</f>
        <v>0</v>
      </c>
      <c r="AX4" s="16" cm="1">
        <f t="array" ref="AX4">IFERROR(SUM(_xlfn._xlws.FILTER(AX8:AX298,ISNUMBER(AX8:AX298))),0)</f>
        <v>0</v>
      </c>
      <c r="AY4" s="16" cm="1">
        <f t="array" ref="AY4">IFERROR(SUM(_xlfn._xlws.FILTER(AY8:AY298,ISNUMBER(AY8:AY298))),0)</f>
        <v>0</v>
      </c>
      <c r="AZ4" s="16" cm="1">
        <f t="array" ref="AZ4">IFERROR(SUM(_xlfn._xlws.FILTER(AZ8:AZ298,ISNUMBER(AZ8:AZ298))),0)</f>
        <v>0</v>
      </c>
      <c r="BA4" s="16" cm="1">
        <f t="array" ref="BA4">IFERROR(SUM(_xlfn._xlws.FILTER(BA8:BA298,ISNUMBER(BA8:BA298))),0)</f>
        <v>0</v>
      </c>
      <c r="BB4" s="16" cm="1">
        <f t="array" ref="BB4">IFERROR(SUM(_xlfn._xlws.FILTER(BB8:BB298,ISNUMBER(BB8:BB298))),0)</f>
        <v>0</v>
      </c>
      <c r="BC4" s="16" cm="1">
        <f t="array" ref="BC4">IFERROR(SUM(_xlfn._xlws.FILTER(BC8:BC298,ISNUMBER(BC8:BC298))),0)</f>
        <v>0</v>
      </c>
      <c r="BD4" s="16" cm="1">
        <f t="array" ref="BD4">IFERROR(SUM(_xlfn._xlws.FILTER(BD8:BD298,ISNUMBER(BD8:BD298))),0)</f>
        <v>0</v>
      </c>
      <c r="BE4" s="16" cm="1">
        <f t="array" ref="BE4">IFERROR(SUM(_xlfn._xlws.FILTER(BE8:BE298,ISNUMBER(BE8:BE298))),0)</f>
        <v>0</v>
      </c>
      <c r="BF4" s="16" cm="1">
        <f t="array" ref="BF4">IFERROR(SUM(_xlfn._xlws.FILTER(BF8:BF298,ISNUMBER(BF8:BF298))),0)</f>
        <v>0</v>
      </c>
      <c r="BG4" s="16" cm="1">
        <f t="array" ref="BG4">IFERROR(SUM(_xlfn._xlws.FILTER(BG8:BG298,ISNUMBER(BG8:BG298))),0)</f>
        <v>0</v>
      </c>
      <c r="BH4" s="16" cm="1">
        <f t="array" ref="BH4">IFERROR(SUM(_xlfn._xlws.FILTER(BH8:BH298,ISNUMBER(BH8:BH298))),0)</f>
        <v>0</v>
      </c>
      <c r="BI4" s="16" cm="1">
        <f t="array" ref="BI4">IFERROR(SUM(_xlfn._xlws.FILTER(BI8:BI298,ISNUMBER(BI8:BI298))),0)</f>
        <v>0</v>
      </c>
      <c r="BJ4" s="16" cm="1">
        <f t="array" ref="BJ4">IFERROR(SUM(_xlfn._xlws.FILTER(BJ8:BJ298,ISNUMBER(BJ8:BJ298))),0)</f>
        <v>0</v>
      </c>
      <c r="BK4" s="16" cm="1">
        <f t="array" ref="BK4">IFERROR(SUM(_xlfn._xlws.FILTER(BK8:BK298,ISNUMBER(BK8:BK298))),0)</f>
        <v>0</v>
      </c>
      <c r="BL4" s="16" cm="1">
        <f t="array" ref="BL4">IFERROR(SUM(_xlfn._xlws.FILTER(BL8:BL298,ISNUMBER(BL8:BL298))),0)</f>
        <v>0</v>
      </c>
      <c r="BM4" s="16" cm="1">
        <f t="array" ref="BM4">IFERROR(SUM(_xlfn._xlws.FILTER(BM8:BM298,ISNUMBER(BM8:BM298))),0)</f>
        <v>0</v>
      </c>
      <c r="BN4" s="16" cm="1">
        <f t="array" ref="BN4">IFERROR(SUM(_xlfn._xlws.FILTER(BN8:BN298,ISNUMBER(BN8:BN298))),0)</f>
        <v>0</v>
      </c>
      <c r="BO4" s="16" cm="1">
        <f t="array" ref="BO4">IFERROR(SUM(_xlfn._xlws.FILTER(BO8:BO298,ISNUMBER(BO8:BO298))),0)</f>
        <v>0</v>
      </c>
      <c r="BP4" s="16" cm="1">
        <f t="array" ref="BP4">IFERROR(SUM(_xlfn._xlws.FILTER(BP8:BP298,ISNUMBER(BP8:BP298))),0)</f>
        <v>0</v>
      </c>
      <c r="BQ4" s="16" cm="1">
        <f t="array" ref="BQ4">IFERROR(SUM(_xlfn._xlws.FILTER(BQ8:BQ298,ISNUMBER(BQ8:BQ298))),0)</f>
        <v>0</v>
      </c>
      <c r="BR4" s="16" cm="1">
        <f t="array" ref="BR4">IFERROR(SUM(_xlfn._xlws.FILTER(BR8:BR298,ISNUMBER(BR8:BR298))),0)</f>
        <v>0</v>
      </c>
      <c r="BS4" s="16" cm="1">
        <f t="array" ref="BS4">IFERROR(SUM(_xlfn._xlws.FILTER(BS8:BS298,ISNUMBER(BS8:BS298))),0)</f>
        <v>0</v>
      </c>
      <c r="BT4" s="16" cm="1">
        <f t="array" ref="BT4">IFERROR(SUM(_xlfn._xlws.FILTER(BT8:BT298,ISNUMBER(BT8:BT298))),0)</f>
        <v>0</v>
      </c>
      <c r="BU4" s="16" cm="1">
        <f t="array" ref="BU4">IFERROR(SUM(_xlfn._xlws.FILTER(BU8:BU298,ISNUMBER(BU8:BU298))),0)</f>
        <v>0</v>
      </c>
      <c r="BV4" s="16" cm="1">
        <f t="array" ref="BV4">IFERROR(SUM(_xlfn._xlws.FILTER(BV8:BV298,ISNUMBER(BV8:BV298))),0)</f>
        <v>0</v>
      </c>
      <c r="BW4" s="16" cm="1">
        <f t="array" ref="BW4">IFERROR(SUM(_xlfn._xlws.FILTER(BW8:BW298,ISNUMBER(BW8:BW298))),0)</f>
        <v>0</v>
      </c>
      <c r="BX4" s="16" cm="1">
        <f t="array" ref="BX4">IFERROR(SUM(_xlfn._xlws.FILTER(BX8:BX298,ISNUMBER(BX8:BX298))),0)</f>
        <v>0</v>
      </c>
      <c r="BY4" s="16" cm="1">
        <f t="array" ref="BY4">IFERROR(SUM(_xlfn._xlws.FILTER(BY8:BY298,ISNUMBER(BY8:BY298))),0)</f>
        <v>0</v>
      </c>
      <c r="BZ4" s="16" cm="1">
        <f t="array" ref="BZ4">IFERROR(SUM(_xlfn._xlws.FILTER(BZ8:BZ298,ISNUMBER(BZ8:BZ298))),0)</f>
        <v>0</v>
      </c>
      <c r="CA4" s="16" cm="1">
        <f t="array" ref="CA4">IFERROR(SUM(_xlfn._xlws.FILTER(CA8:CA298,ISNUMBER(CA8:CA298))),0)</f>
        <v>0</v>
      </c>
      <c r="CB4" s="16" cm="1">
        <f t="array" ref="CB4">IFERROR(SUM(_xlfn._xlws.FILTER(CB8:CB298,ISNUMBER(CB8:CB298))),0)</f>
        <v>0</v>
      </c>
      <c r="CC4" s="16" cm="1">
        <f t="array" ref="CC4">IFERROR(SUM(_xlfn._xlws.FILTER(CC8:CC298,ISNUMBER(CC8:CC298))),0)</f>
        <v>0</v>
      </c>
      <c r="CD4" s="16" cm="1">
        <f t="array" ref="CD4">IFERROR(SUM(_xlfn._xlws.FILTER(CD8:CD298,ISNUMBER(CD8:CD298))),0)</f>
        <v>0</v>
      </c>
      <c r="CE4" s="16" cm="1">
        <f t="array" ref="CE4">IFERROR(SUM(_xlfn._xlws.FILTER(CE8:CE298,ISNUMBER(CE8:CE298))),0)</f>
        <v>0</v>
      </c>
      <c r="CF4" s="16" cm="1">
        <f t="array" ref="CF4">IFERROR(SUM(_xlfn._xlws.FILTER(CF8:CF298,ISNUMBER(CF8:CF298))),0)</f>
        <v>0</v>
      </c>
      <c r="CG4" s="16" cm="1">
        <f t="array" ref="CG4">IFERROR(SUM(_xlfn._xlws.FILTER(CG8:CG298,ISNUMBER(CG8:CG298))),0)</f>
        <v>0</v>
      </c>
      <c r="CH4" s="16" cm="1">
        <f t="array" ref="CH4">IFERROR(SUM(_xlfn._xlws.FILTER(CH8:CH298,ISNUMBER(CH8:CH298))),0)</f>
        <v>0</v>
      </c>
      <c r="CI4" s="16" cm="1">
        <f t="array" ref="CI4">IFERROR(SUM(_xlfn._xlws.FILTER(CI8:CI298,ISNUMBER(CI8:CI298))),0)</f>
        <v>0</v>
      </c>
      <c r="CJ4" s="16" cm="1">
        <f t="array" ref="CJ4">IFERROR(SUM(_xlfn._xlws.FILTER(CJ8:CJ298,ISNUMBER(CJ8:CJ298))),0)</f>
        <v>0</v>
      </c>
      <c r="CK4" s="16" cm="1">
        <f t="array" ref="CK4">IFERROR(SUM(_xlfn._xlws.FILTER(CK8:CK298,ISNUMBER(CK8:CK298))),0)</f>
        <v>0</v>
      </c>
      <c r="CL4" s="16" cm="1">
        <f t="array" ref="CL4">IFERROR(SUM(_xlfn._xlws.FILTER(CL8:CL298,ISNUMBER(CL8:CL298))),0)</f>
        <v>0</v>
      </c>
      <c r="CM4" s="16" cm="1">
        <f t="array" ref="CM4">IFERROR(SUM(_xlfn._xlws.FILTER(CM8:CM298,ISNUMBER(CM8:CM298))),0)</f>
        <v>0</v>
      </c>
      <c r="CN4" s="16" cm="1">
        <f t="array" ref="CN4">IFERROR(SUM(_xlfn._xlws.FILTER(CN8:CN298,ISNUMBER(CN8:CN298))),0)</f>
        <v>0</v>
      </c>
      <c r="CO4" s="16" cm="1">
        <f t="array" ref="CO4">IFERROR(SUM(_xlfn._xlws.FILTER(CO8:CO298,ISNUMBER(CO8:CO298))),0)</f>
        <v>0</v>
      </c>
      <c r="CP4" s="16" cm="1">
        <f t="array" ref="CP4">IFERROR(SUM(_xlfn._xlws.FILTER(CP8:CP298,ISNUMBER(CP8:CP298))),0)</f>
        <v>0</v>
      </c>
      <c r="CQ4" s="16" cm="1">
        <f t="array" ref="CQ4">IFERROR(SUM(_xlfn._xlws.FILTER(CQ8:CQ298,ISNUMBER(CQ8:CQ298))),0)</f>
        <v>0</v>
      </c>
      <c r="CR4" s="16" cm="1">
        <f t="array" ref="CR4">IFERROR(SUM(_xlfn._xlws.FILTER(CR8:CR298,ISNUMBER(CR8:CR298))),0)</f>
        <v>0</v>
      </c>
      <c r="CS4" s="16" cm="1">
        <f t="array" ref="CS4">IFERROR(SUM(_xlfn._xlws.FILTER(CS8:CS298,ISNUMBER(CS8:CS298))),0)</f>
        <v>0</v>
      </c>
      <c r="CT4" s="16" cm="1">
        <f t="array" ref="CT4">IFERROR(SUM(_xlfn._xlws.FILTER(CT8:CT298,ISNUMBER(CT8:CT298))),0)</f>
        <v>0</v>
      </c>
      <c r="CU4" s="16" cm="1">
        <f t="array" ref="CU4">IFERROR(SUM(_xlfn._xlws.FILTER(CU8:CU298,ISNUMBER(CU8:CU298))),0)</f>
        <v>0</v>
      </c>
      <c r="CV4" s="16" cm="1">
        <f t="array" ref="CV4">IFERROR(SUM(_xlfn._xlws.FILTER(CV8:CV298,ISNUMBER(CV8:CV298))),0)</f>
        <v>0</v>
      </c>
      <c r="CW4" s="16" cm="1">
        <f t="array" ref="CW4">IFERROR(SUM(_xlfn._xlws.FILTER(CW8:CW298,ISNUMBER(CW8:CW298))),0)</f>
        <v>0</v>
      </c>
      <c r="CX4" s="16" cm="1">
        <f t="array" ref="CX4">IFERROR(SUM(_xlfn._xlws.FILTER(CX8:CX298,ISNUMBER(CX8:CX298))),0)</f>
        <v>0</v>
      </c>
      <c r="CY4" s="16" cm="1">
        <f t="array" ref="CY4">IFERROR(SUM(_xlfn._xlws.FILTER(CY8:CY298,ISNUMBER(CY8:CY298))),0)</f>
        <v>0</v>
      </c>
      <c r="CZ4" s="16" cm="1">
        <f t="array" ref="CZ4">IFERROR(SUM(_xlfn._xlws.FILTER(CZ8:CZ298,ISNUMBER(CZ8:CZ298))),0)</f>
        <v>0</v>
      </c>
      <c r="DA4" s="16" cm="1">
        <f t="array" ref="DA4">IFERROR(SUM(_xlfn._xlws.FILTER(DA8:DA298,ISNUMBER(DA8:DA298))),0)</f>
        <v>0</v>
      </c>
      <c r="DB4" s="16" cm="1">
        <f t="array" ref="DB4">IFERROR(SUM(_xlfn._xlws.FILTER(DB8:DB298,ISNUMBER(DB8:DB298))),0)</f>
        <v>0</v>
      </c>
      <c r="DC4" s="16" cm="1">
        <f t="array" ref="DC4">IFERROR(SUM(_xlfn._xlws.FILTER(DC8:DC298,ISNUMBER(DC8:DC298))),0)</f>
        <v>0</v>
      </c>
      <c r="DD4" s="16" cm="1">
        <f t="array" ref="DD4">IFERROR(SUM(_xlfn._xlws.FILTER(DD8:DD298,ISNUMBER(DD8:DD298))),0)</f>
        <v>0</v>
      </c>
      <c r="DE4" s="16" cm="1">
        <f t="array" ref="DE4">IFERROR(SUM(_xlfn._xlws.FILTER(DE8:DE298,ISNUMBER(DE8:DE298))),0)</f>
        <v>0</v>
      </c>
      <c r="DF4" s="16" cm="1">
        <f t="array" ref="DF4">IFERROR(SUM(_xlfn._xlws.FILTER(DF8:DF298,ISNUMBER(DF8:DF298))),0)</f>
        <v>0</v>
      </c>
      <c r="DG4" s="16" cm="1">
        <f t="array" ref="DG4">IFERROR(SUM(_xlfn._xlws.FILTER(DG8:DG298,ISNUMBER(DG8:DG298))),0)</f>
        <v>0</v>
      </c>
      <c r="DH4" s="16" cm="1">
        <f t="array" ref="DH4">IFERROR(SUM(_xlfn._xlws.FILTER(DH8:DH298,ISNUMBER(DH8:DH298))),0)</f>
        <v>0</v>
      </c>
      <c r="DI4" s="16" cm="1">
        <f t="array" ref="DI4">IFERROR(SUM(_xlfn._xlws.FILTER(DI8:DI298,ISNUMBER(DI8:DI298))),0)</f>
        <v>0</v>
      </c>
      <c r="DJ4" s="16" cm="1">
        <f t="array" ref="DJ4">IFERROR(SUM(_xlfn._xlws.FILTER(DJ8:DJ298,ISNUMBER(DJ8:DJ298))),0)</f>
        <v>0</v>
      </c>
      <c r="DK4" s="16" cm="1">
        <f t="array" ref="DK4">IFERROR(SUM(_xlfn._xlws.FILTER(DK8:DK298,ISNUMBER(DK8:DK298))),0)</f>
        <v>0</v>
      </c>
      <c r="DL4" s="16" cm="1">
        <f t="array" ref="DL4">IFERROR(SUM(_xlfn._xlws.FILTER(DL8:DL298,ISNUMBER(DL8:DL298))),0)</f>
        <v>0</v>
      </c>
      <c r="DM4" s="16" cm="1">
        <f t="array" ref="DM4">IFERROR(SUM(_xlfn._xlws.FILTER(DM8:DM298,ISNUMBER(DM8:DM298))),0)</f>
        <v>0</v>
      </c>
      <c r="DN4" s="16" cm="1">
        <f t="array" ref="DN4">IFERROR(SUM(_xlfn._xlws.FILTER(DN8:DN298,ISNUMBER(DN8:DN298))),0)</f>
        <v>0</v>
      </c>
      <c r="DO4" s="16" cm="1">
        <f t="array" ref="DO4">IFERROR(SUM(_xlfn._xlws.FILTER(DO8:DO298,ISNUMBER(DO8:DO298))),0)</f>
        <v>0</v>
      </c>
      <c r="DP4" s="16" cm="1">
        <f t="array" ref="DP4">IFERROR(SUM(_xlfn._xlws.FILTER(DP8:DP298,ISNUMBER(DP8:DP298))),0)</f>
        <v>0</v>
      </c>
      <c r="DQ4" s="16" cm="1">
        <f t="array" ref="DQ4">IFERROR(SUM(_xlfn._xlws.FILTER(DQ8:DQ298,ISNUMBER(DQ8:DQ298))),0)</f>
        <v>0</v>
      </c>
      <c r="DR4" s="16" cm="1">
        <f t="array" ref="DR4">IFERROR(SUM(_xlfn._xlws.FILTER(DR8:DR298,ISNUMBER(DR8:DR298))),0)</f>
        <v>0</v>
      </c>
      <c r="DS4" s="16" cm="1">
        <f t="array" ref="DS4">IFERROR(SUM(_xlfn._xlws.FILTER(DS8:DS298,ISNUMBER(DS8:DS298))),0)</f>
        <v>0</v>
      </c>
      <c r="DT4" s="16" cm="1">
        <f t="array" ref="DT4">IFERROR(SUM(_xlfn._xlws.FILTER(DT8:DT298,ISNUMBER(DT8:DT298))),0)</f>
        <v>0</v>
      </c>
      <c r="DU4" s="16" cm="1">
        <f t="array" ref="DU4">IFERROR(SUM(_xlfn._xlws.FILTER(DU8:DU298,ISNUMBER(DU8:DU298))),0)</f>
        <v>0</v>
      </c>
      <c r="DV4" s="16" cm="1">
        <f t="array" ref="DV4">IFERROR(SUM(_xlfn._xlws.FILTER(DV8:DV298,ISNUMBER(DV8:DV298))),0)</f>
        <v>0</v>
      </c>
      <c r="DW4" s="16" cm="1">
        <f t="array" ref="DW4">IFERROR(SUM(_xlfn._xlws.FILTER(DW8:DW298,ISNUMBER(DW8:DW298))),0)</f>
        <v>0</v>
      </c>
      <c r="DX4" s="16" cm="1">
        <f t="array" ref="DX4">IFERROR(SUM(_xlfn._xlws.FILTER(DX8:DX298,ISNUMBER(DX8:DX298))),0)</f>
        <v>0</v>
      </c>
      <c r="DY4" s="16" cm="1">
        <f t="array" ref="DY4">IFERROR(SUM(_xlfn._xlws.FILTER(DY8:DY298,ISNUMBER(DY8:DY298))),0)</f>
        <v>0</v>
      </c>
      <c r="DZ4" s="16" cm="1">
        <f t="array" ref="DZ4">IFERROR(SUM(_xlfn._xlws.FILTER(DZ8:DZ298,ISNUMBER(DZ8:DZ298))),0)</f>
        <v>0</v>
      </c>
      <c r="EA4" s="16" cm="1">
        <f t="array" ref="EA4">IFERROR(SUM(_xlfn._xlws.FILTER(EA8:EA298,ISNUMBER(EA8:EA298))),0)</f>
        <v>0</v>
      </c>
      <c r="EB4" s="16" cm="1">
        <f t="array" ref="EB4">IFERROR(SUM(_xlfn._xlws.FILTER(EB8:EB298,ISNUMBER(EB8:EB298))),0)</f>
        <v>0</v>
      </c>
      <c r="EC4" s="16" cm="1">
        <f t="array" ref="EC4">IFERROR(SUM(_xlfn._xlws.FILTER(EC8:EC298,ISNUMBER(EC8:EC298))),0)</f>
        <v>0</v>
      </c>
      <c r="ED4" s="16" cm="1">
        <f t="array" ref="ED4">IFERROR(SUM(_xlfn._xlws.FILTER(ED8:ED298,ISNUMBER(ED8:ED298))),0)</f>
        <v>0</v>
      </c>
      <c r="EE4" s="16" cm="1">
        <f t="array" ref="EE4">IFERROR(SUM(_xlfn._xlws.FILTER(EE8:EE298,ISNUMBER(EE8:EE298))),0)</f>
        <v>0</v>
      </c>
      <c r="EF4" s="16" cm="1">
        <f t="array" ref="EF4">IFERROR(SUM(_xlfn._xlws.FILTER(EF8:EF298,ISNUMBER(EF8:EF298))),0)</f>
        <v>0</v>
      </c>
      <c r="EG4" s="16" cm="1">
        <f t="array" ref="EG4">IFERROR(SUM(_xlfn._xlws.FILTER(EG8:EG298,ISNUMBER(EG8:EG298))),0)</f>
        <v>0</v>
      </c>
      <c r="EH4" s="16" cm="1">
        <f t="array" ref="EH4">IFERROR(SUM(_xlfn._xlws.FILTER(EH8:EH298,ISNUMBER(EH8:EH298))),0)</f>
        <v>0</v>
      </c>
      <c r="EI4" s="16" cm="1">
        <f t="array" ref="EI4">IFERROR(SUM(_xlfn._xlws.FILTER(EI8:EI298,ISNUMBER(EI8:EI298))),0)</f>
        <v>0</v>
      </c>
      <c r="EJ4" s="16" cm="1">
        <f t="array" ref="EJ4">IFERROR(SUM(_xlfn._xlws.FILTER(EJ8:EJ298,ISNUMBER(EJ8:EJ298))),0)</f>
        <v>0</v>
      </c>
      <c r="EK4" s="16" cm="1">
        <f t="array" ref="EK4">IFERROR(SUM(_xlfn._xlws.FILTER(EK8:EK298,ISNUMBER(EK8:EK298))),0)</f>
        <v>0</v>
      </c>
      <c r="EL4" s="16" cm="1">
        <f t="array" ref="EL4">IFERROR(SUM(_xlfn._xlws.FILTER(EL8:EL298,ISNUMBER(EL8:EL298))),0)</f>
        <v>0</v>
      </c>
      <c r="EM4" s="16" cm="1">
        <f t="array" ref="EM4">IFERROR(SUM(_xlfn._xlws.FILTER(EM8:EM298,ISNUMBER(EM8:EM298))),0)</f>
        <v>0</v>
      </c>
      <c r="EN4" s="16" cm="1">
        <f t="array" ref="EN4">IFERROR(SUM(_xlfn._xlws.FILTER(EN8:EN298,ISNUMBER(EN8:EN298))),0)</f>
        <v>0</v>
      </c>
      <c r="EO4" s="16" cm="1">
        <f t="array" ref="EO4">IFERROR(SUM(_xlfn._xlws.FILTER(EO8:EO298,ISNUMBER(EO8:EO298))),0)</f>
        <v>0</v>
      </c>
      <c r="EP4" s="16" cm="1">
        <f t="array" ref="EP4">IFERROR(SUM(_xlfn._xlws.FILTER(EP8:EP298,ISNUMBER(EP8:EP298))),0)</f>
        <v>0</v>
      </c>
      <c r="EQ4" s="16" cm="1">
        <f t="array" ref="EQ4">IFERROR(SUM(_xlfn._xlws.FILTER(EQ8:EQ298,ISNUMBER(EQ8:EQ298))),0)</f>
        <v>0</v>
      </c>
      <c r="ER4" s="16" cm="1">
        <f t="array" ref="ER4">IFERROR(SUM(_xlfn._xlws.FILTER(ER8:ER298,ISNUMBER(ER8:ER298))),0)</f>
        <v>0</v>
      </c>
      <c r="ES4" s="16" cm="1">
        <f t="array" ref="ES4">IFERROR(SUM(_xlfn._xlws.FILTER(ES8:ES298,ISNUMBER(ES8:ES298))),0)</f>
        <v>0</v>
      </c>
      <c r="ET4" s="16" cm="1">
        <f t="array" ref="ET4">IFERROR(SUM(_xlfn._xlws.FILTER(ET8:ET298,ISNUMBER(ET8:ET298))),0)</f>
        <v>0</v>
      </c>
      <c r="EU4" s="16" cm="1">
        <f t="array" ref="EU4">IFERROR(SUM(_xlfn._xlws.FILTER(EU8:EU298,ISNUMBER(EU8:EU298))),0)</f>
        <v>0</v>
      </c>
      <c r="EV4" s="16" cm="1">
        <f t="array" ref="EV4">IFERROR(SUM(_xlfn._xlws.FILTER(EV8:EV298,ISNUMBER(EV8:EV298))),0)</f>
        <v>0</v>
      </c>
      <c r="EW4" s="16" cm="1">
        <f t="array" ref="EW4">IFERROR(SUM(_xlfn._xlws.FILTER(EW8:EW298,ISNUMBER(EW8:EW298))),0)</f>
        <v>0</v>
      </c>
      <c r="EX4" s="16" cm="1">
        <f t="array" ref="EX4">IFERROR(SUM(_xlfn._xlws.FILTER(EX8:EX298,ISNUMBER(EX8:EX298))),0)</f>
        <v>0</v>
      </c>
      <c r="EY4" s="16" cm="1">
        <f t="array" ref="EY4">IFERROR(SUM(_xlfn._xlws.FILTER(EY8:EY298,ISNUMBER(EY8:EY298))),0)</f>
        <v>0</v>
      </c>
      <c r="EZ4" s="16" cm="1">
        <f t="array" ref="EZ4">IFERROR(SUM(_xlfn._xlws.FILTER(EZ8:EZ298,ISNUMBER(EZ8:EZ298))),0)</f>
        <v>0</v>
      </c>
      <c r="FA4" s="16" cm="1">
        <f t="array" ref="FA4">IFERROR(SUM(_xlfn._xlws.FILTER(FA8:FA298,ISNUMBER(FA8:FA298))),0)</f>
        <v>0</v>
      </c>
      <c r="FB4" s="16" cm="1">
        <f t="array" ref="FB4">IFERROR(SUM(_xlfn._xlws.FILTER(FB8:FB298,ISNUMBER(FB8:FB298))),0)</f>
        <v>0</v>
      </c>
      <c r="FC4" s="16" cm="1">
        <f t="array" ref="FC4">IFERROR(SUM(_xlfn._xlws.FILTER(FC8:FC298,ISNUMBER(FC8:FC298))),0)</f>
        <v>0</v>
      </c>
      <c r="FD4" s="16" cm="1">
        <f t="array" ref="FD4">IFERROR(SUM(_xlfn._xlws.FILTER(FD8:FD298,ISNUMBER(FD8:FD298))),0)</f>
        <v>0</v>
      </c>
      <c r="FE4" s="16" cm="1">
        <f t="array" ref="FE4">IFERROR(SUM(_xlfn._xlws.FILTER(FE8:FE298,ISNUMBER(FE8:FE298))),0)</f>
        <v>0</v>
      </c>
      <c r="FF4" s="16" cm="1">
        <f t="array" ref="FF4">IFERROR(SUM(_xlfn._xlws.FILTER(FF8:FF298,ISNUMBER(FF8:FF298))),0)</f>
        <v>0</v>
      </c>
      <c r="FG4" s="16" cm="1">
        <f t="array" ref="FG4">IFERROR(SUM(_xlfn._xlws.FILTER(FG8:FG298,ISNUMBER(FG8:FG298))),0)</f>
        <v>0</v>
      </c>
      <c r="FH4" s="16" cm="1">
        <f t="array" ref="FH4">IFERROR(SUM(_xlfn._xlws.FILTER(FH8:FH298,ISNUMBER(FH8:FH298))),0)</f>
        <v>0</v>
      </c>
      <c r="FI4" s="16" cm="1">
        <f t="array" ref="FI4">IFERROR(SUM(_xlfn._xlws.FILTER(FI8:FI298,ISNUMBER(FI8:FI298))),0)</f>
        <v>0</v>
      </c>
      <c r="FJ4" s="16" cm="1">
        <f t="array" ref="FJ4">IFERROR(SUM(_xlfn._xlws.FILTER(FJ8:FJ298,ISNUMBER(FJ8:FJ298))),0)</f>
        <v>0</v>
      </c>
      <c r="FK4" s="16" cm="1">
        <f t="array" ref="FK4">IFERROR(SUM(_xlfn._xlws.FILTER(FK8:FK298,ISNUMBER(FK8:FK298))),0)</f>
        <v>0</v>
      </c>
      <c r="FL4" s="16" cm="1">
        <f t="array" ref="FL4">IFERROR(SUM(_xlfn._xlws.FILTER(FL8:FL298,ISNUMBER(FL8:FL298))),0)</f>
        <v>0</v>
      </c>
      <c r="FM4" s="16" cm="1">
        <f t="array" ref="FM4">IFERROR(SUM(_xlfn._xlws.FILTER(FM8:FM298,ISNUMBER(FM8:FM298))),0)</f>
        <v>0</v>
      </c>
      <c r="FN4" s="16" cm="1">
        <f t="array" ref="FN4">IFERROR(SUM(_xlfn._xlws.FILTER(FN8:FN298,ISNUMBER(FN8:FN298))),0)</f>
        <v>0</v>
      </c>
      <c r="FO4" s="16" cm="1">
        <f t="array" ref="FO4">IFERROR(SUM(_xlfn._xlws.FILTER(FO8:FO298,ISNUMBER(FO8:FO298))),0)</f>
        <v>0</v>
      </c>
      <c r="FP4" s="16" cm="1">
        <f t="array" ref="FP4">IFERROR(SUM(_xlfn._xlws.FILTER(FP8:FP298,ISNUMBER(FP8:FP298))),0)</f>
        <v>0</v>
      </c>
      <c r="FQ4" s="16" cm="1">
        <f t="array" ref="FQ4">IFERROR(SUM(_xlfn._xlws.FILTER(FQ8:FQ298,ISNUMBER(FQ8:FQ298))),0)</f>
        <v>0</v>
      </c>
      <c r="FR4" s="16" cm="1">
        <f t="array" ref="FR4">IFERROR(SUM(_xlfn._xlws.FILTER(FR8:FR298,ISNUMBER(FR8:FR298))),0)</f>
        <v>0</v>
      </c>
      <c r="FS4" s="16" cm="1">
        <f t="array" ref="FS4">IFERROR(SUM(_xlfn._xlws.FILTER(FS8:FS298,ISNUMBER(FS8:FS298))),0)</f>
        <v>0</v>
      </c>
      <c r="FT4" s="16" cm="1">
        <f t="array" ref="FT4">IFERROR(SUM(_xlfn._xlws.FILTER(FT8:FT298,ISNUMBER(FT8:FT298))),0)</f>
        <v>0</v>
      </c>
      <c r="FU4" s="16" cm="1">
        <f t="array" ref="FU4">IFERROR(SUM(_xlfn._xlws.FILTER(FU8:FU298,ISNUMBER(FU8:FU298))),0)</f>
        <v>0</v>
      </c>
      <c r="FV4" s="16" cm="1">
        <f t="array" ref="FV4">IFERROR(SUM(_xlfn._xlws.FILTER(FV8:FV298,ISNUMBER(FV8:FV298))),0)</f>
        <v>0</v>
      </c>
      <c r="FW4" s="16" cm="1">
        <f t="array" ref="FW4">IFERROR(SUM(_xlfn._xlws.FILTER(FW8:FW298,ISNUMBER(FW8:FW298))),0)</f>
        <v>0</v>
      </c>
      <c r="FX4" s="16" cm="1">
        <f t="array" ref="FX4">IFERROR(SUM(_xlfn._xlws.FILTER(FX8:FX298,ISNUMBER(FX8:FX298))),0)</f>
        <v>0</v>
      </c>
      <c r="FY4" s="16" cm="1">
        <f t="array" ref="FY4">IFERROR(SUM(_xlfn._xlws.FILTER(FY8:FY298,ISNUMBER(FY8:FY298))),0)</f>
        <v>0</v>
      </c>
      <c r="FZ4" s="16" cm="1">
        <f t="array" ref="FZ4">IFERROR(SUM(_xlfn._xlws.FILTER(FZ8:FZ298,ISNUMBER(FZ8:FZ298))),0)</f>
        <v>0</v>
      </c>
      <c r="GA4" s="16" cm="1">
        <f t="array" ref="GA4">IFERROR(SUM(_xlfn._xlws.FILTER(GA8:GA298,ISNUMBER(GA8:GA298))),0)</f>
        <v>0</v>
      </c>
      <c r="GB4" s="16" cm="1">
        <f t="array" ref="GB4">IFERROR(SUM(_xlfn._xlws.FILTER(GB8:GB298,ISNUMBER(GB8:GB298))),0)</f>
        <v>0</v>
      </c>
      <c r="GC4" s="16" cm="1">
        <f t="array" ref="GC4">IFERROR(SUM(_xlfn._xlws.FILTER(GC8:GC298,ISNUMBER(GC8:GC298))),0)</f>
        <v>0</v>
      </c>
      <c r="GD4" s="16" cm="1">
        <f t="array" ref="GD4">IFERROR(SUM(_xlfn._xlws.FILTER(GD8:GD298,ISNUMBER(GD8:GD298))),0)</f>
        <v>0</v>
      </c>
      <c r="GE4" s="16" cm="1">
        <f t="array" ref="GE4">IFERROR(SUM(_xlfn._xlws.FILTER(GE8:GE298,ISNUMBER(GE8:GE298))),0)</f>
        <v>0</v>
      </c>
      <c r="GF4" s="16" cm="1">
        <f t="array" ref="GF4">IFERROR(SUM(_xlfn._xlws.FILTER(GF8:GF298,ISNUMBER(GF8:GF298))),0)</f>
        <v>0</v>
      </c>
      <c r="GG4" s="16" cm="1">
        <f t="array" ref="GG4">IFERROR(SUM(_xlfn._xlws.FILTER(GG8:GG298,ISNUMBER(GG8:GG298))),0)</f>
        <v>0</v>
      </c>
      <c r="GH4" s="16" cm="1">
        <f t="array" ref="GH4">IFERROR(SUM(_xlfn._xlws.FILTER(GH8:GH298,ISNUMBER(GH8:GH298))),0)</f>
        <v>0</v>
      </c>
      <c r="GI4" s="490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</row>
    <row r="5" spans="1:204" s="98" customFormat="1" ht="15.75" customHeight="1">
      <c r="A5" s="159"/>
      <c r="B5" s="160"/>
      <c r="C5" s="114"/>
      <c r="D5" s="115"/>
      <c r="E5" s="6" t="s">
        <v>6</v>
      </c>
      <c r="F5" s="155">
        <v>1</v>
      </c>
      <c r="G5" s="155">
        <v>2</v>
      </c>
      <c r="H5" s="155">
        <v>3</v>
      </c>
      <c r="I5" s="155">
        <v>4</v>
      </c>
      <c r="J5" s="155">
        <v>5</v>
      </c>
      <c r="K5" s="155">
        <v>6</v>
      </c>
      <c r="L5" s="155">
        <v>7</v>
      </c>
      <c r="M5" s="155">
        <v>8</v>
      </c>
      <c r="N5" s="155">
        <v>9</v>
      </c>
      <c r="O5" s="155">
        <v>10</v>
      </c>
      <c r="P5" s="155">
        <v>11</v>
      </c>
      <c r="Q5" s="155">
        <v>12</v>
      </c>
      <c r="R5" s="155">
        <v>13</v>
      </c>
      <c r="S5" s="155">
        <v>14</v>
      </c>
      <c r="T5" s="155">
        <v>15</v>
      </c>
      <c r="U5" s="155">
        <v>16</v>
      </c>
      <c r="V5" s="155">
        <v>17</v>
      </c>
      <c r="W5" s="155">
        <v>18</v>
      </c>
      <c r="X5" s="155">
        <v>19</v>
      </c>
      <c r="Y5" s="155">
        <v>20</v>
      </c>
      <c r="Z5" s="155">
        <v>21</v>
      </c>
      <c r="AA5" s="155">
        <v>22</v>
      </c>
      <c r="AB5" s="155">
        <v>23</v>
      </c>
      <c r="AC5" s="155">
        <v>24</v>
      </c>
      <c r="AD5" s="155">
        <v>25</v>
      </c>
      <c r="AE5" s="155">
        <v>26</v>
      </c>
      <c r="AF5" s="155">
        <v>27</v>
      </c>
      <c r="AG5" s="155">
        <v>28</v>
      </c>
      <c r="AH5" s="155">
        <v>29</v>
      </c>
      <c r="AI5" s="155">
        <v>30</v>
      </c>
      <c r="AJ5" s="155">
        <v>31</v>
      </c>
      <c r="AK5" s="155">
        <v>32</v>
      </c>
      <c r="AL5" s="155">
        <v>33</v>
      </c>
      <c r="AM5" s="155">
        <v>34</v>
      </c>
      <c r="AN5" s="155">
        <v>35</v>
      </c>
      <c r="AO5" s="155">
        <v>36</v>
      </c>
      <c r="AP5" s="155">
        <v>37</v>
      </c>
      <c r="AQ5" s="155">
        <v>38</v>
      </c>
      <c r="AR5" s="155">
        <v>39</v>
      </c>
      <c r="AS5" s="155">
        <v>40</v>
      </c>
      <c r="AT5" s="155">
        <v>41</v>
      </c>
      <c r="AU5" s="155">
        <v>42</v>
      </c>
      <c r="AV5" s="155">
        <v>43</v>
      </c>
      <c r="AW5" s="155">
        <v>44</v>
      </c>
      <c r="AX5" s="155">
        <v>45</v>
      </c>
      <c r="AY5" s="155">
        <v>46</v>
      </c>
      <c r="AZ5" s="155">
        <v>47</v>
      </c>
      <c r="BA5" s="155">
        <v>48</v>
      </c>
      <c r="BB5" s="155">
        <v>49</v>
      </c>
      <c r="BC5" s="155">
        <v>50</v>
      </c>
      <c r="BD5" s="155">
        <v>51</v>
      </c>
      <c r="BE5" s="155">
        <v>52</v>
      </c>
      <c r="BF5" s="155">
        <v>53</v>
      </c>
      <c r="BG5" s="155">
        <v>54</v>
      </c>
      <c r="BH5" s="155">
        <v>55</v>
      </c>
      <c r="BI5" s="155">
        <v>56</v>
      </c>
      <c r="BJ5" s="155">
        <v>57</v>
      </c>
      <c r="BK5" s="155">
        <v>58</v>
      </c>
      <c r="BL5" s="155">
        <v>59</v>
      </c>
      <c r="BM5" s="155">
        <v>60</v>
      </c>
      <c r="BN5" s="155">
        <v>61</v>
      </c>
      <c r="BO5" s="155">
        <v>62</v>
      </c>
      <c r="BP5" s="155">
        <v>63</v>
      </c>
      <c r="BQ5" s="155">
        <v>64</v>
      </c>
      <c r="BR5" s="155">
        <v>65</v>
      </c>
      <c r="BS5" s="155">
        <v>66</v>
      </c>
      <c r="BT5" s="155">
        <v>67</v>
      </c>
      <c r="BU5" s="155">
        <v>68</v>
      </c>
      <c r="BV5" s="155">
        <v>69</v>
      </c>
      <c r="BW5" s="155">
        <v>70</v>
      </c>
      <c r="BX5" s="155">
        <v>71</v>
      </c>
      <c r="BY5" s="155">
        <v>72</v>
      </c>
      <c r="BZ5" s="155">
        <v>73</v>
      </c>
      <c r="CA5" s="155">
        <v>74</v>
      </c>
      <c r="CB5" s="155">
        <v>75</v>
      </c>
      <c r="CC5" s="155">
        <v>76</v>
      </c>
      <c r="CD5" s="155">
        <v>77</v>
      </c>
      <c r="CE5" s="155">
        <v>78</v>
      </c>
      <c r="CF5" s="155">
        <v>79</v>
      </c>
      <c r="CG5" s="155">
        <v>80</v>
      </c>
      <c r="CH5" s="155">
        <v>81</v>
      </c>
      <c r="CI5" s="155">
        <v>82</v>
      </c>
      <c r="CJ5" s="155">
        <v>83</v>
      </c>
      <c r="CK5" s="155">
        <v>84</v>
      </c>
      <c r="CL5" s="155">
        <v>85</v>
      </c>
      <c r="CM5" s="155">
        <v>86</v>
      </c>
      <c r="CN5" s="155">
        <v>87</v>
      </c>
      <c r="CO5" s="155">
        <v>88</v>
      </c>
      <c r="CP5" s="155">
        <v>89</v>
      </c>
      <c r="CQ5" s="155">
        <v>90</v>
      </c>
      <c r="CR5" s="155">
        <v>91</v>
      </c>
      <c r="CS5" s="155">
        <v>92</v>
      </c>
      <c r="CT5" s="155">
        <v>93</v>
      </c>
      <c r="CU5" s="155">
        <v>94</v>
      </c>
      <c r="CV5" s="155">
        <v>95</v>
      </c>
      <c r="CW5" s="155">
        <v>96</v>
      </c>
      <c r="CX5" s="155">
        <v>97</v>
      </c>
      <c r="CY5" s="155">
        <v>98</v>
      </c>
      <c r="CZ5" s="155">
        <v>99</v>
      </c>
      <c r="DA5" s="155">
        <v>100</v>
      </c>
      <c r="DB5" s="155">
        <v>101</v>
      </c>
      <c r="DC5" s="155">
        <v>102</v>
      </c>
      <c r="DD5" s="155">
        <v>103</v>
      </c>
      <c r="DE5" s="155">
        <v>104</v>
      </c>
      <c r="DF5" s="155">
        <v>105</v>
      </c>
      <c r="DG5" s="155">
        <v>106</v>
      </c>
      <c r="DH5" s="155">
        <v>107</v>
      </c>
      <c r="DI5" s="155">
        <v>108</v>
      </c>
      <c r="DJ5" s="155">
        <v>109</v>
      </c>
      <c r="DK5" s="155">
        <v>110</v>
      </c>
      <c r="DL5" s="155">
        <v>111</v>
      </c>
      <c r="DM5" s="155">
        <v>112</v>
      </c>
      <c r="DN5" s="155">
        <v>113</v>
      </c>
      <c r="DO5" s="155">
        <v>114</v>
      </c>
      <c r="DP5" s="155">
        <v>115</v>
      </c>
      <c r="DQ5" s="155">
        <v>116</v>
      </c>
      <c r="DR5" s="155">
        <v>117</v>
      </c>
      <c r="DS5" s="155">
        <v>118</v>
      </c>
      <c r="DT5" s="155">
        <v>119</v>
      </c>
      <c r="DU5" s="155">
        <v>120</v>
      </c>
      <c r="DV5" s="155">
        <v>121</v>
      </c>
      <c r="DW5" s="155">
        <v>122</v>
      </c>
      <c r="DX5" s="155">
        <v>123</v>
      </c>
      <c r="DY5" s="155">
        <v>124</v>
      </c>
      <c r="DZ5" s="155">
        <v>125</v>
      </c>
      <c r="EA5" s="155">
        <v>126</v>
      </c>
      <c r="EB5" s="155">
        <v>127</v>
      </c>
      <c r="EC5" s="155">
        <v>128</v>
      </c>
      <c r="ED5" s="155">
        <v>129</v>
      </c>
      <c r="EE5" s="155">
        <v>130</v>
      </c>
      <c r="EF5" s="155">
        <v>131</v>
      </c>
      <c r="EG5" s="155">
        <v>132</v>
      </c>
      <c r="EH5" s="155">
        <v>133</v>
      </c>
      <c r="EI5" s="155">
        <v>134</v>
      </c>
      <c r="EJ5" s="155">
        <v>135</v>
      </c>
      <c r="EK5" s="155">
        <v>136</v>
      </c>
      <c r="EL5" s="155">
        <v>137</v>
      </c>
      <c r="EM5" s="155">
        <v>138</v>
      </c>
      <c r="EN5" s="155">
        <v>139</v>
      </c>
      <c r="EO5" s="155">
        <v>140</v>
      </c>
      <c r="EP5" s="155">
        <v>141</v>
      </c>
      <c r="EQ5" s="155">
        <v>142</v>
      </c>
      <c r="ER5" s="155">
        <v>143</v>
      </c>
      <c r="ES5" s="155">
        <v>144</v>
      </c>
      <c r="ET5" s="155">
        <v>145</v>
      </c>
      <c r="EU5" s="155">
        <v>146</v>
      </c>
      <c r="EV5" s="155">
        <v>147</v>
      </c>
      <c r="EW5" s="155">
        <v>148</v>
      </c>
      <c r="EX5" s="155">
        <v>149</v>
      </c>
      <c r="EY5" s="155">
        <v>150</v>
      </c>
      <c r="EZ5" s="155">
        <v>151</v>
      </c>
      <c r="FA5" s="155">
        <v>152</v>
      </c>
      <c r="FB5" s="155">
        <v>153</v>
      </c>
      <c r="FC5" s="155">
        <v>154</v>
      </c>
      <c r="FD5" s="155">
        <v>155</v>
      </c>
      <c r="FE5" s="155">
        <v>156</v>
      </c>
      <c r="FF5" s="155">
        <v>157</v>
      </c>
      <c r="FG5" s="155">
        <v>158</v>
      </c>
      <c r="FH5" s="155">
        <v>159</v>
      </c>
      <c r="FI5" s="155">
        <v>160</v>
      </c>
      <c r="FJ5" s="155">
        <v>161</v>
      </c>
      <c r="FK5" s="155">
        <v>162</v>
      </c>
      <c r="FL5" s="155">
        <v>163</v>
      </c>
      <c r="FM5" s="155">
        <v>164</v>
      </c>
      <c r="FN5" s="155">
        <v>165</v>
      </c>
      <c r="FO5" s="155">
        <v>166</v>
      </c>
      <c r="FP5" s="155">
        <v>167</v>
      </c>
      <c r="FQ5" s="155">
        <v>168</v>
      </c>
      <c r="FR5" s="155">
        <v>169</v>
      </c>
      <c r="FS5" s="155">
        <v>170</v>
      </c>
      <c r="FT5" s="155">
        <v>171</v>
      </c>
      <c r="FU5" s="155">
        <v>172</v>
      </c>
      <c r="FV5" s="155">
        <v>173</v>
      </c>
      <c r="FW5" s="155">
        <v>174</v>
      </c>
      <c r="FX5" s="155">
        <v>175</v>
      </c>
      <c r="FY5" s="155">
        <v>176</v>
      </c>
      <c r="FZ5" s="155">
        <v>177</v>
      </c>
      <c r="GA5" s="155">
        <v>178</v>
      </c>
      <c r="GB5" s="155">
        <v>179</v>
      </c>
      <c r="GC5" s="155">
        <v>180</v>
      </c>
      <c r="GD5" s="155">
        <v>181</v>
      </c>
      <c r="GE5" s="155">
        <v>182</v>
      </c>
      <c r="GF5" s="155">
        <v>183</v>
      </c>
      <c r="GG5" s="155">
        <v>184</v>
      </c>
      <c r="GH5" s="155">
        <v>185</v>
      </c>
      <c r="GI5" s="490"/>
    </row>
    <row r="6" spans="1:204" s="158" customFormat="1" ht="18" customHeight="1">
      <c r="A6" s="99"/>
      <c r="B6" s="100"/>
      <c r="C6" s="100"/>
      <c r="D6" s="101" cm="1">
        <f t="array" ref="D6">IFERROR(SUM(_xlfn._xlws.FILTER(F6:GI6,ISNUMBER(F6:GI6))),0)</f>
        <v>0</v>
      </c>
      <c r="E6" s="77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  <c r="AO6" s="292"/>
      <c r="AP6" s="292"/>
      <c r="AQ6" s="292"/>
      <c r="AR6" s="292"/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2"/>
      <c r="BD6" s="292"/>
      <c r="BE6" s="292"/>
      <c r="BF6" s="292"/>
      <c r="BG6" s="292"/>
      <c r="BH6" s="292"/>
      <c r="BI6" s="292"/>
      <c r="BJ6" s="292"/>
      <c r="BK6" s="292"/>
      <c r="BL6" s="292"/>
      <c r="BM6" s="292"/>
      <c r="BN6" s="292"/>
      <c r="BO6" s="292"/>
      <c r="BP6" s="292"/>
      <c r="BQ6" s="292"/>
      <c r="BR6" s="292"/>
      <c r="BS6" s="292"/>
      <c r="BT6" s="292"/>
      <c r="BU6" s="292"/>
      <c r="BV6" s="292"/>
      <c r="BW6" s="292"/>
      <c r="BX6" s="292"/>
      <c r="BY6" s="292"/>
      <c r="BZ6" s="292"/>
      <c r="CA6" s="292"/>
      <c r="CB6" s="292"/>
      <c r="CC6" s="292"/>
      <c r="CD6" s="292"/>
      <c r="CE6" s="156"/>
      <c r="CF6" s="156"/>
      <c r="CG6" s="156"/>
      <c r="CH6" s="156"/>
      <c r="CI6" s="156"/>
      <c r="CJ6" s="156"/>
      <c r="CK6" s="156"/>
      <c r="CL6" s="156"/>
      <c r="CM6" s="156"/>
      <c r="CN6" s="156"/>
      <c r="CO6" s="156"/>
      <c r="CP6" s="156"/>
      <c r="CQ6" s="156"/>
      <c r="CR6" s="156"/>
      <c r="CS6" s="156"/>
      <c r="CT6" s="156"/>
      <c r="CU6" s="156"/>
      <c r="CV6" s="156"/>
      <c r="CW6" s="156"/>
      <c r="CX6" s="156"/>
      <c r="CY6" s="156"/>
      <c r="CZ6" s="156"/>
      <c r="DA6" s="156"/>
      <c r="DB6" s="156"/>
      <c r="DC6" s="156"/>
      <c r="DD6" s="156"/>
      <c r="DE6" s="156"/>
      <c r="DF6" s="156"/>
      <c r="DG6" s="156"/>
      <c r="DH6" s="156"/>
      <c r="DI6" s="156"/>
      <c r="DJ6" s="156"/>
      <c r="DK6" s="156"/>
      <c r="DL6" s="156"/>
      <c r="DM6" s="156"/>
      <c r="DN6" s="156"/>
      <c r="DO6" s="156"/>
      <c r="DP6" s="156"/>
      <c r="DQ6" s="156"/>
      <c r="DR6" s="156"/>
      <c r="DS6" s="156"/>
      <c r="DT6" s="156"/>
      <c r="DU6" s="156"/>
      <c r="DV6" s="156"/>
      <c r="DW6" s="156"/>
      <c r="DX6" s="156"/>
      <c r="DY6" s="156"/>
      <c r="DZ6" s="156"/>
      <c r="EA6" s="156"/>
      <c r="EB6" s="156"/>
      <c r="EC6" s="156"/>
      <c r="ED6" s="156"/>
      <c r="EE6" s="156"/>
      <c r="EF6" s="156"/>
      <c r="EG6" s="156"/>
      <c r="EH6" s="156"/>
      <c r="EI6" s="156"/>
      <c r="EJ6" s="156"/>
      <c r="EK6" s="156"/>
      <c r="EL6" s="156"/>
      <c r="EM6" s="156"/>
      <c r="EN6" s="156"/>
      <c r="EO6" s="156"/>
      <c r="EP6" s="156"/>
      <c r="EQ6" s="156"/>
      <c r="ER6" s="156"/>
      <c r="ES6" s="156"/>
      <c r="ET6" s="156"/>
      <c r="EU6" s="156"/>
      <c r="EV6" s="156"/>
      <c r="EW6" s="156"/>
      <c r="EX6" s="156"/>
      <c r="EY6" s="156"/>
      <c r="EZ6" s="156"/>
      <c r="FA6" s="156"/>
      <c r="FB6" s="156"/>
      <c r="FC6" s="156"/>
      <c r="FD6" s="156"/>
      <c r="FE6" s="156"/>
      <c r="FF6" s="156"/>
      <c r="FG6" s="156"/>
      <c r="FH6" s="156"/>
      <c r="FI6" s="156"/>
      <c r="FJ6" s="156"/>
      <c r="FK6" s="156"/>
      <c r="FL6" s="156"/>
      <c r="FM6" s="156"/>
      <c r="FN6" s="156"/>
      <c r="FO6" s="156"/>
      <c r="FP6" s="156"/>
      <c r="FQ6" s="156"/>
      <c r="FR6" s="156"/>
      <c r="FS6" s="156"/>
      <c r="FT6" s="156"/>
      <c r="FU6" s="156"/>
      <c r="FV6" s="156"/>
      <c r="FW6" s="156"/>
      <c r="FX6" s="156"/>
      <c r="FY6" s="156"/>
      <c r="FZ6" s="156"/>
      <c r="GA6" s="156"/>
      <c r="GB6" s="156"/>
      <c r="GC6" s="156"/>
      <c r="GD6" s="156"/>
      <c r="GE6" s="156"/>
      <c r="GF6" s="156"/>
      <c r="GG6" s="156"/>
      <c r="GH6" s="156"/>
      <c r="GI6" s="491"/>
      <c r="GJ6" s="157"/>
      <c r="GK6" s="157"/>
    </row>
    <row r="7" spans="1:204" s="118" customFormat="1" ht="32.25" customHeight="1">
      <c r="A7" s="166" t="s">
        <v>2</v>
      </c>
      <c r="B7" s="167" t="s">
        <v>3</v>
      </c>
      <c r="C7" s="167" t="s">
        <v>4</v>
      </c>
      <c r="D7" s="168" t="s">
        <v>15</v>
      </c>
      <c r="E7" s="116"/>
      <c r="F7" s="293"/>
      <c r="G7" s="294"/>
      <c r="H7" s="294"/>
      <c r="I7" s="294"/>
      <c r="J7" s="294"/>
      <c r="K7" s="294"/>
      <c r="L7" s="294"/>
      <c r="M7" s="294"/>
      <c r="N7" s="294"/>
      <c r="O7" s="294"/>
      <c r="P7" s="294"/>
      <c r="Q7" s="294"/>
      <c r="R7" s="294"/>
      <c r="S7" s="294"/>
      <c r="T7" s="294"/>
      <c r="U7" s="294"/>
      <c r="V7" s="294"/>
      <c r="W7" s="294"/>
      <c r="X7" s="294"/>
      <c r="Y7" s="294"/>
      <c r="Z7" s="294"/>
      <c r="AA7" s="294"/>
      <c r="AB7" s="294"/>
      <c r="AC7" s="294"/>
      <c r="AD7" s="294"/>
      <c r="AE7" s="294"/>
      <c r="AF7" s="294"/>
      <c r="AG7" s="294"/>
      <c r="AH7" s="294"/>
      <c r="AI7" s="294"/>
      <c r="AJ7" s="294"/>
      <c r="AK7" s="294"/>
      <c r="AL7" s="294"/>
      <c r="AM7" s="294"/>
      <c r="AN7" s="294"/>
      <c r="AO7" s="294"/>
      <c r="AP7" s="294"/>
      <c r="AQ7" s="294"/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4"/>
      <c r="BG7" s="294"/>
      <c r="BH7" s="294"/>
      <c r="BI7" s="294"/>
      <c r="BJ7" s="294"/>
      <c r="BK7" s="294"/>
      <c r="BL7" s="294"/>
      <c r="BM7" s="294"/>
      <c r="BN7" s="294"/>
      <c r="BO7" s="294"/>
      <c r="BP7" s="294"/>
      <c r="BQ7" s="294"/>
      <c r="BR7" s="294"/>
      <c r="BS7" s="295"/>
      <c r="BT7" s="295"/>
      <c r="BU7" s="294"/>
      <c r="BV7" s="294"/>
      <c r="BW7" s="294"/>
      <c r="BX7" s="294"/>
      <c r="BY7" s="294"/>
      <c r="BZ7" s="294"/>
      <c r="CA7" s="294"/>
      <c r="CB7" s="294"/>
      <c r="CC7" s="294"/>
      <c r="CD7" s="294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7"/>
      <c r="DF7" s="117"/>
      <c r="DG7" s="117"/>
      <c r="DH7" s="117"/>
      <c r="DI7" s="117"/>
      <c r="DJ7" s="117"/>
      <c r="DK7" s="117"/>
      <c r="DL7" s="117"/>
      <c r="DM7" s="117"/>
      <c r="DN7" s="117"/>
      <c r="DO7" s="117"/>
      <c r="DP7" s="117"/>
      <c r="DQ7" s="117"/>
      <c r="DR7" s="117"/>
      <c r="DS7" s="117"/>
      <c r="DT7" s="117"/>
      <c r="DU7" s="117"/>
      <c r="DV7" s="117"/>
      <c r="DW7" s="117"/>
      <c r="DX7" s="117"/>
      <c r="DY7" s="117"/>
      <c r="DZ7" s="117"/>
      <c r="EA7" s="117"/>
      <c r="EB7" s="117"/>
      <c r="EC7" s="117"/>
      <c r="ED7" s="117"/>
      <c r="EE7" s="117"/>
      <c r="EF7" s="117"/>
      <c r="EG7" s="117"/>
      <c r="EH7" s="117"/>
      <c r="EI7" s="117"/>
      <c r="EJ7" s="117"/>
      <c r="EK7" s="117"/>
      <c r="EL7" s="117"/>
      <c r="EM7" s="117"/>
      <c r="EN7" s="117"/>
      <c r="EO7" s="117"/>
      <c r="EP7" s="117"/>
      <c r="EQ7" s="117"/>
      <c r="ER7" s="117"/>
      <c r="ES7" s="117"/>
      <c r="ET7" s="117"/>
      <c r="EU7" s="117"/>
      <c r="EV7" s="117"/>
      <c r="EW7" s="117"/>
      <c r="EX7" s="117"/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7"/>
      <c r="FL7" s="117"/>
      <c r="FM7" s="117"/>
      <c r="FN7" s="117"/>
      <c r="FO7" s="117"/>
      <c r="FP7" s="117"/>
      <c r="FQ7" s="117"/>
      <c r="FR7" s="117"/>
      <c r="FS7" s="117"/>
      <c r="FT7" s="117"/>
      <c r="FU7" s="117"/>
      <c r="FV7" s="117"/>
      <c r="FW7" s="117"/>
      <c r="FX7" s="117"/>
      <c r="FY7" s="117"/>
      <c r="FZ7" s="117"/>
      <c r="GA7" s="117"/>
      <c r="GB7" s="117"/>
      <c r="GC7" s="117"/>
      <c r="GD7" s="117"/>
      <c r="GE7" s="117"/>
      <c r="GF7" s="117"/>
      <c r="GG7" s="117"/>
      <c r="GH7" s="117"/>
      <c r="GI7" s="117"/>
    </row>
    <row r="8" spans="1:204" s="13" customFormat="1" ht="20.25" customHeight="1">
      <c r="A8" s="117"/>
      <c r="B8" s="119"/>
      <c r="C8" s="120"/>
      <c r="D8" s="121"/>
      <c r="E8" s="103"/>
      <c r="F8" s="296"/>
      <c r="G8" s="296"/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7"/>
      <c r="BT8" s="297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122"/>
      <c r="CF8" s="122"/>
      <c r="CG8" s="122"/>
      <c r="CH8" s="122"/>
      <c r="CI8" s="122"/>
      <c r="CJ8" s="122"/>
      <c r="CK8" s="122"/>
      <c r="CL8" s="122"/>
      <c r="CM8" s="122"/>
      <c r="CN8" s="122"/>
      <c r="CO8" s="122"/>
      <c r="CP8" s="122"/>
      <c r="CQ8" s="122"/>
      <c r="CR8" s="122"/>
      <c r="CS8" s="122"/>
      <c r="CT8" s="122"/>
      <c r="CU8" s="122"/>
      <c r="CV8" s="122"/>
      <c r="CW8" s="122"/>
      <c r="CX8" s="122"/>
      <c r="CY8" s="122"/>
      <c r="CZ8" s="122"/>
      <c r="DA8" s="122"/>
      <c r="DB8" s="122"/>
      <c r="DC8" s="122"/>
      <c r="DD8" s="122"/>
      <c r="DE8" s="122"/>
      <c r="DF8" s="122"/>
      <c r="DG8" s="122"/>
      <c r="DH8" s="122"/>
      <c r="DI8" s="122"/>
      <c r="DJ8" s="122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22"/>
      <c r="EC8" s="122"/>
      <c r="ED8" s="122"/>
      <c r="EE8" s="122"/>
      <c r="EF8" s="122"/>
      <c r="EG8" s="122"/>
      <c r="EH8" s="122"/>
      <c r="EI8" s="122"/>
      <c r="EJ8" s="122"/>
      <c r="EK8" s="122"/>
      <c r="EL8" s="122"/>
      <c r="EM8" s="122"/>
      <c r="EN8" s="122"/>
      <c r="EO8" s="122"/>
      <c r="EP8" s="122"/>
      <c r="EQ8" s="122"/>
      <c r="ER8" s="122"/>
      <c r="ES8" s="122"/>
      <c r="ET8" s="122"/>
      <c r="EU8" s="122"/>
      <c r="EV8" s="122"/>
      <c r="EW8" s="122"/>
      <c r="EX8" s="122"/>
      <c r="EY8" s="122"/>
      <c r="EZ8" s="122"/>
      <c r="FA8" s="122"/>
      <c r="FB8" s="122"/>
      <c r="FC8" s="122"/>
      <c r="FD8" s="122"/>
      <c r="FE8" s="122"/>
      <c r="FF8" s="122"/>
      <c r="FG8" s="122"/>
      <c r="FH8" s="122"/>
      <c r="FI8" s="122"/>
      <c r="FJ8" s="122"/>
      <c r="FK8" s="122"/>
      <c r="FL8" s="122"/>
      <c r="FM8" s="122"/>
      <c r="FN8" s="122"/>
      <c r="FO8" s="122"/>
      <c r="FP8" s="122"/>
      <c r="FQ8" s="122"/>
      <c r="FR8" s="122"/>
      <c r="FS8" s="122"/>
      <c r="FT8" s="122"/>
      <c r="FU8" s="122"/>
      <c r="FV8" s="122"/>
      <c r="FW8" s="122"/>
      <c r="FX8" s="122"/>
      <c r="FY8" s="122"/>
      <c r="FZ8" s="122"/>
      <c r="GA8" s="122"/>
      <c r="GB8" s="122"/>
      <c r="GC8" s="122"/>
      <c r="GD8" s="122"/>
      <c r="GE8" s="122"/>
      <c r="GF8" s="122"/>
      <c r="GG8" s="122"/>
      <c r="GH8" s="122"/>
      <c r="GI8" s="122"/>
    </row>
    <row r="9" spans="1:204" s="13" customFormat="1" ht="20.25" customHeight="1">
      <c r="A9" s="117">
        <v>1</v>
      </c>
      <c r="B9" s="124"/>
      <c r="C9" s="120"/>
      <c r="D9" s="102">
        <f>IFERROR(SUMPRODUCT(F9:HE9,$F$6:$HE$6)/100,0)</f>
        <v>0</v>
      </c>
      <c r="E9" s="103"/>
      <c r="F9" s="296"/>
      <c r="G9" s="296"/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7"/>
      <c r="BT9" s="297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122"/>
      <c r="CF9" s="122"/>
      <c r="CG9" s="122"/>
      <c r="CH9" s="122"/>
      <c r="CI9" s="122"/>
      <c r="CJ9" s="122"/>
      <c r="CK9" s="122"/>
      <c r="CL9" s="122"/>
      <c r="CM9" s="122"/>
      <c r="CN9" s="122"/>
      <c r="CO9" s="122"/>
      <c r="CP9" s="122"/>
      <c r="CQ9" s="122"/>
      <c r="CR9" s="122"/>
      <c r="CS9" s="122"/>
      <c r="CT9" s="122"/>
      <c r="CU9" s="122"/>
      <c r="CV9" s="122"/>
      <c r="CW9" s="122"/>
      <c r="CX9" s="122"/>
      <c r="CY9" s="122"/>
      <c r="CZ9" s="122"/>
      <c r="DA9" s="122"/>
      <c r="DB9" s="122"/>
      <c r="DC9" s="122"/>
      <c r="DD9" s="122"/>
      <c r="DE9" s="122"/>
      <c r="DF9" s="122"/>
      <c r="DG9" s="122"/>
      <c r="DH9" s="122"/>
      <c r="DI9" s="122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22"/>
      <c r="EC9" s="122"/>
      <c r="ED9" s="122"/>
      <c r="EE9" s="122"/>
      <c r="EF9" s="122"/>
      <c r="EG9" s="122"/>
      <c r="EH9" s="122"/>
      <c r="EI9" s="122"/>
      <c r="EJ9" s="122"/>
      <c r="EK9" s="122"/>
      <c r="EL9" s="122"/>
      <c r="EM9" s="122"/>
      <c r="EN9" s="122"/>
      <c r="EO9" s="122"/>
      <c r="EP9" s="122"/>
      <c r="EQ9" s="122"/>
      <c r="ER9" s="122"/>
      <c r="ES9" s="122"/>
      <c r="ET9" s="122"/>
      <c r="EU9" s="122"/>
      <c r="EV9" s="122"/>
      <c r="EW9" s="122"/>
      <c r="EX9" s="122"/>
      <c r="EY9" s="122"/>
      <c r="EZ9" s="122"/>
      <c r="FA9" s="122"/>
      <c r="FB9" s="122"/>
      <c r="FC9" s="122"/>
      <c r="FD9" s="122"/>
      <c r="FE9" s="122"/>
      <c r="FF9" s="122"/>
      <c r="FG9" s="122"/>
      <c r="FH9" s="122"/>
      <c r="FI9" s="122"/>
      <c r="FJ9" s="122"/>
      <c r="FK9" s="122"/>
      <c r="FL9" s="122"/>
      <c r="FM9" s="122"/>
      <c r="FN9" s="122"/>
      <c r="FO9" s="122"/>
      <c r="FP9" s="122"/>
      <c r="FQ9" s="122"/>
      <c r="FR9" s="122"/>
      <c r="FS9" s="122"/>
      <c r="FT9" s="122"/>
      <c r="FU9" s="122"/>
      <c r="FV9" s="122"/>
      <c r="FW9" s="122"/>
      <c r="FX9" s="122"/>
      <c r="FY9" s="122"/>
      <c r="FZ9" s="122"/>
      <c r="GA9" s="122"/>
      <c r="GB9" s="122"/>
      <c r="GC9" s="122"/>
      <c r="GD9" s="122"/>
      <c r="GE9" s="122"/>
      <c r="GF9" s="122"/>
      <c r="GG9" s="122"/>
      <c r="GH9" s="122"/>
      <c r="GI9" s="122"/>
    </row>
    <row r="10" spans="1:204" s="13" customFormat="1" ht="20.25" customHeight="1">
      <c r="A10" s="117"/>
      <c r="B10" s="125"/>
      <c r="C10" s="120"/>
      <c r="D10" s="121"/>
      <c r="E10" s="103"/>
      <c r="F10" s="296"/>
      <c r="G10" s="296"/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7"/>
      <c r="BT10" s="297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J10" s="122"/>
      <c r="FK10" s="122"/>
      <c r="FL10" s="122"/>
      <c r="FM10" s="122"/>
      <c r="FN10" s="122"/>
      <c r="FO10" s="122"/>
      <c r="FP10" s="122"/>
      <c r="FQ10" s="122"/>
      <c r="FR10" s="122"/>
      <c r="FS10" s="122"/>
      <c r="FT10" s="117"/>
      <c r="FU10" s="122"/>
      <c r="FV10" s="122"/>
      <c r="FW10" s="122"/>
      <c r="FX10" s="122"/>
      <c r="FY10" s="122"/>
      <c r="FZ10" s="122"/>
      <c r="GA10" s="122"/>
      <c r="GB10" s="122"/>
      <c r="GC10" s="122"/>
      <c r="GD10" s="122"/>
      <c r="GE10" s="122"/>
      <c r="GF10" s="122"/>
      <c r="GG10" s="122"/>
      <c r="GH10" s="122"/>
      <c r="GI10" s="122"/>
    </row>
    <row r="11" spans="1:204" s="13" customFormat="1" ht="20.25" customHeight="1">
      <c r="A11" s="117">
        <v>2</v>
      </c>
      <c r="B11" s="124"/>
      <c r="C11" s="126"/>
      <c r="D11" s="102">
        <f t="shared" ref="D11" si="4">IFERROR(SUMPRODUCT(F11:HE11,$F$6:$HE$6)/100,0)</f>
        <v>0</v>
      </c>
      <c r="E11" s="103"/>
      <c r="F11" s="296"/>
      <c r="G11" s="296"/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7"/>
      <c r="BT11" s="297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122"/>
      <c r="CF11" s="122"/>
      <c r="CG11" s="122"/>
      <c r="CH11" s="122"/>
      <c r="CI11" s="122"/>
      <c r="CJ11" s="122"/>
      <c r="CK11" s="122"/>
      <c r="CL11" s="122"/>
      <c r="CM11" s="122"/>
      <c r="CN11" s="122"/>
      <c r="CO11" s="122"/>
      <c r="CP11" s="122"/>
      <c r="CQ11" s="122"/>
      <c r="CR11" s="122"/>
      <c r="CS11" s="122"/>
      <c r="CT11" s="122"/>
      <c r="CU11" s="122"/>
      <c r="CV11" s="122"/>
      <c r="CW11" s="122"/>
      <c r="CX11" s="122"/>
      <c r="CY11" s="122"/>
      <c r="CZ11" s="122"/>
      <c r="DA11" s="122"/>
      <c r="DB11" s="122"/>
      <c r="DC11" s="122"/>
      <c r="DD11" s="122"/>
      <c r="DE11" s="122"/>
      <c r="DF11" s="122"/>
      <c r="DG11" s="122"/>
      <c r="DH11" s="122"/>
      <c r="DI11" s="122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22"/>
      <c r="EC11" s="122"/>
      <c r="ED11" s="122"/>
      <c r="EE11" s="122"/>
      <c r="EF11" s="122"/>
      <c r="EG11" s="122"/>
      <c r="EH11" s="122"/>
      <c r="EI11" s="122"/>
      <c r="EJ11" s="122"/>
      <c r="EK11" s="122"/>
      <c r="EL11" s="122"/>
      <c r="EM11" s="122"/>
      <c r="EN11" s="122"/>
      <c r="EO11" s="122"/>
      <c r="EP11" s="122"/>
      <c r="EQ11" s="122"/>
      <c r="ER11" s="122"/>
      <c r="ES11" s="122"/>
      <c r="ET11" s="122"/>
      <c r="EU11" s="122"/>
      <c r="EV11" s="122"/>
      <c r="EW11" s="122"/>
      <c r="EX11" s="122"/>
      <c r="EY11" s="122"/>
      <c r="EZ11" s="122"/>
      <c r="FA11" s="122"/>
      <c r="FB11" s="122"/>
      <c r="FC11" s="122"/>
      <c r="FD11" s="122"/>
      <c r="FE11" s="122"/>
      <c r="FF11" s="122"/>
      <c r="FG11" s="122"/>
      <c r="FH11" s="122"/>
      <c r="FI11" s="122"/>
      <c r="FJ11" s="122"/>
      <c r="FK11" s="122"/>
      <c r="FL11" s="122"/>
      <c r="FM11" s="122"/>
      <c r="FN11" s="122"/>
      <c r="FO11" s="122"/>
      <c r="FP11" s="122"/>
      <c r="FQ11" s="122"/>
      <c r="FR11" s="122"/>
      <c r="FS11" s="122"/>
      <c r="FT11" s="117"/>
      <c r="FU11" s="122"/>
      <c r="FV11" s="122"/>
      <c r="FW11" s="122"/>
      <c r="FX11" s="122"/>
      <c r="FY11" s="122"/>
      <c r="FZ11" s="122"/>
      <c r="GA11" s="122"/>
      <c r="GB11" s="122"/>
      <c r="GC11" s="122"/>
      <c r="GD11" s="122"/>
      <c r="GE11" s="122"/>
      <c r="GF11" s="122"/>
      <c r="GG11" s="122"/>
      <c r="GH11" s="122"/>
      <c r="GI11" s="122"/>
    </row>
    <row r="12" spans="1:204" s="118" customFormat="1" ht="20.25" customHeight="1">
      <c r="A12" s="117"/>
      <c r="B12" s="125"/>
      <c r="C12" s="120"/>
      <c r="D12" s="121"/>
      <c r="E12" s="127"/>
      <c r="F12" s="294"/>
      <c r="G12" s="294"/>
      <c r="H12" s="294"/>
      <c r="I12" s="294"/>
      <c r="J12" s="294"/>
      <c r="K12" s="294"/>
      <c r="L12" s="294"/>
      <c r="M12" s="29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  <c r="AN12" s="294"/>
      <c r="AO12" s="294"/>
      <c r="AP12" s="294"/>
      <c r="AQ12" s="294"/>
      <c r="AR12" s="294"/>
      <c r="AS12" s="294"/>
      <c r="AT12" s="294"/>
      <c r="AU12" s="294"/>
      <c r="AV12" s="294"/>
      <c r="AW12" s="294"/>
      <c r="AX12" s="294"/>
      <c r="AY12" s="294"/>
      <c r="AZ12" s="294"/>
      <c r="BA12" s="294"/>
      <c r="BB12" s="294"/>
      <c r="BC12" s="294"/>
      <c r="BD12" s="294"/>
      <c r="BE12" s="294"/>
      <c r="BF12" s="294"/>
      <c r="BG12" s="294"/>
      <c r="BH12" s="294"/>
      <c r="BI12" s="294"/>
      <c r="BJ12" s="294"/>
      <c r="BK12" s="294"/>
      <c r="BL12" s="294"/>
      <c r="BM12" s="294"/>
      <c r="BN12" s="294"/>
      <c r="BO12" s="294"/>
      <c r="BP12" s="294"/>
      <c r="BQ12" s="294"/>
      <c r="BR12" s="294"/>
      <c r="BS12" s="295"/>
      <c r="BT12" s="295"/>
      <c r="BU12" s="294"/>
      <c r="BV12" s="294"/>
      <c r="BW12" s="294"/>
      <c r="BX12" s="294"/>
      <c r="BY12" s="294"/>
      <c r="BZ12" s="294"/>
      <c r="CA12" s="294"/>
      <c r="CB12" s="294"/>
      <c r="CC12" s="294"/>
      <c r="CD12" s="294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  <c r="DH12" s="117"/>
      <c r="DI12" s="117"/>
      <c r="DJ12" s="117"/>
      <c r="DK12" s="117"/>
      <c r="DL12" s="117"/>
      <c r="DM12" s="117"/>
      <c r="DN12" s="117"/>
      <c r="DO12" s="117"/>
      <c r="DP12" s="117"/>
      <c r="DQ12" s="117"/>
      <c r="DR12" s="117"/>
      <c r="DS12" s="117"/>
      <c r="DT12" s="117"/>
      <c r="DU12" s="117"/>
      <c r="DV12" s="117"/>
      <c r="DW12" s="117"/>
      <c r="DX12" s="117"/>
      <c r="DY12" s="117"/>
      <c r="DZ12" s="117"/>
      <c r="EA12" s="117"/>
      <c r="EB12" s="117"/>
      <c r="EC12" s="117"/>
      <c r="ED12" s="117"/>
      <c r="EE12" s="117"/>
      <c r="EF12" s="117"/>
      <c r="EG12" s="117"/>
      <c r="EH12" s="117"/>
      <c r="EI12" s="117"/>
      <c r="EJ12" s="117"/>
      <c r="EK12" s="117"/>
      <c r="EL12" s="117"/>
      <c r="EM12" s="117"/>
      <c r="EN12" s="117"/>
      <c r="EO12" s="117"/>
      <c r="EP12" s="117"/>
      <c r="EQ12" s="117"/>
      <c r="ER12" s="117"/>
      <c r="ES12" s="117"/>
      <c r="ET12" s="117"/>
      <c r="EU12" s="117"/>
      <c r="EV12" s="117"/>
      <c r="EW12" s="117"/>
      <c r="EX12" s="117"/>
      <c r="EY12" s="117"/>
      <c r="EZ12" s="117"/>
      <c r="FA12" s="117"/>
      <c r="FB12" s="117"/>
      <c r="FC12" s="117"/>
      <c r="FD12" s="117"/>
      <c r="FE12" s="117"/>
      <c r="FF12" s="117"/>
      <c r="FG12" s="117"/>
      <c r="FH12" s="117"/>
      <c r="FI12" s="117"/>
      <c r="FJ12" s="117"/>
      <c r="FK12" s="117"/>
      <c r="FL12" s="117"/>
      <c r="FM12" s="117"/>
      <c r="FN12" s="117"/>
      <c r="FO12" s="117"/>
      <c r="FP12" s="117"/>
      <c r="FQ12" s="117"/>
      <c r="FR12" s="117"/>
      <c r="FS12" s="117"/>
      <c r="FT12" s="117"/>
      <c r="FU12" s="117"/>
      <c r="FV12" s="117"/>
      <c r="FW12" s="117"/>
      <c r="FX12" s="117"/>
      <c r="FY12" s="117"/>
      <c r="FZ12" s="117"/>
      <c r="GA12" s="117"/>
      <c r="GB12" s="117"/>
      <c r="GC12" s="117"/>
      <c r="GD12" s="117"/>
      <c r="GE12" s="117"/>
      <c r="GF12" s="117"/>
      <c r="GG12" s="117"/>
      <c r="GH12" s="117"/>
      <c r="GI12" s="117"/>
    </row>
    <row r="13" spans="1:204" s="118" customFormat="1" ht="20.25" customHeight="1">
      <c r="A13" s="117">
        <v>3</v>
      </c>
      <c r="B13" s="124"/>
      <c r="C13" s="120"/>
      <c r="D13" s="102">
        <f t="shared" ref="D13" si="5">IFERROR(SUMPRODUCT(F13:HE13,$F$6:$HE$6)/100,0)</f>
        <v>0</v>
      </c>
      <c r="E13" s="127"/>
      <c r="F13" s="294"/>
      <c r="G13" s="294"/>
      <c r="H13" s="294"/>
      <c r="I13" s="294"/>
      <c r="J13" s="294"/>
      <c r="K13" s="294"/>
      <c r="L13" s="294"/>
      <c r="M13" s="29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  <c r="AN13" s="294"/>
      <c r="AO13" s="294"/>
      <c r="AP13" s="294"/>
      <c r="AQ13" s="294"/>
      <c r="AR13" s="294"/>
      <c r="AS13" s="294"/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4"/>
      <c r="BI13" s="294"/>
      <c r="BJ13" s="294"/>
      <c r="BK13" s="294"/>
      <c r="BL13" s="294"/>
      <c r="BM13" s="294"/>
      <c r="BN13" s="294"/>
      <c r="BO13" s="294"/>
      <c r="BP13" s="294"/>
      <c r="BQ13" s="294"/>
      <c r="BR13" s="294"/>
      <c r="BS13" s="297"/>
      <c r="BT13" s="297"/>
      <c r="BU13" s="294"/>
      <c r="BV13" s="294"/>
      <c r="BW13" s="294"/>
      <c r="BX13" s="294"/>
      <c r="BY13" s="294"/>
      <c r="BZ13" s="294"/>
      <c r="CA13" s="294"/>
      <c r="CB13" s="294"/>
      <c r="CC13" s="294"/>
      <c r="CD13" s="294"/>
      <c r="CE13" s="117"/>
      <c r="CF13" s="117"/>
      <c r="CG13" s="117"/>
      <c r="CH13" s="117"/>
      <c r="CI13" s="117"/>
      <c r="CJ13" s="117"/>
      <c r="CK13" s="122"/>
      <c r="CL13" s="122"/>
      <c r="CM13" s="122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22"/>
      <c r="DX13" s="122"/>
      <c r="DY13" s="117"/>
      <c r="DZ13" s="117"/>
      <c r="EA13" s="117"/>
      <c r="EB13" s="117"/>
      <c r="EC13" s="117"/>
      <c r="ED13" s="122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</row>
    <row r="14" spans="1:204" s="118" customFormat="1" ht="20.25" customHeight="1">
      <c r="A14" s="117"/>
      <c r="B14" s="125"/>
      <c r="C14" s="120"/>
      <c r="D14" s="121"/>
      <c r="E14" s="127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4"/>
      <c r="S14" s="294"/>
      <c r="T14" s="294"/>
      <c r="U14" s="294"/>
      <c r="V14" s="294"/>
      <c r="W14" s="294"/>
      <c r="X14" s="294"/>
      <c r="Y14" s="294"/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  <c r="AN14" s="294"/>
      <c r="AO14" s="294"/>
      <c r="AP14" s="294"/>
      <c r="AQ14" s="294"/>
      <c r="AR14" s="294"/>
      <c r="AS14" s="294"/>
      <c r="AT14" s="294"/>
      <c r="AU14" s="294"/>
      <c r="AV14" s="294"/>
      <c r="AW14" s="294"/>
      <c r="AX14" s="294"/>
      <c r="AY14" s="294"/>
      <c r="AZ14" s="294"/>
      <c r="BA14" s="294"/>
      <c r="BB14" s="294"/>
      <c r="BC14" s="294"/>
      <c r="BD14" s="294"/>
      <c r="BE14" s="294"/>
      <c r="BF14" s="294"/>
      <c r="BG14" s="294"/>
      <c r="BH14" s="294"/>
      <c r="BI14" s="294"/>
      <c r="BJ14" s="294"/>
      <c r="BK14" s="294"/>
      <c r="BL14" s="294"/>
      <c r="BM14" s="294"/>
      <c r="BN14" s="294"/>
      <c r="BO14" s="294"/>
      <c r="BP14" s="294"/>
      <c r="BQ14" s="294"/>
      <c r="BR14" s="294"/>
      <c r="BS14" s="295"/>
      <c r="BT14" s="295"/>
      <c r="BU14" s="294"/>
      <c r="BV14" s="294"/>
      <c r="BW14" s="294"/>
      <c r="BX14" s="294"/>
      <c r="BY14" s="294"/>
      <c r="BZ14" s="294"/>
      <c r="CA14" s="294"/>
      <c r="CB14" s="294"/>
      <c r="CC14" s="294"/>
      <c r="CD14" s="294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17"/>
      <c r="DM14" s="117"/>
      <c r="DN14" s="117"/>
      <c r="DO14" s="117"/>
      <c r="DP14" s="117"/>
      <c r="DQ14" s="117"/>
      <c r="DR14" s="117"/>
      <c r="DS14" s="117"/>
      <c r="DT14" s="117"/>
      <c r="DU14" s="117"/>
      <c r="DV14" s="117"/>
      <c r="DW14" s="117"/>
      <c r="DX14" s="117"/>
      <c r="DY14" s="117"/>
      <c r="DZ14" s="117"/>
      <c r="EA14" s="117"/>
      <c r="EB14" s="117"/>
      <c r="EC14" s="117"/>
      <c r="ED14" s="117"/>
      <c r="EE14" s="117"/>
      <c r="EF14" s="117"/>
      <c r="EG14" s="117"/>
      <c r="EH14" s="117"/>
      <c r="EI14" s="117"/>
      <c r="EJ14" s="117"/>
      <c r="EK14" s="117"/>
      <c r="EL14" s="117"/>
      <c r="EM14" s="117"/>
      <c r="EN14" s="117"/>
      <c r="EO14" s="117"/>
      <c r="EP14" s="117"/>
      <c r="EQ14" s="117"/>
      <c r="ER14" s="117"/>
      <c r="ES14" s="117"/>
      <c r="ET14" s="117"/>
      <c r="EU14" s="117"/>
      <c r="EV14" s="117"/>
      <c r="EW14" s="117"/>
      <c r="EX14" s="117"/>
      <c r="EY14" s="117"/>
      <c r="EZ14" s="117"/>
      <c r="FA14" s="117"/>
      <c r="FB14" s="117"/>
      <c r="FC14" s="117"/>
      <c r="FD14" s="117"/>
      <c r="FE14" s="117"/>
      <c r="FF14" s="117"/>
      <c r="FG14" s="117"/>
      <c r="FH14" s="117"/>
      <c r="FI14" s="117"/>
      <c r="FJ14" s="117"/>
      <c r="FK14" s="117"/>
      <c r="FL14" s="117"/>
      <c r="FM14" s="117"/>
      <c r="FN14" s="117"/>
      <c r="FO14" s="117"/>
      <c r="FP14" s="117"/>
      <c r="FQ14" s="117"/>
      <c r="FR14" s="117"/>
      <c r="FS14" s="117"/>
      <c r="FT14" s="117"/>
      <c r="FU14" s="117"/>
      <c r="FV14" s="117"/>
      <c r="FW14" s="117"/>
      <c r="FX14" s="117"/>
      <c r="FY14" s="117"/>
      <c r="FZ14" s="117"/>
      <c r="GA14" s="117"/>
      <c r="GB14" s="117"/>
      <c r="GC14" s="117"/>
      <c r="GD14" s="117"/>
      <c r="GE14" s="117"/>
      <c r="GF14" s="117"/>
      <c r="GG14" s="117"/>
      <c r="GH14" s="117"/>
      <c r="GI14" s="117"/>
    </row>
    <row r="15" spans="1:204" s="13" customFormat="1" ht="20.25" customHeight="1">
      <c r="A15" s="117">
        <v>4</v>
      </c>
      <c r="B15" s="124"/>
      <c r="C15" s="120"/>
      <c r="D15" s="102">
        <f t="shared" ref="D15" si="6">IFERROR(SUMPRODUCT(F15:HE15,$F$6:$HE$6)/100,0)</f>
        <v>0</v>
      </c>
      <c r="E15" s="103"/>
      <c r="F15" s="296"/>
      <c r="G15" s="296"/>
      <c r="H15" s="296"/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  <c r="AI15" s="296"/>
      <c r="AJ15" s="296"/>
      <c r="AK15" s="296"/>
      <c r="AL15" s="296"/>
      <c r="AM15" s="296"/>
      <c r="AN15" s="296"/>
      <c r="AO15" s="296"/>
      <c r="AP15" s="296"/>
      <c r="AQ15" s="296"/>
      <c r="AR15" s="296"/>
      <c r="AS15" s="296"/>
      <c r="AT15" s="296"/>
      <c r="AU15" s="296"/>
      <c r="AV15" s="296"/>
      <c r="AW15" s="296"/>
      <c r="AX15" s="296"/>
      <c r="AY15" s="296"/>
      <c r="AZ15" s="296"/>
      <c r="BA15" s="296"/>
      <c r="BB15" s="296"/>
      <c r="BC15" s="296"/>
      <c r="BD15" s="296"/>
      <c r="BE15" s="296"/>
      <c r="BF15" s="296"/>
      <c r="BG15" s="296"/>
      <c r="BH15" s="296"/>
      <c r="BI15" s="296"/>
      <c r="BJ15" s="296"/>
      <c r="BK15" s="296"/>
      <c r="BL15" s="296"/>
      <c r="BM15" s="296"/>
      <c r="BN15" s="296"/>
      <c r="BO15" s="296"/>
      <c r="BP15" s="296"/>
      <c r="BQ15" s="296"/>
      <c r="BR15" s="296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122"/>
      <c r="CF15" s="122"/>
      <c r="CG15" s="122"/>
      <c r="CH15" s="122"/>
      <c r="CI15" s="122"/>
      <c r="CJ15" s="122"/>
      <c r="CK15" s="122"/>
      <c r="CL15" s="122"/>
      <c r="CM15" s="122"/>
      <c r="CN15" s="122"/>
      <c r="CO15" s="122"/>
      <c r="CP15" s="122"/>
      <c r="CQ15" s="122"/>
      <c r="CR15" s="122"/>
      <c r="CS15" s="122"/>
      <c r="CT15" s="122"/>
      <c r="CU15" s="122"/>
      <c r="CV15" s="122"/>
      <c r="CW15" s="122"/>
      <c r="CX15" s="122"/>
      <c r="CY15" s="122"/>
      <c r="CZ15" s="122"/>
      <c r="DA15" s="122"/>
      <c r="DB15" s="122"/>
      <c r="DC15" s="122"/>
      <c r="DD15" s="122"/>
      <c r="DE15" s="122"/>
      <c r="DF15" s="122"/>
      <c r="DG15" s="122"/>
      <c r="DH15" s="122"/>
      <c r="DI15" s="122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22"/>
      <c r="EC15" s="122"/>
      <c r="ED15" s="122"/>
      <c r="EE15" s="122"/>
      <c r="EF15" s="122"/>
      <c r="EG15" s="122"/>
      <c r="EH15" s="122"/>
      <c r="EI15" s="122"/>
      <c r="EJ15" s="122"/>
      <c r="EK15" s="122"/>
      <c r="EL15" s="122"/>
      <c r="EM15" s="122"/>
      <c r="EN15" s="122"/>
      <c r="EO15" s="122"/>
      <c r="EP15" s="122"/>
      <c r="EQ15" s="122"/>
      <c r="ER15" s="122"/>
      <c r="ES15" s="122"/>
      <c r="ET15" s="122"/>
      <c r="EU15" s="122"/>
      <c r="EV15" s="122"/>
      <c r="EW15" s="122"/>
      <c r="EX15" s="122"/>
      <c r="EY15" s="122"/>
      <c r="EZ15" s="122"/>
      <c r="FA15" s="122"/>
      <c r="FB15" s="122"/>
      <c r="FC15" s="122"/>
      <c r="FD15" s="122"/>
      <c r="FE15" s="122"/>
      <c r="FF15" s="122"/>
      <c r="FG15" s="122"/>
      <c r="FH15" s="122"/>
      <c r="FI15" s="122"/>
      <c r="FJ15" s="122"/>
      <c r="FK15" s="122"/>
      <c r="FL15" s="122"/>
      <c r="FM15" s="122"/>
      <c r="FN15" s="122"/>
      <c r="FO15" s="122"/>
      <c r="FP15" s="122"/>
      <c r="FQ15" s="122"/>
      <c r="FR15" s="122"/>
      <c r="FS15" s="122"/>
      <c r="FT15" s="122"/>
      <c r="FU15" s="122"/>
      <c r="FV15" s="122"/>
      <c r="FW15" s="122"/>
      <c r="FX15" s="122"/>
      <c r="FY15" s="122"/>
      <c r="FZ15" s="122"/>
      <c r="GA15" s="122"/>
      <c r="GB15" s="122"/>
      <c r="GC15" s="122"/>
      <c r="GD15" s="122"/>
      <c r="GE15" s="122"/>
      <c r="GF15" s="122"/>
      <c r="GG15" s="122"/>
      <c r="GH15" s="122"/>
      <c r="GI15" s="122"/>
    </row>
    <row r="16" spans="1:204" s="13" customFormat="1" ht="20.25" customHeight="1">
      <c r="A16" s="117"/>
      <c r="B16" s="125"/>
      <c r="C16" s="120"/>
      <c r="D16" s="121"/>
      <c r="E16" s="103"/>
      <c r="F16" s="296"/>
      <c r="G16" s="296"/>
      <c r="H16" s="296"/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296"/>
      <c r="AC16" s="296"/>
      <c r="AD16" s="296"/>
      <c r="AE16" s="296"/>
      <c r="AF16" s="296"/>
      <c r="AG16" s="296"/>
      <c r="AH16" s="296"/>
      <c r="AI16" s="296"/>
      <c r="AJ16" s="296"/>
      <c r="AK16" s="296"/>
      <c r="AL16" s="296"/>
      <c r="AM16" s="296"/>
      <c r="AN16" s="296"/>
      <c r="AO16" s="296"/>
      <c r="AP16" s="296"/>
      <c r="AQ16" s="296"/>
      <c r="AR16" s="296"/>
      <c r="AS16" s="296"/>
      <c r="AT16" s="296"/>
      <c r="AU16" s="296"/>
      <c r="AV16" s="296"/>
      <c r="AW16" s="296"/>
      <c r="AX16" s="296"/>
      <c r="AY16" s="296"/>
      <c r="AZ16" s="296"/>
      <c r="BA16" s="296"/>
      <c r="BB16" s="296"/>
      <c r="BC16" s="296"/>
      <c r="BD16" s="296"/>
      <c r="BE16" s="296"/>
      <c r="BF16" s="296"/>
      <c r="BG16" s="296"/>
      <c r="BH16" s="296"/>
      <c r="BI16" s="296"/>
      <c r="BJ16" s="296"/>
      <c r="BK16" s="296"/>
      <c r="BL16" s="296"/>
      <c r="BM16" s="296"/>
      <c r="BN16" s="296"/>
      <c r="BO16" s="296"/>
      <c r="BP16" s="294"/>
      <c r="BQ16" s="296"/>
      <c r="BR16" s="296"/>
      <c r="BS16" s="297"/>
      <c r="BT16" s="297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122"/>
      <c r="CF16" s="122"/>
      <c r="CG16" s="122"/>
      <c r="CH16" s="122"/>
      <c r="CI16" s="122"/>
      <c r="CJ16" s="122"/>
      <c r="CK16" s="122"/>
      <c r="CL16" s="122"/>
      <c r="CM16" s="122"/>
      <c r="CN16" s="122"/>
      <c r="CO16" s="122"/>
      <c r="CP16" s="122"/>
      <c r="CQ16" s="122"/>
      <c r="CR16" s="122"/>
      <c r="CS16" s="122"/>
      <c r="CT16" s="122"/>
      <c r="CU16" s="122"/>
      <c r="CV16" s="122"/>
      <c r="CW16" s="122"/>
      <c r="CX16" s="122"/>
      <c r="CY16" s="122"/>
      <c r="CZ16" s="122"/>
      <c r="DA16" s="122"/>
      <c r="DB16" s="122"/>
      <c r="DC16" s="122"/>
      <c r="DD16" s="122"/>
      <c r="DE16" s="122"/>
      <c r="DF16" s="122"/>
      <c r="DG16" s="122"/>
      <c r="DH16" s="122"/>
      <c r="DI16" s="122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22"/>
      <c r="EC16" s="122"/>
      <c r="ED16" s="122"/>
      <c r="EE16" s="122"/>
      <c r="EF16" s="122"/>
      <c r="EG16" s="122"/>
      <c r="EH16" s="122"/>
      <c r="EI16" s="122"/>
      <c r="EJ16" s="122"/>
      <c r="EK16" s="122"/>
      <c r="EL16" s="122"/>
      <c r="EM16" s="122"/>
      <c r="EN16" s="122"/>
      <c r="EO16" s="122"/>
      <c r="EP16" s="122"/>
      <c r="EQ16" s="122"/>
      <c r="ER16" s="122"/>
      <c r="ES16" s="122"/>
      <c r="ET16" s="122"/>
      <c r="EU16" s="122"/>
      <c r="EV16" s="122"/>
      <c r="EW16" s="122"/>
      <c r="EX16" s="122"/>
      <c r="EY16" s="122"/>
      <c r="EZ16" s="122"/>
      <c r="FA16" s="122"/>
      <c r="FB16" s="122"/>
      <c r="FC16" s="122"/>
      <c r="FD16" s="122"/>
      <c r="FE16" s="122"/>
      <c r="FF16" s="122"/>
      <c r="FG16" s="122"/>
      <c r="FH16" s="122"/>
      <c r="FI16" s="122"/>
      <c r="FJ16" s="122"/>
      <c r="FK16" s="122"/>
      <c r="FL16" s="122"/>
      <c r="FM16" s="122"/>
      <c r="FN16" s="122"/>
      <c r="FO16" s="122"/>
      <c r="FP16" s="122"/>
      <c r="FQ16" s="122"/>
      <c r="FR16" s="122"/>
      <c r="FS16" s="122"/>
      <c r="FT16" s="122"/>
      <c r="FU16" s="122"/>
      <c r="FV16" s="122"/>
      <c r="FW16" s="122"/>
      <c r="FX16" s="122"/>
      <c r="FY16" s="122"/>
      <c r="FZ16" s="122"/>
      <c r="GA16" s="122"/>
      <c r="GB16" s="122"/>
      <c r="GC16" s="122"/>
      <c r="GD16" s="122"/>
      <c r="GE16" s="122"/>
      <c r="GF16" s="122"/>
      <c r="GG16" s="122"/>
      <c r="GH16" s="122"/>
      <c r="GI16" s="122"/>
    </row>
    <row r="17" spans="1:191" s="13" customFormat="1" ht="20.25" customHeight="1">
      <c r="A17" s="117">
        <v>5</v>
      </c>
      <c r="B17" s="124"/>
      <c r="C17" s="120"/>
      <c r="D17" s="102">
        <f t="shared" ref="D17" si="7">IFERROR(SUMPRODUCT(F17:HE17,$F$6:$HE$6)/100,0)</f>
        <v>0</v>
      </c>
      <c r="E17" s="103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6"/>
      <c r="AM17" s="296"/>
      <c r="AN17" s="296"/>
      <c r="AO17" s="296"/>
      <c r="AP17" s="296"/>
      <c r="AQ17" s="296"/>
      <c r="AR17" s="296"/>
      <c r="AS17" s="296"/>
      <c r="AT17" s="296"/>
      <c r="AU17" s="296"/>
      <c r="AV17" s="296"/>
      <c r="AW17" s="296"/>
      <c r="AX17" s="296"/>
      <c r="AY17" s="296"/>
      <c r="AZ17" s="296"/>
      <c r="BA17" s="296"/>
      <c r="BB17" s="296"/>
      <c r="BC17" s="296"/>
      <c r="BD17" s="296"/>
      <c r="BE17" s="296"/>
      <c r="BF17" s="296"/>
      <c r="BG17" s="296"/>
      <c r="BH17" s="296"/>
      <c r="BI17" s="296"/>
      <c r="BJ17" s="296"/>
      <c r="BK17" s="296"/>
      <c r="BL17" s="296"/>
      <c r="BM17" s="296"/>
      <c r="BN17" s="296"/>
      <c r="BO17" s="296"/>
      <c r="BP17" s="296"/>
      <c r="BQ17" s="296"/>
      <c r="BR17" s="296"/>
      <c r="BS17" s="297"/>
      <c r="BT17" s="297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122"/>
      <c r="CF17" s="122"/>
      <c r="CG17" s="122"/>
      <c r="CH17" s="122"/>
      <c r="CI17" s="122"/>
      <c r="CJ17" s="122"/>
      <c r="CK17" s="122"/>
      <c r="CL17" s="122"/>
      <c r="CM17" s="122"/>
      <c r="CN17" s="122"/>
      <c r="CO17" s="122"/>
      <c r="CP17" s="122"/>
      <c r="CQ17" s="122"/>
      <c r="CR17" s="122"/>
      <c r="CS17" s="122"/>
      <c r="CT17" s="122"/>
      <c r="CU17" s="122"/>
      <c r="CV17" s="122"/>
      <c r="CW17" s="122"/>
      <c r="CX17" s="122"/>
      <c r="CY17" s="122"/>
      <c r="CZ17" s="122"/>
      <c r="DA17" s="122"/>
      <c r="DB17" s="122"/>
      <c r="DC17" s="122"/>
      <c r="DD17" s="122"/>
      <c r="DE17" s="122"/>
      <c r="DF17" s="122"/>
      <c r="DG17" s="122"/>
      <c r="DH17" s="122"/>
      <c r="DI17" s="122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2"/>
      <c r="EL17" s="122"/>
      <c r="EM17" s="122"/>
      <c r="EN17" s="122"/>
      <c r="EO17" s="122"/>
      <c r="EP17" s="122"/>
      <c r="EQ17" s="122"/>
      <c r="ER17" s="122"/>
      <c r="ES17" s="122"/>
      <c r="ET17" s="122"/>
      <c r="EU17" s="122"/>
      <c r="EV17" s="122"/>
      <c r="EW17" s="122"/>
      <c r="EX17" s="122"/>
      <c r="EY17" s="122"/>
      <c r="EZ17" s="122"/>
      <c r="FA17" s="122"/>
      <c r="FB17" s="122"/>
      <c r="FC17" s="122"/>
      <c r="FD17" s="122"/>
      <c r="FE17" s="122"/>
      <c r="FF17" s="122"/>
      <c r="FG17" s="122"/>
      <c r="FH17" s="122"/>
      <c r="FI17" s="122"/>
      <c r="FJ17" s="122"/>
      <c r="FK17" s="122"/>
      <c r="FL17" s="122"/>
      <c r="FM17" s="122"/>
      <c r="FN17" s="122"/>
      <c r="FO17" s="122"/>
      <c r="FP17" s="122"/>
      <c r="FQ17" s="122"/>
      <c r="FR17" s="122"/>
      <c r="FS17" s="122"/>
      <c r="FT17" s="122"/>
      <c r="FU17" s="122"/>
      <c r="FV17" s="122"/>
      <c r="FW17" s="122"/>
      <c r="FX17" s="122"/>
      <c r="FY17" s="122"/>
      <c r="FZ17" s="122"/>
      <c r="GA17" s="122"/>
      <c r="GB17" s="122"/>
      <c r="GC17" s="122"/>
      <c r="GD17" s="122"/>
      <c r="GE17" s="122"/>
      <c r="GF17" s="122"/>
      <c r="GG17" s="122"/>
      <c r="GH17" s="122"/>
      <c r="GI17" s="122"/>
    </row>
    <row r="18" spans="1:191" s="13" customFormat="1" ht="20.25" customHeight="1">
      <c r="A18" s="117"/>
      <c r="B18" s="125"/>
      <c r="C18" s="120"/>
      <c r="D18" s="121"/>
      <c r="E18" s="103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  <c r="AC18" s="296"/>
      <c r="AD18" s="296"/>
      <c r="AE18" s="296"/>
      <c r="AF18" s="296"/>
      <c r="AG18" s="296"/>
      <c r="AH18" s="296"/>
      <c r="AI18" s="296"/>
      <c r="AJ18" s="296"/>
      <c r="AK18" s="296"/>
      <c r="AL18" s="296"/>
      <c r="AM18" s="296"/>
      <c r="AN18" s="296"/>
      <c r="AO18" s="296"/>
      <c r="AP18" s="296"/>
      <c r="AQ18" s="296"/>
      <c r="AR18" s="296"/>
      <c r="AS18" s="296"/>
      <c r="AT18" s="296"/>
      <c r="AU18" s="296"/>
      <c r="AV18" s="296"/>
      <c r="AW18" s="296"/>
      <c r="AX18" s="296"/>
      <c r="AY18" s="296"/>
      <c r="AZ18" s="296"/>
      <c r="BA18" s="296"/>
      <c r="BB18" s="296"/>
      <c r="BC18" s="296"/>
      <c r="BD18" s="296"/>
      <c r="BE18" s="296"/>
      <c r="BF18" s="296"/>
      <c r="BG18" s="296"/>
      <c r="BH18" s="296"/>
      <c r="BI18" s="296"/>
      <c r="BJ18" s="296"/>
      <c r="BK18" s="296"/>
      <c r="BL18" s="296"/>
      <c r="BM18" s="296"/>
      <c r="BN18" s="296"/>
      <c r="BO18" s="296"/>
      <c r="BP18" s="294"/>
      <c r="BQ18" s="296"/>
      <c r="BR18" s="296"/>
      <c r="BS18" s="297"/>
      <c r="BT18" s="297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122"/>
      <c r="CF18" s="122"/>
      <c r="CG18" s="122"/>
      <c r="CH18" s="122"/>
      <c r="CI18" s="122"/>
      <c r="CJ18" s="122"/>
      <c r="CK18" s="122"/>
      <c r="CL18" s="122"/>
      <c r="CM18" s="122"/>
      <c r="CN18" s="122"/>
      <c r="CO18" s="122"/>
      <c r="CP18" s="122"/>
      <c r="CQ18" s="122"/>
      <c r="CR18" s="122"/>
      <c r="CS18" s="122"/>
      <c r="CT18" s="122"/>
      <c r="CU18" s="122"/>
      <c r="CV18" s="122"/>
      <c r="CW18" s="122"/>
      <c r="CX18" s="122"/>
      <c r="CY18" s="122"/>
      <c r="CZ18" s="122"/>
      <c r="DA18" s="122"/>
      <c r="DB18" s="122"/>
      <c r="DC18" s="122"/>
      <c r="DD18" s="122"/>
      <c r="DE18" s="122"/>
      <c r="DF18" s="122"/>
      <c r="DG18" s="122"/>
      <c r="DH18" s="122"/>
      <c r="DI18" s="122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22"/>
      <c r="EC18" s="122"/>
      <c r="ED18" s="122"/>
      <c r="EE18" s="122"/>
      <c r="EF18" s="122"/>
      <c r="EG18" s="122"/>
      <c r="EH18" s="122"/>
      <c r="EI18" s="122"/>
      <c r="EJ18" s="122"/>
      <c r="EK18" s="122"/>
      <c r="EL18" s="122"/>
      <c r="EM18" s="122"/>
      <c r="EN18" s="122"/>
      <c r="EO18" s="122"/>
      <c r="EP18" s="122"/>
      <c r="EQ18" s="122"/>
      <c r="ER18" s="122"/>
      <c r="ES18" s="122"/>
      <c r="ET18" s="122"/>
      <c r="EU18" s="122"/>
      <c r="EV18" s="122"/>
      <c r="EW18" s="122"/>
      <c r="EX18" s="122"/>
      <c r="EY18" s="122"/>
      <c r="EZ18" s="122"/>
      <c r="FA18" s="122"/>
      <c r="FB18" s="122"/>
      <c r="FC18" s="122"/>
      <c r="FD18" s="122"/>
      <c r="FE18" s="122"/>
      <c r="FF18" s="122"/>
      <c r="FG18" s="122"/>
      <c r="FH18" s="122"/>
      <c r="FI18" s="122"/>
      <c r="FJ18" s="122"/>
      <c r="FK18" s="122"/>
      <c r="FL18" s="122"/>
      <c r="FM18" s="122"/>
      <c r="FN18" s="122"/>
      <c r="FO18" s="122"/>
      <c r="FP18" s="122"/>
      <c r="FQ18" s="122"/>
      <c r="FR18" s="122"/>
      <c r="FS18" s="122"/>
      <c r="FT18" s="122"/>
      <c r="FU18" s="122"/>
      <c r="FV18" s="122"/>
      <c r="FW18" s="122"/>
      <c r="FX18" s="122"/>
      <c r="FY18" s="122"/>
      <c r="FZ18" s="122"/>
      <c r="GA18" s="122"/>
      <c r="GB18" s="122"/>
      <c r="GC18" s="122"/>
      <c r="GD18" s="122"/>
      <c r="GE18" s="122"/>
      <c r="GF18" s="122"/>
      <c r="GG18" s="122"/>
      <c r="GH18" s="122"/>
      <c r="GI18" s="122"/>
    </row>
    <row r="19" spans="1:191" s="13" customFormat="1" ht="20.25" customHeight="1">
      <c r="A19" s="117">
        <v>6</v>
      </c>
      <c r="B19" s="124"/>
      <c r="C19" s="120"/>
      <c r="D19" s="102">
        <f t="shared" ref="D19" si="8">IFERROR(SUMPRODUCT(F19:HE19,$F$6:$HE$6)/100,0)</f>
        <v>0</v>
      </c>
      <c r="E19" s="103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  <c r="Y19" s="296"/>
      <c r="Z19" s="296"/>
      <c r="AA19" s="296"/>
      <c r="AB19" s="296"/>
      <c r="AC19" s="296"/>
      <c r="AD19" s="296"/>
      <c r="AE19" s="296"/>
      <c r="AF19" s="296"/>
      <c r="AG19" s="296"/>
      <c r="AH19" s="296"/>
      <c r="AI19" s="296"/>
      <c r="AJ19" s="296"/>
      <c r="AK19" s="296"/>
      <c r="AL19" s="296"/>
      <c r="AM19" s="296"/>
      <c r="AN19" s="296"/>
      <c r="AO19" s="296"/>
      <c r="AP19" s="296"/>
      <c r="AQ19" s="296"/>
      <c r="AR19" s="296"/>
      <c r="AS19" s="296"/>
      <c r="AT19" s="296"/>
      <c r="AU19" s="296"/>
      <c r="AV19" s="296"/>
      <c r="AW19" s="296"/>
      <c r="AX19" s="296"/>
      <c r="AY19" s="296"/>
      <c r="AZ19" s="296"/>
      <c r="BA19" s="296"/>
      <c r="BB19" s="296"/>
      <c r="BC19" s="296"/>
      <c r="BD19" s="296"/>
      <c r="BE19" s="296"/>
      <c r="BF19" s="296"/>
      <c r="BG19" s="296"/>
      <c r="BH19" s="296"/>
      <c r="BI19" s="296"/>
      <c r="BJ19" s="296"/>
      <c r="BK19" s="296"/>
      <c r="BL19" s="296"/>
      <c r="BM19" s="296"/>
      <c r="BN19" s="296"/>
      <c r="BO19" s="296"/>
      <c r="BP19" s="296"/>
      <c r="BQ19" s="296"/>
      <c r="BR19" s="296"/>
      <c r="BS19" s="297"/>
      <c r="BT19" s="297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122"/>
      <c r="CF19" s="122"/>
      <c r="CG19" s="122"/>
      <c r="CH19" s="122"/>
      <c r="CI19" s="122"/>
      <c r="CJ19" s="122"/>
      <c r="CK19" s="122"/>
      <c r="CL19" s="122"/>
      <c r="CM19" s="122"/>
      <c r="CN19" s="122"/>
      <c r="CO19" s="122"/>
      <c r="CP19" s="122"/>
      <c r="CQ19" s="122"/>
      <c r="CR19" s="122"/>
      <c r="CS19" s="122"/>
      <c r="CT19" s="122"/>
      <c r="CU19" s="122"/>
      <c r="CV19" s="122"/>
      <c r="CW19" s="122"/>
      <c r="CX19" s="122"/>
      <c r="CY19" s="122"/>
      <c r="CZ19" s="122"/>
      <c r="DA19" s="122"/>
      <c r="DB19" s="122"/>
      <c r="DC19" s="122"/>
      <c r="DD19" s="122"/>
      <c r="DE19" s="122"/>
      <c r="DF19" s="122"/>
      <c r="DG19" s="122"/>
      <c r="DH19" s="122"/>
      <c r="DI19" s="122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22"/>
      <c r="EC19" s="122"/>
      <c r="ED19" s="122"/>
      <c r="EE19" s="122"/>
      <c r="EF19" s="122"/>
      <c r="EG19" s="122"/>
      <c r="EH19" s="122"/>
      <c r="EI19" s="122"/>
      <c r="EJ19" s="122"/>
      <c r="EK19" s="122"/>
      <c r="EL19" s="122"/>
      <c r="EM19" s="122"/>
      <c r="EN19" s="122"/>
      <c r="EO19" s="122"/>
      <c r="EP19" s="122"/>
      <c r="EQ19" s="122"/>
      <c r="ER19" s="122"/>
      <c r="ES19" s="122"/>
      <c r="ET19" s="122"/>
      <c r="EU19" s="122"/>
      <c r="EV19" s="122"/>
      <c r="EW19" s="122"/>
      <c r="EX19" s="122"/>
      <c r="EY19" s="122"/>
      <c r="EZ19" s="122"/>
      <c r="FA19" s="122"/>
      <c r="FB19" s="122"/>
      <c r="FC19" s="122"/>
      <c r="FD19" s="122"/>
      <c r="FE19" s="122"/>
      <c r="FF19" s="122"/>
      <c r="FG19" s="122"/>
      <c r="FH19" s="122"/>
      <c r="FI19" s="122"/>
      <c r="FJ19" s="122"/>
      <c r="FK19" s="122"/>
      <c r="FL19" s="122"/>
      <c r="FM19" s="122"/>
      <c r="FN19" s="122"/>
      <c r="FO19" s="122"/>
      <c r="FP19" s="122"/>
      <c r="FQ19" s="122"/>
      <c r="FR19" s="122"/>
      <c r="FS19" s="122"/>
      <c r="FT19" s="122"/>
      <c r="FU19" s="122"/>
      <c r="FV19" s="122"/>
      <c r="FW19" s="122"/>
      <c r="FX19" s="122"/>
      <c r="FY19" s="122"/>
      <c r="FZ19" s="122"/>
      <c r="GA19" s="122"/>
      <c r="GB19" s="122"/>
      <c r="GC19" s="122"/>
      <c r="GD19" s="122"/>
      <c r="GE19" s="122"/>
      <c r="GF19" s="122"/>
      <c r="GG19" s="122"/>
      <c r="GH19" s="122"/>
      <c r="GI19" s="122"/>
    </row>
    <row r="20" spans="1:191" s="13" customFormat="1" ht="20.25" customHeight="1">
      <c r="A20" s="117"/>
      <c r="B20" s="125"/>
      <c r="C20" s="120"/>
      <c r="D20" s="121"/>
      <c r="E20" s="103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96"/>
      <c r="AB20" s="296"/>
      <c r="AC20" s="296"/>
      <c r="AD20" s="296"/>
      <c r="AE20" s="296"/>
      <c r="AF20" s="296"/>
      <c r="AG20" s="296"/>
      <c r="AH20" s="296"/>
      <c r="AI20" s="296"/>
      <c r="AJ20" s="296"/>
      <c r="AK20" s="296"/>
      <c r="AL20" s="296"/>
      <c r="AM20" s="296"/>
      <c r="AN20" s="296"/>
      <c r="AO20" s="296"/>
      <c r="AP20" s="296"/>
      <c r="AQ20" s="296"/>
      <c r="AR20" s="296"/>
      <c r="AS20" s="296"/>
      <c r="AT20" s="296"/>
      <c r="AU20" s="296"/>
      <c r="AV20" s="296"/>
      <c r="AW20" s="296"/>
      <c r="AX20" s="296"/>
      <c r="AY20" s="296"/>
      <c r="AZ20" s="296"/>
      <c r="BA20" s="296"/>
      <c r="BB20" s="296"/>
      <c r="BC20" s="296"/>
      <c r="BD20" s="296"/>
      <c r="BE20" s="296"/>
      <c r="BF20" s="296"/>
      <c r="BG20" s="296"/>
      <c r="BH20" s="296"/>
      <c r="BI20" s="296"/>
      <c r="BJ20" s="296"/>
      <c r="BK20" s="296"/>
      <c r="BL20" s="296"/>
      <c r="BM20" s="296"/>
      <c r="BN20" s="296"/>
      <c r="BO20" s="296"/>
      <c r="BP20" s="296"/>
      <c r="BQ20" s="296"/>
      <c r="BR20" s="296"/>
      <c r="BS20" s="297"/>
      <c r="BT20" s="297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122"/>
      <c r="CF20" s="122"/>
      <c r="CG20" s="122"/>
      <c r="CH20" s="122"/>
      <c r="CI20" s="122"/>
      <c r="CJ20" s="122"/>
      <c r="CK20" s="122"/>
      <c r="CL20" s="122"/>
      <c r="CM20" s="122"/>
      <c r="CN20" s="122"/>
      <c r="CO20" s="122"/>
      <c r="CP20" s="122"/>
      <c r="CQ20" s="122"/>
      <c r="CR20" s="122"/>
      <c r="CS20" s="122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22"/>
      <c r="DH20" s="122"/>
      <c r="DI20" s="122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22"/>
      <c r="EC20" s="122"/>
      <c r="ED20" s="122"/>
      <c r="EE20" s="122"/>
      <c r="EF20" s="122"/>
      <c r="EG20" s="122"/>
      <c r="EH20" s="122"/>
      <c r="EI20" s="122"/>
      <c r="EJ20" s="122"/>
      <c r="EK20" s="122"/>
      <c r="EL20" s="122"/>
      <c r="EM20" s="122"/>
      <c r="EN20" s="122"/>
      <c r="EO20" s="122"/>
      <c r="EP20" s="122"/>
      <c r="EQ20" s="122"/>
      <c r="ER20" s="122"/>
      <c r="ES20" s="122"/>
      <c r="ET20" s="122"/>
      <c r="EU20" s="122"/>
      <c r="EV20" s="122"/>
      <c r="EW20" s="122"/>
      <c r="EX20" s="122"/>
      <c r="EY20" s="122"/>
      <c r="EZ20" s="122"/>
      <c r="FA20" s="122"/>
      <c r="FB20" s="122"/>
      <c r="FC20" s="122"/>
      <c r="FD20" s="122"/>
      <c r="FE20" s="122"/>
      <c r="FF20" s="122"/>
      <c r="FG20" s="122"/>
      <c r="FH20" s="122"/>
      <c r="FI20" s="122"/>
      <c r="FJ20" s="122"/>
      <c r="FK20" s="122"/>
      <c r="FL20" s="122"/>
      <c r="FM20" s="122"/>
      <c r="FN20" s="122"/>
      <c r="FO20" s="122"/>
      <c r="FP20" s="122"/>
      <c r="FQ20" s="122"/>
      <c r="FR20" s="122"/>
      <c r="FS20" s="122"/>
      <c r="FT20" s="122"/>
      <c r="FU20" s="122"/>
      <c r="FV20" s="122"/>
      <c r="FW20" s="122"/>
      <c r="FX20" s="122"/>
      <c r="FY20" s="122"/>
      <c r="FZ20" s="122"/>
      <c r="GA20" s="122"/>
      <c r="GB20" s="122"/>
      <c r="GC20" s="122"/>
      <c r="GD20" s="122"/>
      <c r="GE20" s="122"/>
      <c r="GF20" s="122"/>
      <c r="GG20" s="122"/>
      <c r="GH20" s="122"/>
      <c r="GI20" s="122"/>
    </row>
    <row r="21" spans="1:191" s="13" customFormat="1" ht="20.25" customHeight="1">
      <c r="A21" s="117">
        <v>7</v>
      </c>
      <c r="B21" s="124"/>
      <c r="C21" s="120"/>
      <c r="D21" s="102">
        <f t="shared" ref="D21" si="9">IFERROR(SUMPRODUCT(F21:HE21,$F$6:$HE$6)/100,0)</f>
        <v>0</v>
      </c>
      <c r="E21" s="103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296"/>
      <c r="AL21" s="296"/>
      <c r="AM21" s="296"/>
      <c r="AN21" s="296"/>
      <c r="AO21" s="296"/>
      <c r="AP21" s="296"/>
      <c r="AQ21" s="296"/>
      <c r="AR21" s="296"/>
      <c r="AS21" s="296"/>
      <c r="AT21" s="296"/>
      <c r="AU21" s="296"/>
      <c r="AV21" s="296"/>
      <c r="AW21" s="296"/>
      <c r="AX21" s="296"/>
      <c r="AY21" s="296"/>
      <c r="AZ21" s="296"/>
      <c r="BA21" s="296"/>
      <c r="BB21" s="296"/>
      <c r="BC21" s="296"/>
      <c r="BD21" s="296"/>
      <c r="BE21" s="296"/>
      <c r="BF21" s="296"/>
      <c r="BG21" s="296"/>
      <c r="BH21" s="296"/>
      <c r="BI21" s="296"/>
      <c r="BJ21" s="296"/>
      <c r="BK21" s="296"/>
      <c r="BL21" s="296"/>
      <c r="BM21" s="296"/>
      <c r="BN21" s="296"/>
      <c r="BO21" s="296"/>
      <c r="BP21" s="296"/>
      <c r="BQ21" s="296"/>
      <c r="BR21" s="296"/>
      <c r="BS21" s="297"/>
      <c r="BT21" s="297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122"/>
      <c r="CF21" s="122"/>
      <c r="CG21" s="122"/>
      <c r="CH21" s="122"/>
      <c r="CI21" s="122"/>
      <c r="CJ21" s="122"/>
      <c r="CK21" s="122"/>
      <c r="CL21" s="122"/>
      <c r="CM21" s="122"/>
      <c r="CN21" s="122"/>
      <c r="CO21" s="122"/>
      <c r="CP21" s="122"/>
      <c r="CQ21" s="122"/>
      <c r="CR21" s="122"/>
      <c r="CS21" s="122"/>
      <c r="CT21" s="122"/>
      <c r="CU21" s="122"/>
      <c r="CV21" s="122"/>
      <c r="CW21" s="122"/>
      <c r="CX21" s="122"/>
      <c r="CY21" s="122"/>
      <c r="CZ21" s="122"/>
      <c r="DA21" s="122"/>
      <c r="DB21" s="122"/>
      <c r="DC21" s="122"/>
      <c r="DD21" s="122"/>
      <c r="DE21" s="122"/>
      <c r="DF21" s="122"/>
      <c r="DG21" s="122"/>
      <c r="DH21" s="122"/>
      <c r="DI21" s="122"/>
      <c r="DJ21" s="122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22"/>
      <c r="EC21" s="122"/>
      <c r="ED21" s="122"/>
      <c r="EE21" s="122"/>
      <c r="EF21" s="122"/>
      <c r="EG21" s="122"/>
      <c r="EH21" s="122"/>
      <c r="EI21" s="122"/>
      <c r="EJ21" s="122"/>
      <c r="EK21" s="122"/>
      <c r="EL21" s="122"/>
      <c r="EM21" s="122"/>
      <c r="EN21" s="122"/>
      <c r="EO21" s="122"/>
      <c r="EP21" s="122"/>
      <c r="EQ21" s="122"/>
      <c r="ER21" s="122"/>
      <c r="ES21" s="122"/>
      <c r="ET21" s="122"/>
      <c r="EU21" s="122"/>
      <c r="EV21" s="122"/>
      <c r="EW21" s="122"/>
      <c r="EX21" s="122"/>
      <c r="EY21" s="122"/>
      <c r="EZ21" s="122"/>
      <c r="FA21" s="122"/>
      <c r="FB21" s="122"/>
      <c r="FC21" s="122"/>
      <c r="FD21" s="122"/>
      <c r="FE21" s="122"/>
      <c r="FF21" s="122"/>
      <c r="FG21" s="122"/>
      <c r="FH21" s="122"/>
      <c r="FI21" s="122"/>
      <c r="FJ21" s="122"/>
      <c r="FK21" s="122"/>
      <c r="FL21" s="122"/>
      <c r="FM21" s="122"/>
      <c r="FN21" s="122"/>
      <c r="FO21" s="122"/>
      <c r="FP21" s="122"/>
      <c r="FQ21" s="122"/>
      <c r="FR21" s="122"/>
      <c r="FS21" s="122"/>
      <c r="FT21" s="122"/>
      <c r="FU21" s="122"/>
      <c r="FV21" s="122"/>
      <c r="FW21" s="122"/>
      <c r="FX21" s="122"/>
      <c r="FY21" s="122"/>
      <c r="FZ21" s="122"/>
      <c r="GA21" s="122"/>
      <c r="GB21" s="122"/>
      <c r="GC21" s="122"/>
      <c r="GD21" s="122"/>
      <c r="GE21" s="122"/>
      <c r="GF21" s="122"/>
      <c r="GG21" s="122"/>
      <c r="GH21" s="122"/>
      <c r="GI21" s="122"/>
    </row>
    <row r="22" spans="1:191" s="13" customFormat="1" ht="20.25" customHeight="1">
      <c r="A22" s="117"/>
      <c r="B22" s="125"/>
      <c r="C22" s="120"/>
      <c r="D22" s="121"/>
      <c r="E22" s="103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296"/>
      <c r="AG22" s="296"/>
      <c r="AH22" s="296"/>
      <c r="AI22" s="296"/>
      <c r="AJ22" s="296"/>
      <c r="AK22" s="296"/>
      <c r="AL22" s="296"/>
      <c r="AM22" s="296"/>
      <c r="AN22" s="296"/>
      <c r="AO22" s="296"/>
      <c r="AP22" s="296"/>
      <c r="AQ22" s="296"/>
      <c r="AR22" s="296"/>
      <c r="AS22" s="296"/>
      <c r="AT22" s="296"/>
      <c r="AU22" s="296"/>
      <c r="AV22" s="296"/>
      <c r="AW22" s="296"/>
      <c r="AX22" s="296"/>
      <c r="AY22" s="296"/>
      <c r="AZ22" s="296"/>
      <c r="BA22" s="296"/>
      <c r="BB22" s="296"/>
      <c r="BC22" s="296"/>
      <c r="BD22" s="296"/>
      <c r="BE22" s="296"/>
      <c r="BF22" s="296"/>
      <c r="BG22" s="296"/>
      <c r="BH22" s="296"/>
      <c r="BI22" s="296"/>
      <c r="BJ22" s="296"/>
      <c r="BK22" s="296"/>
      <c r="BL22" s="296"/>
      <c r="BM22" s="296"/>
      <c r="BN22" s="296"/>
      <c r="BO22" s="296"/>
      <c r="BP22" s="296"/>
      <c r="BQ22" s="296"/>
      <c r="BR22" s="296"/>
      <c r="BS22" s="297"/>
      <c r="BT22" s="297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122"/>
      <c r="CF22" s="122"/>
      <c r="CG22" s="122"/>
      <c r="CH22" s="122"/>
      <c r="CI22" s="122"/>
      <c r="CJ22" s="122"/>
      <c r="CK22" s="122"/>
      <c r="CL22" s="122"/>
      <c r="CM22" s="122"/>
      <c r="CN22" s="122"/>
      <c r="CO22" s="122"/>
      <c r="CP22" s="122"/>
      <c r="CQ22" s="122"/>
      <c r="CR22" s="122"/>
      <c r="CS22" s="122"/>
      <c r="CT22" s="122"/>
      <c r="CU22" s="122"/>
      <c r="CV22" s="122"/>
      <c r="CW22" s="122"/>
      <c r="CX22" s="122"/>
      <c r="CY22" s="122"/>
      <c r="CZ22" s="122"/>
      <c r="DA22" s="122"/>
      <c r="DB22" s="122"/>
      <c r="DC22" s="122"/>
      <c r="DD22" s="122"/>
      <c r="DE22" s="122"/>
      <c r="DF22" s="122"/>
      <c r="DG22" s="122"/>
      <c r="DH22" s="122"/>
      <c r="DI22" s="122"/>
      <c r="DJ22" s="122"/>
      <c r="DK22" s="122"/>
      <c r="DL22" s="122"/>
      <c r="DM22" s="122"/>
      <c r="DN22" s="122"/>
      <c r="DO22" s="122"/>
      <c r="DP22" s="122"/>
      <c r="DQ22" s="122"/>
      <c r="DR22" s="122"/>
      <c r="DS22" s="122"/>
      <c r="DT22" s="122"/>
      <c r="DU22" s="122"/>
      <c r="DV22" s="122"/>
      <c r="DW22" s="122"/>
      <c r="DX22" s="122"/>
      <c r="DY22" s="122"/>
      <c r="DZ22" s="122"/>
      <c r="EA22" s="122"/>
      <c r="EB22" s="122"/>
      <c r="EC22" s="122"/>
      <c r="ED22" s="122"/>
      <c r="EE22" s="122"/>
      <c r="EF22" s="122"/>
      <c r="EG22" s="122"/>
      <c r="EH22" s="122"/>
      <c r="EI22" s="122"/>
      <c r="EJ22" s="122"/>
      <c r="EK22" s="122"/>
      <c r="EL22" s="122"/>
      <c r="EM22" s="122"/>
      <c r="EN22" s="122"/>
      <c r="EO22" s="122"/>
      <c r="EP22" s="122"/>
      <c r="EQ22" s="122"/>
      <c r="ER22" s="122"/>
      <c r="ES22" s="122"/>
      <c r="ET22" s="122"/>
      <c r="EU22" s="122"/>
      <c r="EV22" s="122"/>
      <c r="EW22" s="122"/>
      <c r="EX22" s="122"/>
      <c r="EY22" s="122"/>
      <c r="EZ22" s="122"/>
      <c r="FA22" s="122"/>
      <c r="FB22" s="122"/>
      <c r="FC22" s="122"/>
      <c r="FD22" s="122"/>
      <c r="FE22" s="122"/>
      <c r="FF22" s="122"/>
      <c r="FG22" s="122"/>
      <c r="FH22" s="122"/>
      <c r="FI22" s="122"/>
      <c r="FJ22" s="122"/>
      <c r="FK22" s="122"/>
      <c r="FL22" s="122"/>
      <c r="FM22" s="122"/>
      <c r="FN22" s="122"/>
      <c r="FO22" s="122"/>
      <c r="FP22" s="122"/>
      <c r="FQ22" s="122"/>
      <c r="FR22" s="122"/>
      <c r="FS22" s="122"/>
      <c r="FT22" s="122"/>
      <c r="FU22" s="122"/>
      <c r="FV22" s="122"/>
      <c r="FW22" s="122"/>
      <c r="FX22" s="122"/>
      <c r="FY22" s="122"/>
      <c r="FZ22" s="122"/>
      <c r="GA22" s="122"/>
      <c r="GB22" s="122"/>
      <c r="GC22" s="122"/>
      <c r="GD22" s="122"/>
      <c r="GE22" s="122"/>
      <c r="GF22" s="122"/>
      <c r="GG22" s="122"/>
      <c r="GH22" s="122"/>
      <c r="GI22" s="122"/>
    </row>
    <row r="23" spans="1:191" s="13" customFormat="1" ht="20.25" customHeight="1">
      <c r="A23" s="117">
        <v>8</v>
      </c>
      <c r="B23" s="124"/>
      <c r="C23" s="120"/>
      <c r="D23" s="102">
        <f t="shared" ref="D23" si="10">IFERROR(SUMPRODUCT(F23:HE23,$F$6:$HE$6)/100,0)</f>
        <v>0</v>
      </c>
      <c r="E23" s="103"/>
      <c r="F23" s="296"/>
      <c r="G23" s="296"/>
      <c r="H23" s="296"/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  <c r="Y23" s="296"/>
      <c r="Z23" s="296"/>
      <c r="AA23" s="296"/>
      <c r="AB23" s="296"/>
      <c r="AC23" s="296"/>
      <c r="AD23" s="296"/>
      <c r="AE23" s="296"/>
      <c r="AF23" s="296"/>
      <c r="AG23" s="296"/>
      <c r="AH23" s="296"/>
      <c r="AI23" s="296"/>
      <c r="AJ23" s="296"/>
      <c r="AK23" s="296"/>
      <c r="AL23" s="296"/>
      <c r="AM23" s="296"/>
      <c r="AN23" s="296"/>
      <c r="AO23" s="296"/>
      <c r="AP23" s="296"/>
      <c r="AQ23" s="296"/>
      <c r="AR23" s="296"/>
      <c r="AS23" s="296"/>
      <c r="AT23" s="296"/>
      <c r="AU23" s="296"/>
      <c r="AV23" s="296"/>
      <c r="AW23" s="296"/>
      <c r="AX23" s="296"/>
      <c r="AY23" s="296"/>
      <c r="AZ23" s="296"/>
      <c r="BA23" s="296"/>
      <c r="BB23" s="296"/>
      <c r="BC23" s="296"/>
      <c r="BD23" s="296"/>
      <c r="BE23" s="296"/>
      <c r="BF23" s="296"/>
      <c r="BG23" s="296"/>
      <c r="BH23" s="296"/>
      <c r="BI23" s="296"/>
      <c r="BJ23" s="296"/>
      <c r="BK23" s="296"/>
      <c r="BL23" s="296"/>
      <c r="BM23" s="296"/>
      <c r="BN23" s="296"/>
      <c r="BO23" s="296"/>
      <c r="BP23" s="296"/>
      <c r="BQ23" s="296"/>
      <c r="BR23" s="296"/>
      <c r="BS23" s="297"/>
      <c r="BT23" s="297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122"/>
      <c r="CF23" s="122"/>
      <c r="CG23" s="122"/>
      <c r="CH23" s="122"/>
      <c r="CI23" s="122"/>
      <c r="CJ23" s="122"/>
      <c r="CK23" s="122"/>
      <c r="CL23" s="122"/>
      <c r="CM23" s="122"/>
      <c r="CN23" s="122"/>
      <c r="CO23" s="122"/>
      <c r="CP23" s="122"/>
      <c r="CQ23" s="122"/>
      <c r="CR23" s="122"/>
      <c r="CS23" s="122"/>
      <c r="CT23" s="122"/>
      <c r="CU23" s="122"/>
      <c r="CV23" s="122"/>
      <c r="CW23" s="122"/>
      <c r="CX23" s="122"/>
      <c r="CY23" s="122"/>
      <c r="CZ23" s="122"/>
      <c r="DA23" s="122"/>
      <c r="DB23" s="122"/>
      <c r="DC23" s="122"/>
      <c r="DD23" s="122"/>
      <c r="DE23" s="122"/>
      <c r="DF23" s="122"/>
      <c r="DG23" s="122"/>
      <c r="DH23" s="122"/>
      <c r="DI23" s="122"/>
      <c r="DJ23" s="122"/>
      <c r="DK23" s="122"/>
      <c r="DL23" s="122"/>
      <c r="DM23" s="122"/>
      <c r="DN23" s="122"/>
      <c r="DO23" s="122"/>
      <c r="DP23" s="122"/>
      <c r="DQ23" s="122"/>
      <c r="DR23" s="122"/>
      <c r="DS23" s="122"/>
      <c r="DT23" s="122"/>
      <c r="DU23" s="122"/>
      <c r="DV23" s="122"/>
      <c r="DW23" s="122"/>
      <c r="DX23" s="122"/>
      <c r="DY23" s="122"/>
      <c r="DZ23" s="122"/>
      <c r="EA23" s="122"/>
      <c r="EB23" s="122"/>
      <c r="EC23" s="122"/>
      <c r="ED23" s="122"/>
      <c r="EE23" s="122"/>
      <c r="EF23" s="122"/>
      <c r="EG23" s="122"/>
      <c r="EH23" s="122"/>
      <c r="EI23" s="122"/>
      <c r="EJ23" s="122"/>
      <c r="EK23" s="122"/>
      <c r="EL23" s="122"/>
      <c r="EM23" s="122"/>
      <c r="EN23" s="122"/>
      <c r="EO23" s="122"/>
      <c r="EP23" s="122"/>
      <c r="EQ23" s="122"/>
      <c r="ER23" s="122"/>
      <c r="ES23" s="122"/>
      <c r="ET23" s="122"/>
      <c r="EU23" s="122"/>
      <c r="EV23" s="122"/>
      <c r="EW23" s="122"/>
      <c r="EX23" s="122"/>
      <c r="EY23" s="122"/>
      <c r="EZ23" s="122"/>
      <c r="FA23" s="122"/>
      <c r="FB23" s="122"/>
      <c r="FC23" s="122"/>
      <c r="FD23" s="122"/>
      <c r="FE23" s="122"/>
      <c r="FF23" s="122"/>
      <c r="FG23" s="122"/>
      <c r="FH23" s="122"/>
      <c r="FI23" s="122"/>
      <c r="FJ23" s="122"/>
      <c r="FK23" s="122"/>
      <c r="FL23" s="122"/>
      <c r="FM23" s="122"/>
      <c r="FN23" s="122"/>
      <c r="FO23" s="122"/>
      <c r="FP23" s="122"/>
      <c r="FQ23" s="122"/>
      <c r="FR23" s="122"/>
      <c r="FS23" s="122"/>
      <c r="FT23" s="122"/>
      <c r="FU23" s="122"/>
      <c r="FV23" s="122"/>
      <c r="FW23" s="122"/>
      <c r="FX23" s="122"/>
      <c r="FY23" s="122"/>
      <c r="FZ23" s="122"/>
      <c r="GA23" s="122"/>
      <c r="GB23" s="122"/>
      <c r="GC23" s="122"/>
      <c r="GD23" s="122"/>
      <c r="GE23" s="122"/>
      <c r="GF23" s="122"/>
      <c r="GG23" s="122"/>
      <c r="GH23" s="122"/>
      <c r="GI23" s="122"/>
    </row>
    <row r="24" spans="1:191" s="13" customFormat="1" ht="20.25" customHeight="1">
      <c r="A24" s="117"/>
      <c r="B24" s="124"/>
      <c r="C24" s="120"/>
      <c r="D24" s="121"/>
      <c r="E24" s="103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6"/>
      <c r="AA24" s="296"/>
      <c r="AB24" s="296"/>
      <c r="AC24" s="296"/>
      <c r="AD24" s="296"/>
      <c r="AE24" s="296"/>
      <c r="AF24" s="296"/>
      <c r="AG24" s="296"/>
      <c r="AH24" s="296"/>
      <c r="AI24" s="296"/>
      <c r="AJ24" s="296"/>
      <c r="AK24" s="296"/>
      <c r="AL24" s="296"/>
      <c r="AM24" s="296"/>
      <c r="AN24" s="296"/>
      <c r="AO24" s="296"/>
      <c r="AP24" s="296"/>
      <c r="AQ24" s="296"/>
      <c r="AR24" s="296"/>
      <c r="AS24" s="296"/>
      <c r="AT24" s="296"/>
      <c r="AU24" s="296"/>
      <c r="AV24" s="296"/>
      <c r="AW24" s="296"/>
      <c r="AX24" s="296"/>
      <c r="AY24" s="296"/>
      <c r="AZ24" s="296"/>
      <c r="BA24" s="296"/>
      <c r="BB24" s="296"/>
      <c r="BC24" s="296"/>
      <c r="BD24" s="296"/>
      <c r="BE24" s="296"/>
      <c r="BF24" s="296"/>
      <c r="BG24" s="296"/>
      <c r="BH24" s="296"/>
      <c r="BI24" s="296"/>
      <c r="BJ24" s="296"/>
      <c r="BK24" s="296"/>
      <c r="BL24" s="296"/>
      <c r="BM24" s="296"/>
      <c r="BN24" s="296"/>
      <c r="BO24" s="296"/>
      <c r="BP24" s="296"/>
      <c r="BQ24" s="296"/>
      <c r="BR24" s="296"/>
      <c r="BS24" s="297"/>
      <c r="BT24" s="297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122"/>
      <c r="CF24" s="122"/>
      <c r="CG24" s="122"/>
      <c r="CH24" s="122"/>
      <c r="CI24" s="122"/>
      <c r="CJ24" s="122"/>
      <c r="CK24" s="122"/>
      <c r="CL24" s="122"/>
      <c r="CM24" s="122"/>
      <c r="CN24" s="122"/>
      <c r="CO24" s="122"/>
      <c r="CP24" s="122"/>
      <c r="CQ24" s="122"/>
      <c r="CR24" s="122"/>
      <c r="CS24" s="122"/>
      <c r="CT24" s="122"/>
      <c r="CU24" s="122"/>
      <c r="CV24" s="122"/>
      <c r="CW24" s="122"/>
      <c r="CX24" s="122"/>
      <c r="CY24" s="122"/>
      <c r="CZ24" s="122"/>
      <c r="DA24" s="122"/>
      <c r="DB24" s="122"/>
      <c r="DC24" s="122"/>
      <c r="DD24" s="122"/>
      <c r="DE24" s="122"/>
      <c r="DF24" s="122"/>
      <c r="DG24" s="122"/>
      <c r="DH24" s="122"/>
      <c r="DI24" s="122"/>
      <c r="DJ24" s="122"/>
      <c r="DK24" s="122"/>
      <c r="DL24" s="122"/>
      <c r="DM24" s="122"/>
      <c r="DN24" s="122"/>
      <c r="DO24" s="122"/>
      <c r="DP24" s="122"/>
      <c r="DQ24" s="122"/>
      <c r="DR24" s="122"/>
      <c r="DS24" s="122"/>
      <c r="DT24" s="122"/>
      <c r="DU24" s="122"/>
      <c r="DV24" s="122"/>
      <c r="DW24" s="122"/>
      <c r="DX24" s="122"/>
      <c r="DY24" s="122"/>
      <c r="DZ24" s="122"/>
      <c r="EA24" s="122"/>
      <c r="EB24" s="122"/>
      <c r="EC24" s="122"/>
      <c r="ED24" s="122"/>
      <c r="EE24" s="122"/>
      <c r="EF24" s="122"/>
      <c r="EG24" s="122"/>
      <c r="EH24" s="122"/>
      <c r="EI24" s="122"/>
      <c r="EJ24" s="122"/>
      <c r="EK24" s="122"/>
      <c r="EL24" s="122"/>
      <c r="EM24" s="122"/>
      <c r="EN24" s="122"/>
      <c r="EO24" s="122"/>
      <c r="EP24" s="122"/>
      <c r="EQ24" s="122"/>
      <c r="ER24" s="122"/>
      <c r="ES24" s="122"/>
      <c r="ET24" s="122"/>
      <c r="EU24" s="122"/>
      <c r="EV24" s="122"/>
      <c r="EW24" s="122"/>
      <c r="EX24" s="122"/>
      <c r="EY24" s="122"/>
      <c r="EZ24" s="122"/>
      <c r="FA24" s="122"/>
      <c r="FB24" s="122"/>
      <c r="FC24" s="122"/>
      <c r="FD24" s="122"/>
      <c r="FE24" s="122"/>
      <c r="FF24" s="122"/>
      <c r="FG24" s="122"/>
      <c r="FH24" s="122"/>
      <c r="FI24" s="122"/>
      <c r="FJ24" s="122"/>
      <c r="FK24" s="122"/>
      <c r="FL24" s="122"/>
      <c r="FM24" s="122"/>
      <c r="FN24" s="122"/>
      <c r="FO24" s="122"/>
      <c r="FP24" s="122"/>
      <c r="FQ24" s="122"/>
      <c r="FR24" s="122"/>
      <c r="FS24" s="122"/>
      <c r="FT24" s="122"/>
      <c r="FU24" s="122"/>
      <c r="FV24" s="122"/>
      <c r="FW24" s="122"/>
      <c r="FX24" s="122"/>
      <c r="FY24" s="122"/>
      <c r="FZ24" s="122"/>
      <c r="GA24" s="122"/>
      <c r="GB24" s="122"/>
      <c r="GC24" s="122"/>
      <c r="GD24" s="122"/>
      <c r="GE24" s="122"/>
      <c r="GF24" s="122"/>
      <c r="GG24" s="122"/>
      <c r="GH24" s="122"/>
      <c r="GI24" s="122"/>
    </row>
    <row r="25" spans="1:191" s="13" customFormat="1" ht="20.25" customHeight="1">
      <c r="A25" s="117">
        <v>9</v>
      </c>
      <c r="B25" s="124"/>
      <c r="C25" s="120"/>
      <c r="D25" s="102">
        <f t="shared" ref="D25" si="11">IFERROR(SUMPRODUCT(F25:HE25,$F$6:$HE$6)/100,0)</f>
        <v>0</v>
      </c>
      <c r="E25" s="103"/>
      <c r="F25" s="296"/>
      <c r="G25" s="296"/>
      <c r="H25" s="296"/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  <c r="Y25" s="296"/>
      <c r="Z25" s="296"/>
      <c r="AA25" s="296"/>
      <c r="AB25" s="296"/>
      <c r="AC25" s="296"/>
      <c r="AD25" s="296"/>
      <c r="AE25" s="296"/>
      <c r="AF25" s="296"/>
      <c r="AG25" s="296"/>
      <c r="AH25" s="296"/>
      <c r="AI25" s="296"/>
      <c r="AJ25" s="296"/>
      <c r="AK25" s="296"/>
      <c r="AL25" s="296"/>
      <c r="AM25" s="296"/>
      <c r="AN25" s="296"/>
      <c r="AO25" s="296"/>
      <c r="AP25" s="296"/>
      <c r="AQ25" s="296"/>
      <c r="AR25" s="296"/>
      <c r="AS25" s="296"/>
      <c r="AT25" s="296"/>
      <c r="AU25" s="296"/>
      <c r="AV25" s="296"/>
      <c r="AW25" s="296"/>
      <c r="AX25" s="296"/>
      <c r="AY25" s="296"/>
      <c r="AZ25" s="296"/>
      <c r="BA25" s="296"/>
      <c r="BB25" s="296"/>
      <c r="BC25" s="296"/>
      <c r="BD25" s="296"/>
      <c r="BE25" s="296"/>
      <c r="BF25" s="296"/>
      <c r="BG25" s="296"/>
      <c r="BH25" s="296"/>
      <c r="BI25" s="296"/>
      <c r="BJ25" s="296"/>
      <c r="BK25" s="296"/>
      <c r="BL25" s="296"/>
      <c r="BM25" s="296"/>
      <c r="BN25" s="296"/>
      <c r="BO25" s="296"/>
      <c r="BP25" s="296"/>
      <c r="BQ25" s="296"/>
      <c r="BR25" s="296"/>
      <c r="BS25" s="296"/>
      <c r="BT25" s="297"/>
      <c r="BU25" s="297"/>
      <c r="BV25" s="297"/>
      <c r="BW25" s="296"/>
      <c r="BX25" s="296"/>
      <c r="BY25" s="296"/>
      <c r="BZ25" s="296"/>
      <c r="CA25" s="296"/>
      <c r="CB25" s="296"/>
      <c r="CC25" s="296"/>
      <c r="CD25" s="296"/>
      <c r="CE25" s="122"/>
      <c r="CF25" s="122"/>
      <c r="CG25" s="122"/>
      <c r="CH25" s="122"/>
      <c r="CI25" s="122"/>
      <c r="CJ25" s="122"/>
      <c r="CK25" s="122"/>
      <c r="CL25" s="122"/>
      <c r="CM25" s="122"/>
      <c r="CN25" s="122"/>
      <c r="CO25" s="122"/>
      <c r="CP25" s="122"/>
      <c r="CQ25" s="122"/>
      <c r="CR25" s="122"/>
      <c r="CS25" s="122"/>
      <c r="CT25" s="122"/>
      <c r="CU25" s="122"/>
      <c r="CV25" s="122"/>
      <c r="CW25" s="122"/>
      <c r="CX25" s="122"/>
      <c r="CY25" s="122"/>
      <c r="CZ25" s="122"/>
      <c r="DA25" s="122"/>
      <c r="DB25" s="122"/>
      <c r="DC25" s="122"/>
      <c r="DD25" s="122"/>
      <c r="DE25" s="122"/>
      <c r="DF25" s="122"/>
      <c r="DG25" s="122"/>
      <c r="DH25" s="122"/>
      <c r="DI25" s="122"/>
      <c r="DJ25" s="122"/>
      <c r="DK25" s="122"/>
      <c r="DL25" s="122"/>
      <c r="DM25" s="122"/>
      <c r="DN25" s="122"/>
      <c r="DO25" s="122"/>
      <c r="DP25" s="122"/>
      <c r="DQ25" s="122"/>
      <c r="DR25" s="122"/>
      <c r="DS25" s="122"/>
      <c r="DT25" s="122"/>
      <c r="DU25" s="122"/>
      <c r="DV25" s="122"/>
      <c r="DW25" s="122"/>
      <c r="DX25" s="122"/>
      <c r="DY25" s="122"/>
      <c r="DZ25" s="122"/>
      <c r="EA25" s="122"/>
      <c r="EB25" s="122"/>
      <c r="EC25" s="122"/>
      <c r="ED25" s="122"/>
      <c r="EE25" s="122"/>
      <c r="EF25" s="122"/>
      <c r="EG25" s="122"/>
      <c r="EH25" s="122"/>
      <c r="EI25" s="122"/>
      <c r="EJ25" s="122"/>
      <c r="EK25" s="122"/>
      <c r="EL25" s="122"/>
      <c r="EM25" s="122"/>
      <c r="EN25" s="122"/>
      <c r="EO25" s="122"/>
      <c r="EP25" s="122"/>
      <c r="EQ25" s="122"/>
      <c r="ER25" s="122"/>
      <c r="ES25" s="122"/>
      <c r="ET25" s="122"/>
      <c r="EU25" s="122"/>
      <c r="EV25" s="122"/>
      <c r="EW25" s="122"/>
      <c r="EX25" s="122"/>
      <c r="EY25" s="122"/>
      <c r="EZ25" s="122"/>
      <c r="FA25" s="122"/>
      <c r="FB25" s="122"/>
      <c r="FC25" s="122"/>
      <c r="FD25" s="122"/>
      <c r="FE25" s="122"/>
      <c r="FF25" s="122"/>
      <c r="FG25" s="122"/>
      <c r="FH25" s="122"/>
      <c r="FI25" s="122"/>
      <c r="FJ25" s="122"/>
      <c r="FK25" s="122"/>
      <c r="FL25" s="122"/>
      <c r="FM25" s="122"/>
      <c r="FN25" s="122"/>
      <c r="FO25" s="122"/>
      <c r="FP25" s="122"/>
      <c r="FQ25" s="122"/>
      <c r="FR25" s="122"/>
      <c r="FS25" s="122"/>
      <c r="FT25" s="122"/>
      <c r="FU25" s="122"/>
      <c r="FV25" s="122"/>
      <c r="FW25" s="122"/>
      <c r="FX25" s="122"/>
      <c r="FY25" s="122"/>
      <c r="FZ25" s="122"/>
      <c r="GA25" s="122"/>
      <c r="GB25" s="122"/>
      <c r="GC25" s="122"/>
      <c r="GD25" s="122"/>
      <c r="GE25" s="122"/>
      <c r="GF25" s="122"/>
      <c r="GG25" s="122"/>
      <c r="GH25" s="122"/>
      <c r="GI25" s="122"/>
    </row>
    <row r="26" spans="1:191" s="13" customFormat="1" ht="20.25" customHeight="1">
      <c r="A26" s="117"/>
      <c r="B26" s="124"/>
      <c r="C26" s="120"/>
      <c r="D26" s="121"/>
      <c r="E26" s="103"/>
      <c r="F26" s="296"/>
      <c r="G26" s="296"/>
      <c r="H26" s="296"/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  <c r="Y26" s="296"/>
      <c r="Z26" s="296"/>
      <c r="AA26" s="296"/>
      <c r="AB26" s="296"/>
      <c r="AC26" s="296"/>
      <c r="AD26" s="296"/>
      <c r="AE26" s="296"/>
      <c r="AF26" s="296"/>
      <c r="AG26" s="296"/>
      <c r="AH26" s="296"/>
      <c r="AI26" s="296"/>
      <c r="AJ26" s="296"/>
      <c r="AK26" s="296"/>
      <c r="AL26" s="296"/>
      <c r="AM26" s="296"/>
      <c r="AN26" s="296"/>
      <c r="AO26" s="296"/>
      <c r="AP26" s="296"/>
      <c r="AQ26" s="296"/>
      <c r="AR26" s="296"/>
      <c r="AS26" s="296"/>
      <c r="AT26" s="296"/>
      <c r="AU26" s="296"/>
      <c r="AV26" s="296"/>
      <c r="AW26" s="296"/>
      <c r="AX26" s="296"/>
      <c r="AY26" s="296"/>
      <c r="AZ26" s="296"/>
      <c r="BA26" s="296"/>
      <c r="BB26" s="296"/>
      <c r="BC26" s="296"/>
      <c r="BD26" s="296"/>
      <c r="BE26" s="296"/>
      <c r="BF26" s="296"/>
      <c r="BG26" s="296"/>
      <c r="BH26" s="296"/>
      <c r="BI26" s="296"/>
      <c r="BJ26" s="296"/>
      <c r="BK26" s="296"/>
      <c r="BL26" s="296"/>
      <c r="BM26" s="296"/>
      <c r="BN26" s="296"/>
      <c r="BO26" s="296"/>
      <c r="BP26" s="296"/>
      <c r="BQ26" s="296"/>
      <c r="BR26" s="296"/>
      <c r="BS26" s="297"/>
      <c r="BT26" s="297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122"/>
      <c r="CF26" s="122"/>
      <c r="CG26" s="122"/>
      <c r="CH26" s="122"/>
      <c r="CI26" s="122"/>
      <c r="CJ26" s="122"/>
      <c r="CK26" s="122"/>
      <c r="CL26" s="122"/>
      <c r="CM26" s="122"/>
      <c r="CN26" s="122"/>
      <c r="CO26" s="122"/>
      <c r="CP26" s="122"/>
      <c r="CQ26" s="122"/>
      <c r="CR26" s="122"/>
      <c r="CS26" s="122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22"/>
      <c r="DE26" s="122"/>
      <c r="DF26" s="122"/>
      <c r="DG26" s="122"/>
      <c r="DH26" s="122"/>
      <c r="DI26" s="122"/>
      <c r="DJ26" s="122"/>
      <c r="DK26" s="122"/>
      <c r="DL26" s="122"/>
      <c r="DM26" s="122"/>
      <c r="DN26" s="122"/>
      <c r="DO26" s="122"/>
      <c r="DP26" s="122"/>
      <c r="DQ26" s="122"/>
      <c r="DR26" s="122"/>
      <c r="DS26" s="122"/>
      <c r="DT26" s="122"/>
      <c r="DU26" s="122"/>
      <c r="DV26" s="122"/>
      <c r="DW26" s="122"/>
      <c r="DX26" s="122"/>
      <c r="DY26" s="122"/>
      <c r="DZ26" s="122"/>
      <c r="EA26" s="122"/>
      <c r="EB26" s="122"/>
      <c r="EC26" s="122"/>
      <c r="ED26" s="122"/>
      <c r="EE26" s="122"/>
      <c r="EF26" s="122"/>
      <c r="EG26" s="122"/>
      <c r="EH26" s="122"/>
      <c r="EI26" s="122"/>
      <c r="EJ26" s="122"/>
      <c r="EK26" s="122"/>
      <c r="EL26" s="122"/>
      <c r="EM26" s="122"/>
      <c r="EN26" s="122"/>
      <c r="EO26" s="122"/>
      <c r="EP26" s="122"/>
      <c r="EQ26" s="122"/>
      <c r="ER26" s="122"/>
      <c r="ES26" s="122"/>
      <c r="ET26" s="122"/>
      <c r="EU26" s="122"/>
      <c r="EV26" s="122"/>
      <c r="EW26" s="122"/>
      <c r="EX26" s="122"/>
      <c r="EY26" s="122"/>
      <c r="EZ26" s="122"/>
      <c r="FA26" s="122"/>
      <c r="FB26" s="122"/>
      <c r="FC26" s="122"/>
      <c r="FD26" s="122"/>
      <c r="FE26" s="122"/>
      <c r="FF26" s="122"/>
      <c r="FG26" s="122"/>
      <c r="FH26" s="122"/>
      <c r="FI26" s="122"/>
      <c r="FJ26" s="122"/>
      <c r="FK26" s="122"/>
      <c r="FL26" s="122"/>
      <c r="FM26" s="122"/>
      <c r="FN26" s="122"/>
      <c r="FO26" s="122"/>
      <c r="FP26" s="122"/>
      <c r="FQ26" s="122"/>
      <c r="FR26" s="122"/>
      <c r="FS26" s="122"/>
      <c r="FT26" s="122"/>
      <c r="FU26" s="122"/>
      <c r="FV26" s="122"/>
      <c r="FW26" s="122"/>
      <c r="FX26" s="122"/>
      <c r="FY26" s="122"/>
      <c r="FZ26" s="122"/>
      <c r="GA26" s="122"/>
      <c r="GB26" s="122"/>
      <c r="GC26" s="122"/>
      <c r="GD26" s="122"/>
      <c r="GE26" s="122"/>
      <c r="GF26" s="122"/>
      <c r="GG26" s="122"/>
      <c r="GH26" s="122"/>
      <c r="GI26" s="122"/>
    </row>
    <row r="27" spans="1:191" s="13" customFormat="1" ht="20.25" customHeight="1">
      <c r="A27" s="117">
        <v>10</v>
      </c>
      <c r="B27" s="128"/>
      <c r="C27" s="117"/>
      <c r="D27" s="102">
        <f t="shared" ref="D27" si="12">IFERROR(SUMPRODUCT(F27:HE27,$F$6:$HE$6)/100,0)</f>
        <v>0</v>
      </c>
      <c r="E27" s="103"/>
      <c r="F27" s="296"/>
      <c r="G27" s="296"/>
      <c r="H27" s="296"/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  <c r="Y27" s="296"/>
      <c r="Z27" s="296"/>
      <c r="AA27" s="296"/>
      <c r="AB27" s="296"/>
      <c r="AC27" s="296"/>
      <c r="AD27" s="296"/>
      <c r="AE27" s="296"/>
      <c r="AF27" s="296"/>
      <c r="AG27" s="296"/>
      <c r="AH27" s="296"/>
      <c r="AI27" s="296"/>
      <c r="AJ27" s="296"/>
      <c r="AK27" s="296"/>
      <c r="AL27" s="296"/>
      <c r="AM27" s="296"/>
      <c r="AN27" s="296"/>
      <c r="AO27" s="296"/>
      <c r="AP27" s="296"/>
      <c r="AQ27" s="296"/>
      <c r="AR27" s="296"/>
      <c r="AS27" s="296"/>
      <c r="AT27" s="296"/>
      <c r="AU27" s="296"/>
      <c r="AV27" s="296"/>
      <c r="AW27" s="296"/>
      <c r="AX27" s="296"/>
      <c r="AY27" s="296"/>
      <c r="AZ27" s="296"/>
      <c r="BA27" s="296"/>
      <c r="BB27" s="296"/>
      <c r="BC27" s="296"/>
      <c r="BD27" s="296"/>
      <c r="BE27" s="296"/>
      <c r="BF27" s="296"/>
      <c r="BG27" s="296"/>
      <c r="BH27" s="296"/>
      <c r="BI27" s="296"/>
      <c r="BJ27" s="296"/>
      <c r="BK27" s="296"/>
      <c r="BL27" s="296"/>
      <c r="BM27" s="296"/>
      <c r="BN27" s="296"/>
      <c r="BO27" s="296"/>
      <c r="BP27" s="296"/>
      <c r="BQ27" s="296"/>
      <c r="BR27" s="296"/>
      <c r="BS27" s="297"/>
      <c r="BT27" s="297"/>
      <c r="BU27" s="297"/>
      <c r="BV27" s="297"/>
      <c r="BW27" s="296"/>
      <c r="BX27" s="296"/>
      <c r="BY27" s="296"/>
      <c r="BZ27" s="296"/>
      <c r="CA27" s="296"/>
      <c r="CB27" s="296"/>
      <c r="CC27" s="296"/>
      <c r="CD27" s="296"/>
      <c r="CE27" s="122"/>
      <c r="CF27" s="122"/>
      <c r="CG27" s="122"/>
      <c r="CH27" s="122"/>
      <c r="CI27" s="122"/>
      <c r="CJ27" s="122"/>
      <c r="CK27" s="122"/>
      <c r="CL27" s="122"/>
      <c r="CM27" s="122"/>
      <c r="CN27" s="122"/>
      <c r="CO27" s="122"/>
      <c r="CP27" s="122"/>
      <c r="CQ27" s="122"/>
      <c r="CR27" s="122"/>
      <c r="CS27" s="122"/>
      <c r="CT27" s="122"/>
      <c r="CU27" s="122"/>
      <c r="CV27" s="122"/>
      <c r="CW27" s="122"/>
      <c r="CX27" s="122"/>
      <c r="CY27" s="122"/>
      <c r="CZ27" s="122"/>
      <c r="DA27" s="122"/>
      <c r="DB27" s="122"/>
      <c r="DC27" s="122"/>
      <c r="DD27" s="122"/>
      <c r="DE27" s="122"/>
      <c r="DF27" s="122"/>
      <c r="DG27" s="122"/>
      <c r="DH27" s="122"/>
      <c r="DI27" s="122"/>
      <c r="DJ27" s="122"/>
      <c r="DK27" s="122"/>
      <c r="DL27" s="122"/>
      <c r="DM27" s="122"/>
      <c r="DN27" s="122"/>
      <c r="DO27" s="122"/>
      <c r="DP27" s="122"/>
      <c r="DQ27" s="122"/>
      <c r="DR27" s="122"/>
      <c r="DS27" s="122"/>
      <c r="DT27" s="122"/>
      <c r="DU27" s="122"/>
      <c r="DV27" s="122"/>
      <c r="DW27" s="122"/>
      <c r="DX27" s="122"/>
      <c r="DY27" s="122"/>
      <c r="DZ27" s="122"/>
      <c r="EA27" s="122"/>
      <c r="EB27" s="122"/>
      <c r="EC27" s="122"/>
      <c r="ED27" s="122"/>
      <c r="EE27" s="122"/>
      <c r="EF27" s="122"/>
      <c r="EG27" s="122"/>
      <c r="EH27" s="122"/>
      <c r="EI27" s="122"/>
      <c r="EJ27" s="122"/>
      <c r="EK27" s="122"/>
      <c r="EL27" s="122"/>
      <c r="EM27" s="122"/>
      <c r="EN27" s="122"/>
      <c r="EO27" s="122"/>
      <c r="EP27" s="122"/>
      <c r="EQ27" s="122"/>
      <c r="ER27" s="122"/>
      <c r="ES27" s="122"/>
      <c r="ET27" s="122"/>
      <c r="EU27" s="122"/>
      <c r="EV27" s="122"/>
      <c r="EW27" s="122"/>
      <c r="EX27" s="122"/>
      <c r="EY27" s="122"/>
      <c r="EZ27" s="122"/>
      <c r="FA27" s="122"/>
      <c r="FB27" s="122"/>
      <c r="FC27" s="122"/>
      <c r="FD27" s="122"/>
      <c r="FE27" s="122"/>
      <c r="FF27" s="122"/>
      <c r="FG27" s="122"/>
      <c r="FH27" s="122"/>
      <c r="FI27" s="122"/>
      <c r="FJ27" s="122"/>
      <c r="FK27" s="122"/>
      <c r="FL27" s="122"/>
      <c r="FM27" s="122"/>
      <c r="FN27" s="122"/>
      <c r="FO27" s="122"/>
      <c r="FP27" s="122"/>
      <c r="FQ27" s="122"/>
      <c r="FR27" s="122"/>
      <c r="FS27" s="122"/>
      <c r="FT27" s="122"/>
      <c r="FU27" s="122"/>
      <c r="FV27" s="122"/>
      <c r="FW27" s="122"/>
      <c r="FX27" s="122"/>
      <c r="FY27" s="122"/>
      <c r="FZ27" s="122"/>
      <c r="GA27" s="122"/>
      <c r="GB27" s="122"/>
      <c r="GC27" s="122"/>
      <c r="GD27" s="122"/>
      <c r="GE27" s="122"/>
      <c r="GF27" s="122"/>
      <c r="GG27" s="122"/>
      <c r="GH27" s="122"/>
      <c r="GI27" s="122"/>
    </row>
    <row r="28" spans="1:191" s="13" customFormat="1" ht="20.25" customHeight="1">
      <c r="A28" s="117"/>
      <c r="B28" s="128"/>
      <c r="C28" s="117"/>
      <c r="D28" s="121"/>
      <c r="E28" s="103"/>
      <c r="F28" s="296"/>
      <c r="G28" s="296"/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7"/>
      <c r="BT28" s="297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122"/>
      <c r="CF28" s="122"/>
      <c r="CG28" s="122"/>
      <c r="CH28" s="122"/>
      <c r="CI28" s="122"/>
      <c r="CJ28" s="122"/>
      <c r="CK28" s="122"/>
      <c r="CL28" s="122"/>
      <c r="CM28" s="122"/>
      <c r="CN28" s="122"/>
      <c r="CO28" s="122"/>
      <c r="CP28" s="122"/>
      <c r="CQ28" s="122"/>
      <c r="CR28" s="122"/>
      <c r="CS28" s="122"/>
      <c r="CT28" s="122"/>
      <c r="CU28" s="122"/>
      <c r="CV28" s="122"/>
      <c r="CW28" s="122"/>
      <c r="CX28" s="122"/>
      <c r="CY28" s="122"/>
      <c r="CZ28" s="122"/>
      <c r="DA28" s="122"/>
      <c r="DB28" s="122"/>
      <c r="DC28" s="122"/>
      <c r="DD28" s="122"/>
      <c r="DE28" s="122"/>
      <c r="DF28" s="122"/>
      <c r="DG28" s="122"/>
      <c r="DH28" s="122"/>
      <c r="DI28" s="122"/>
      <c r="DJ28" s="122"/>
      <c r="DK28" s="122"/>
      <c r="DL28" s="122"/>
      <c r="DM28" s="122"/>
      <c r="DN28" s="122"/>
      <c r="DO28" s="122"/>
      <c r="DP28" s="122"/>
      <c r="DQ28" s="122"/>
      <c r="DR28" s="122"/>
      <c r="DS28" s="122"/>
      <c r="DT28" s="122"/>
      <c r="DU28" s="122"/>
      <c r="DV28" s="122"/>
      <c r="DW28" s="122"/>
      <c r="DX28" s="122"/>
      <c r="DY28" s="122"/>
      <c r="DZ28" s="122"/>
      <c r="EA28" s="122"/>
      <c r="EB28" s="122"/>
      <c r="EC28" s="122"/>
      <c r="ED28" s="122"/>
      <c r="EE28" s="122"/>
      <c r="EF28" s="122"/>
      <c r="EG28" s="122"/>
      <c r="EH28" s="122"/>
      <c r="EI28" s="122"/>
      <c r="EJ28" s="122"/>
      <c r="EK28" s="122"/>
      <c r="EL28" s="122"/>
      <c r="EM28" s="122"/>
      <c r="EN28" s="122"/>
      <c r="EO28" s="122"/>
      <c r="EP28" s="122"/>
      <c r="EQ28" s="122"/>
      <c r="ER28" s="122"/>
      <c r="ES28" s="122"/>
      <c r="ET28" s="122"/>
      <c r="EU28" s="122"/>
      <c r="EV28" s="122"/>
      <c r="EW28" s="122"/>
      <c r="EX28" s="122"/>
      <c r="EY28" s="122"/>
      <c r="EZ28" s="122"/>
      <c r="FA28" s="122"/>
      <c r="FB28" s="122"/>
      <c r="FC28" s="122"/>
      <c r="FD28" s="122"/>
      <c r="FE28" s="122"/>
      <c r="FF28" s="122"/>
      <c r="FG28" s="122"/>
      <c r="FH28" s="122"/>
      <c r="FI28" s="122"/>
      <c r="FJ28" s="122"/>
      <c r="FK28" s="122"/>
      <c r="FL28" s="122"/>
      <c r="FM28" s="122"/>
      <c r="FN28" s="122"/>
      <c r="FO28" s="122"/>
      <c r="FP28" s="122"/>
      <c r="FQ28" s="122"/>
      <c r="FR28" s="122"/>
      <c r="FS28" s="122"/>
      <c r="FT28" s="122"/>
      <c r="FU28" s="122"/>
      <c r="FV28" s="122"/>
      <c r="FW28" s="122"/>
      <c r="FX28" s="122"/>
      <c r="FY28" s="122"/>
      <c r="FZ28" s="122"/>
      <c r="GA28" s="122"/>
      <c r="GB28" s="122"/>
      <c r="GC28" s="122"/>
      <c r="GD28" s="122"/>
      <c r="GE28" s="122"/>
      <c r="GF28" s="122"/>
      <c r="GG28" s="122"/>
      <c r="GH28" s="122"/>
      <c r="GI28" s="122"/>
    </row>
    <row r="29" spans="1:191" s="13" customFormat="1" ht="20.25" customHeight="1">
      <c r="A29" s="117">
        <v>11</v>
      </c>
      <c r="B29" s="124"/>
      <c r="C29" s="120"/>
      <c r="D29" s="102">
        <f t="shared" ref="D29" si="13">IFERROR(SUMPRODUCT(F29:HE29,$F$6:$HE$6)/100,0)</f>
        <v>0</v>
      </c>
      <c r="E29" s="103"/>
      <c r="F29" s="296"/>
      <c r="G29" s="296"/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7"/>
      <c r="BT29" s="297"/>
      <c r="BU29" s="297"/>
      <c r="BV29" s="296"/>
      <c r="BW29" s="296"/>
      <c r="BX29" s="296"/>
      <c r="BY29" s="296"/>
      <c r="BZ29" s="296"/>
      <c r="CA29" s="296"/>
      <c r="CB29" s="296"/>
      <c r="CC29" s="296"/>
      <c r="CD29" s="296"/>
      <c r="CE29" s="122"/>
      <c r="CF29" s="122"/>
      <c r="CG29" s="122"/>
      <c r="CH29" s="122"/>
      <c r="CI29" s="122"/>
      <c r="CJ29" s="122"/>
      <c r="CK29" s="122"/>
      <c r="CL29" s="122"/>
      <c r="CM29" s="122"/>
      <c r="CN29" s="122"/>
      <c r="CO29" s="122"/>
      <c r="CP29" s="122"/>
      <c r="CQ29" s="122"/>
      <c r="CR29" s="122"/>
      <c r="CS29" s="122"/>
      <c r="CT29" s="122"/>
      <c r="CU29" s="122"/>
      <c r="CV29" s="122"/>
      <c r="CW29" s="122"/>
      <c r="CX29" s="122"/>
      <c r="CY29" s="122"/>
      <c r="CZ29" s="122"/>
      <c r="DA29" s="122"/>
      <c r="DB29" s="122"/>
      <c r="DC29" s="122"/>
      <c r="DD29" s="122"/>
      <c r="DE29" s="122"/>
      <c r="DF29" s="122"/>
      <c r="DG29" s="122"/>
      <c r="DH29" s="122"/>
      <c r="DI29" s="122"/>
      <c r="DJ29" s="122"/>
      <c r="DK29" s="122"/>
      <c r="DL29" s="122"/>
      <c r="DM29" s="122"/>
      <c r="DN29" s="122"/>
      <c r="DO29" s="122"/>
      <c r="DP29" s="122"/>
      <c r="DQ29" s="122"/>
      <c r="DR29" s="122"/>
      <c r="DS29" s="122"/>
      <c r="DT29" s="122"/>
      <c r="DU29" s="122"/>
      <c r="DV29" s="122"/>
      <c r="DW29" s="122"/>
      <c r="DX29" s="122"/>
      <c r="DY29" s="122"/>
      <c r="DZ29" s="122"/>
      <c r="EA29" s="122"/>
      <c r="EB29" s="122"/>
      <c r="EC29" s="122"/>
      <c r="ED29" s="122"/>
      <c r="EE29" s="122"/>
      <c r="EF29" s="122"/>
      <c r="EG29" s="122"/>
      <c r="EH29" s="122"/>
      <c r="EI29" s="122"/>
      <c r="EJ29" s="122"/>
      <c r="EK29" s="122"/>
      <c r="EL29" s="122"/>
      <c r="EM29" s="122"/>
      <c r="EN29" s="122"/>
      <c r="EO29" s="122"/>
      <c r="EP29" s="122"/>
      <c r="EQ29" s="122"/>
      <c r="ER29" s="122"/>
      <c r="ES29" s="122"/>
      <c r="ET29" s="122"/>
      <c r="EU29" s="122"/>
      <c r="EV29" s="122"/>
      <c r="EW29" s="122"/>
      <c r="EX29" s="122"/>
      <c r="EY29" s="122"/>
      <c r="EZ29" s="122"/>
      <c r="FA29" s="122"/>
      <c r="FB29" s="122"/>
      <c r="FC29" s="122"/>
      <c r="FD29" s="122"/>
      <c r="FE29" s="122"/>
      <c r="FF29" s="122"/>
      <c r="FG29" s="122"/>
      <c r="FH29" s="122"/>
      <c r="FI29" s="122"/>
      <c r="FJ29" s="122"/>
      <c r="FK29" s="122"/>
      <c r="FL29" s="122"/>
      <c r="FM29" s="122"/>
      <c r="FN29" s="122"/>
      <c r="FO29" s="122"/>
      <c r="FP29" s="122"/>
      <c r="FQ29" s="122"/>
      <c r="FR29" s="122"/>
      <c r="FS29" s="122"/>
      <c r="FT29" s="122"/>
      <c r="FU29" s="122"/>
      <c r="FV29" s="122"/>
      <c r="FW29" s="122"/>
      <c r="FX29" s="122"/>
      <c r="FY29" s="122"/>
      <c r="FZ29" s="122"/>
      <c r="GA29" s="122"/>
      <c r="GB29" s="122"/>
      <c r="GC29" s="122"/>
      <c r="GD29" s="122"/>
      <c r="GE29" s="122"/>
      <c r="GF29" s="122"/>
      <c r="GG29" s="122"/>
      <c r="GH29" s="122"/>
      <c r="GI29" s="122"/>
    </row>
    <row r="30" spans="1:191" s="13" customFormat="1" ht="20.25" customHeight="1">
      <c r="A30" s="117"/>
      <c r="B30" s="124"/>
      <c r="C30" s="120"/>
      <c r="D30" s="121"/>
      <c r="E30" s="103"/>
      <c r="F30" s="296"/>
      <c r="G30" s="296"/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8"/>
      <c r="BP30" s="296"/>
      <c r="BQ30" s="296"/>
      <c r="BR30" s="296"/>
      <c r="BS30" s="297"/>
      <c r="BT30" s="297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122"/>
      <c r="CF30" s="122"/>
      <c r="CG30" s="122"/>
      <c r="CH30" s="122"/>
      <c r="CI30" s="122"/>
      <c r="CJ30" s="122"/>
      <c r="CK30" s="122"/>
      <c r="CL30" s="122"/>
      <c r="CM30" s="122"/>
      <c r="CN30" s="122"/>
      <c r="CO30" s="122"/>
      <c r="CP30" s="122"/>
      <c r="CQ30" s="122"/>
      <c r="CR30" s="122"/>
      <c r="CS30" s="122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22"/>
      <c r="DI30" s="122"/>
      <c r="DJ30" s="122"/>
      <c r="DK30" s="122"/>
      <c r="DL30" s="122"/>
      <c r="DM30" s="122"/>
      <c r="DN30" s="122"/>
      <c r="DO30" s="122"/>
      <c r="DP30" s="122"/>
      <c r="DQ30" s="122"/>
      <c r="DR30" s="122"/>
      <c r="DS30" s="122"/>
      <c r="DT30" s="122"/>
      <c r="DU30" s="122"/>
      <c r="DV30" s="122"/>
      <c r="DW30" s="122"/>
      <c r="DX30" s="122"/>
      <c r="DY30" s="122"/>
      <c r="DZ30" s="122"/>
      <c r="EA30" s="122"/>
      <c r="EB30" s="122"/>
      <c r="EC30" s="122"/>
      <c r="ED30" s="122"/>
      <c r="EE30" s="122"/>
      <c r="EF30" s="122"/>
      <c r="EG30" s="122"/>
      <c r="EH30" s="122"/>
      <c r="EI30" s="122"/>
      <c r="EJ30" s="122"/>
      <c r="EK30" s="122"/>
      <c r="EL30" s="122"/>
      <c r="EM30" s="122"/>
      <c r="EN30" s="122"/>
      <c r="EO30" s="122"/>
      <c r="EP30" s="122"/>
      <c r="EQ30" s="122"/>
      <c r="ER30" s="122"/>
      <c r="ES30" s="122"/>
      <c r="ET30" s="122"/>
      <c r="EU30" s="122"/>
      <c r="EV30" s="122"/>
      <c r="EW30" s="122"/>
      <c r="EX30" s="122"/>
      <c r="EY30" s="122"/>
      <c r="EZ30" s="122"/>
      <c r="FA30" s="122"/>
      <c r="FB30" s="122"/>
      <c r="FC30" s="122"/>
      <c r="FD30" s="122"/>
      <c r="FE30" s="122"/>
      <c r="FF30" s="122"/>
      <c r="FG30" s="122"/>
      <c r="FH30" s="122"/>
      <c r="FI30" s="122"/>
      <c r="FJ30" s="122"/>
      <c r="FK30" s="122"/>
      <c r="FL30" s="122"/>
      <c r="FM30" s="122"/>
      <c r="FN30" s="122"/>
      <c r="FO30" s="122"/>
      <c r="FP30" s="122"/>
      <c r="FQ30" s="122"/>
      <c r="FR30" s="122"/>
      <c r="FS30" s="122"/>
      <c r="FT30" s="122"/>
      <c r="FU30" s="122"/>
      <c r="FV30" s="122"/>
      <c r="FW30" s="122"/>
      <c r="FX30" s="122"/>
      <c r="FY30" s="122"/>
      <c r="FZ30" s="122"/>
      <c r="GA30" s="122"/>
      <c r="GB30" s="122"/>
      <c r="GC30" s="122"/>
      <c r="GD30" s="122"/>
      <c r="GE30" s="122"/>
      <c r="GF30" s="122"/>
      <c r="GG30" s="122"/>
      <c r="GH30" s="122"/>
      <c r="GI30" s="122"/>
    </row>
    <row r="31" spans="1:191" s="13" customFormat="1" ht="20.25" customHeight="1">
      <c r="A31" s="117">
        <v>12</v>
      </c>
      <c r="B31" s="124"/>
      <c r="C31" s="120"/>
      <c r="D31" s="102">
        <f t="shared" ref="D31" si="14">IFERROR(SUMPRODUCT(F31:HE31,$F$6:$HE$6)/100,0)</f>
        <v>0</v>
      </c>
      <c r="E31" s="103"/>
      <c r="F31" s="296"/>
      <c r="G31" s="296"/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7"/>
      <c r="BT31" s="297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122"/>
      <c r="CF31" s="122"/>
      <c r="CG31" s="122"/>
      <c r="CH31" s="122"/>
      <c r="CI31" s="122"/>
      <c r="CJ31" s="122"/>
      <c r="CK31" s="122"/>
      <c r="CL31" s="122"/>
      <c r="CM31" s="122"/>
      <c r="CN31" s="122"/>
      <c r="CO31" s="122"/>
      <c r="CP31" s="122"/>
      <c r="CQ31" s="122"/>
      <c r="CR31" s="122"/>
      <c r="CS31" s="122"/>
      <c r="CT31" s="122"/>
      <c r="CU31" s="122"/>
      <c r="CV31" s="122"/>
      <c r="CW31" s="122"/>
      <c r="CX31" s="122"/>
      <c r="CY31" s="122"/>
      <c r="CZ31" s="122"/>
      <c r="DA31" s="122"/>
      <c r="DB31" s="122"/>
      <c r="DC31" s="122"/>
      <c r="DD31" s="122"/>
      <c r="DE31" s="122"/>
      <c r="DF31" s="122"/>
      <c r="DG31" s="122"/>
      <c r="DH31" s="122"/>
      <c r="DI31" s="122"/>
      <c r="DJ31" s="122"/>
      <c r="DK31" s="122"/>
      <c r="DL31" s="122"/>
      <c r="DM31" s="122"/>
      <c r="DN31" s="122"/>
      <c r="DO31" s="122"/>
      <c r="DP31" s="122"/>
      <c r="DQ31" s="122"/>
      <c r="DR31" s="122"/>
      <c r="DS31" s="122"/>
      <c r="DT31" s="122"/>
      <c r="DU31" s="122"/>
      <c r="DV31" s="122"/>
      <c r="DW31" s="122"/>
      <c r="DX31" s="122"/>
      <c r="DY31" s="122"/>
      <c r="DZ31" s="122"/>
      <c r="EA31" s="122"/>
      <c r="EB31" s="122"/>
      <c r="EC31" s="122"/>
      <c r="ED31" s="122"/>
      <c r="EE31" s="122"/>
      <c r="EF31" s="122"/>
      <c r="EG31" s="122"/>
      <c r="EH31" s="122"/>
      <c r="EI31" s="122"/>
      <c r="EJ31" s="122"/>
      <c r="EK31" s="122"/>
      <c r="EL31" s="122"/>
      <c r="EM31" s="122"/>
      <c r="EN31" s="122"/>
      <c r="EO31" s="122"/>
      <c r="EP31" s="122"/>
      <c r="EQ31" s="122"/>
      <c r="ER31" s="122"/>
      <c r="ES31" s="122"/>
      <c r="ET31" s="122"/>
      <c r="EU31" s="122"/>
      <c r="EV31" s="122"/>
      <c r="EW31" s="122"/>
      <c r="EX31" s="122"/>
      <c r="EY31" s="122"/>
      <c r="EZ31" s="122"/>
      <c r="FA31" s="122"/>
      <c r="FB31" s="122"/>
      <c r="FC31" s="122"/>
      <c r="FD31" s="122"/>
      <c r="FE31" s="122"/>
      <c r="FF31" s="122"/>
      <c r="FG31" s="122"/>
      <c r="FH31" s="122"/>
      <c r="FI31" s="122"/>
      <c r="FJ31" s="122"/>
      <c r="FK31" s="122"/>
      <c r="FL31" s="122"/>
      <c r="FM31" s="122"/>
      <c r="FN31" s="122"/>
      <c r="FO31" s="122"/>
      <c r="FP31" s="122"/>
      <c r="FQ31" s="122"/>
      <c r="FR31" s="122"/>
      <c r="FS31" s="122"/>
      <c r="FT31" s="122"/>
      <c r="FU31" s="122"/>
      <c r="FV31" s="122"/>
      <c r="FW31" s="122"/>
      <c r="FX31" s="122"/>
      <c r="FY31" s="122"/>
      <c r="FZ31" s="122"/>
      <c r="GA31" s="122"/>
      <c r="GB31" s="122"/>
      <c r="GC31" s="122"/>
      <c r="GD31" s="122"/>
      <c r="GE31" s="122"/>
      <c r="GF31" s="122"/>
      <c r="GG31" s="122"/>
      <c r="GH31" s="122"/>
      <c r="GI31" s="122"/>
    </row>
    <row r="32" spans="1:191" s="13" customFormat="1" ht="20.25" customHeight="1">
      <c r="A32" s="117"/>
      <c r="B32" s="124"/>
      <c r="C32" s="120"/>
      <c r="D32" s="121"/>
      <c r="E32" s="103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96"/>
      <c r="AB32" s="296"/>
      <c r="AC32" s="296"/>
      <c r="AD32" s="296"/>
      <c r="AE32" s="296"/>
      <c r="AF32" s="296"/>
      <c r="AG32" s="296"/>
      <c r="AH32" s="296"/>
      <c r="AI32" s="296"/>
      <c r="AJ32" s="296"/>
      <c r="AK32" s="296"/>
      <c r="AL32" s="296"/>
      <c r="AM32" s="296"/>
      <c r="AN32" s="296"/>
      <c r="AO32" s="296"/>
      <c r="AP32" s="296"/>
      <c r="AQ32" s="296"/>
      <c r="AR32" s="296"/>
      <c r="AS32" s="296"/>
      <c r="AT32" s="296"/>
      <c r="AU32" s="296"/>
      <c r="AV32" s="296"/>
      <c r="AW32" s="296"/>
      <c r="AX32" s="296"/>
      <c r="AY32" s="296"/>
      <c r="AZ32" s="296"/>
      <c r="BA32" s="296"/>
      <c r="BB32" s="296"/>
      <c r="BC32" s="296"/>
      <c r="BD32" s="296"/>
      <c r="BE32" s="296"/>
      <c r="BF32" s="296"/>
      <c r="BG32" s="296"/>
      <c r="BH32" s="296"/>
      <c r="BI32" s="296"/>
      <c r="BJ32" s="296"/>
      <c r="BK32" s="296"/>
      <c r="BL32" s="296"/>
      <c r="BM32" s="296"/>
      <c r="BN32" s="296"/>
      <c r="BO32" s="298"/>
      <c r="BP32" s="296"/>
      <c r="BQ32" s="296"/>
      <c r="BR32" s="296"/>
      <c r="BS32" s="297"/>
      <c r="BT32" s="297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122"/>
      <c r="CF32" s="122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122"/>
      <c r="CT32" s="122"/>
      <c r="CU32" s="122"/>
      <c r="CV32" s="122"/>
      <c r="CW32" s="122"/>
      <c r="CX32" s="122"/>
      <c r="CY32" s="122"/>
      <c r="CZ32" s="122"/>
      <c r="DA32" s="122"/>
      <c r="DB32" s="122"/>
      <c r="DC32" s="122"/>
      <c r="DD32" s="122"/>
      <c r="DE32" s="122"/>
      <c r="DF32" s="122"/>
      <c r="DG32" s="122"/>
      <c r="DH32" s="122"/>
      <c r="DI32" s="122"/>
      <c r="DJ32" s="122"/>
      <c r="DK32" s="122"/>
      <c r="DL32" s="122"/>
      <c r="DM32" s="122"/>
      <c r="DN32" s="122"/>
      <c r="DO32" s="122"/>
      <c r="DP32" s="122"/>
      <c r="DQ32" s="122"/>
      <c r="DR32" s="122"/>
      <c r="DS32" s="122"/>
      <c r="DT32" s="122"/>
      <c r="DU32" s="122"/>
      <c r="DV32" s="122"/>
      <c r="DW32" s="122"/>
      <c r="DX32" s="122"/>
      <c r="DY32" s="122"/>
      <c r="DZ32" s="122"/>
      <c r="EA32" s="122"/>
      <c r="EB32" s="122"/>
      <c r="EC32" s="122"/>
      <c r="ED32" s="122"/>
      <c r="EE32" s="122"/>
      <c r="EF32" s="122"/>
      <c r="EG32" s="122"/>
      <c r="EH32" s="122"/>
      <c r="EI32" s="122"/>
      <c r="EJ32" s="122"/>
      <c r="EK32" s="122"/>
      <c r="EL32" s="122"/>
      <c r="EM32" s="122"/>
      <c r="EN32" s="122"/>
      <c r="EO32" s="122"/>
      <c r="EP32" s="122"/>
      <c r="EQ32" s="122"/>
      <c r="ER32" s="122"/>
      <c r="ES32" s="122"/>
      <c r="ET32" s="122"/>
      <c r="EU32" s="122"/>
      <c r="EV32" s="122"/>
      <c r="EW32" s="122"/>
      <c r="EX32" s="122"/>
      <c r="EY32" s="122"/>
      <c r="EZ32" s="122"/>
      <c r="FA32" s="122"/>
      <c r="FB32" s="122"/>
      <c r="FC32" s="122"/>
      <c r="FD32" s="122"/>
      <c r="FE32" s="122"/>
      <c r="FF32" s="122"/>
      <c r="FG32" s="122"/>
      <c r="FH32" s="122"/>
      <c r="FI32" s="122"/>
      <c r="FJ32" s="122"/>
      <c r="FK32" s="122"/>
      <c r="FL32" s="122"/>
      <c r="FM32" s="122"/>
      <c r="FN32" s="122"/>
      <c r="FO32" s="122"/>
      <c r="FP32" s="122"/>
      <c r="FQ32" s="122"/>
      <c r="FR32" s="122"/>
      <c r="FS32" s="122"/>
      <c r="FT32" s="122"/>
      <c r="FU32" s="122"/>
      <c r="FV32" s="122"/>
      <c r="FW32" s="122"/>
      <c r="FX32" s="122"/>
      <c r="FY32" s="122"/>
      <c r="FZ32" s="122"/>
      <c r="GA32" s="122"/>
      <c r="GB32" s="122"/>
      <c r="GC32" s="122"/>
      <c r="GD32" s="122"/>
      <c r="GE32" s="122"/>
      <c r="GF32" s="122"/>
      <c r="GG32" s="122"/>
      <c r="GH32" s="122"/>
      <c r="GI32" s="122"/>
    </row>
    <row r="33" spans="1:191" s="13" customFormat="1" ht="20.25" customHeight="1">
      <c r="A33" s="117">
        <v>13</v>
      </c>
      <c r="B33" s="128"/>
      <c r="C33" s="117"/>
      <c r="D33" s="102">
        <f t="shared" ref="D33" si="15">IFERROR(SUMPRODUCT(F33:HE33,$F$6:$HE$6)/100,0)</f>
        <v>0</v>
      </c>
      <c r="E33" s="103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7"/>
      <c r="BT33" s="297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122"/>
      <c r="CF33" s="122"/>
      <c r="CG33" s="122"/>
      <c r="CH33" s="122"/>
      <c r="CI33" s="122"/>
      <c r="CJ33" s="122"/>
      <c r="CK33" s="122"/>
      <c r="CL33" s="122"/>
      <c r="CM33" s="122"/>
      <c r="CN33" s="122"/>
      <c r="CO33" s="122"/>
      <c r="CP33" s="122"/>
      <c r="CQ33" s="122"/>
      <c r="CR33" s="122"/>
      <c r="CS33" s="122"/>
      <c r="CT33" s="122"/>
      <c r="CU33" s="122"/>
      <c r="CV33" s="122"/>
      <c r="CW33" s="122"/>
      <c r="CX33" s="122"/>
      <c r="CY33" s="122"/>
      <c r="CZ33" s="122"/>
      <c r="DA33" s="122"/>
      <c r="DB33" s="122"/>
      <c r="DC33" s="122"/>
      <c r="DD33" s="122"/>
      <c r="DE33" s="122"/>
      <c r="DF33" s="122"/>
      <c r="DG33" s="122"/>
      <c r="DH33" s="122"/>
      <c r="DI33" s="122"/>
      <c r="DJ33" s="122"/>
      <c r="DK33" s="122"/>
      <c r="DL33" s="122"/>
      <c r="DM33" s="122"/>
      <c r="DN33" s="122"/>
      <c r="DO33" s="122"/>
      <c r="DP33" s="122"/>
      <c r="DQ33" s="122"/>
      <c r="DR33" s="122"/>
      <c r="DS33" s="122"/>
      <c r="DT33" s="122"/>
      <c r="DU33" s="122"/>
      <c r="DV33" s="122"/>
      <c r="DW33" s="122"/>
      <c r="DX33" s="122"/>
      <c r="DY33" s="122"/>
      <c r="DZ33" s="122"/>
      <c r="EA33" s="122"/>
      <c r="EB33" s="122"/>
      <c r="EC33" s="122"/>
      <c r="ED33" s="122"/>
      <c r="EE33" s="122"/>
      <c r="EF33" s="122"/>
      <c r="EG33" s="122"/>
      <c r="EH33" s="122"/>
      <c r="EI33" s="122"/>
      <c r="EJ33" s="122"/>
      <c r="EK33" s="122"/>
      <c r="EL33" s="122"/>
      <c r="EM33" s="122"/>
      <c r="EN33" s="122"/>
      <c r="EO33" s="122"/>
      <c r="EP33" s="122"/>
      <c r="EQ33" s="122"/>
      <c r="ER33" s="122"/>
      <c r="ES33" s="122"/>
      <c r="ET33" s="122"/>
      <c r="EU33" s="122"/>
      <c r="EV33" s="122"/>
      <c r="EW33" s="122"/>
      <c r="EX33" s="122"/>
      <c r="EY33" s="122"/>
      <c r="EZ33" s="122"/>
      <c r="FA33" s="122"/>
      <c r="FB33" s="122"/>
      <c r="FC33" s="122"/>
      <c r="FD33" s="122"/>
      <c r="FE33" s="122"/>
      <c r="FF33" s="122"/>
      <c r="FG33" s="122"/>
      <c r="FH33" s="122"/>
      <c r="FI33" s="122"/>
      <c r="FJ33" s="122"/>
      <c r="FK33" s="122"/>
      <c r="FL33" s="122"/>
      <c r="FM33" s="122"/>
      <c r="FN33" s="122"/>
      <c r="FO33" s="122"/>
      <c r="FP33" s="122"/>
      <c r="FQ33" s="122"/>
      <c r="FR33" s="122"/>
      <c r="FS33" s="122"/>
      <c r="FT33" s="122"/>
      <c r="FU33" s="122"/>
      <c r="FV33" s="122"/>
      <c r="FW33" s="122"/>
      <c r="FX33" s="122"/>
      <c r="FY33" s="122"/>
      <c r="FZ33" s="122"/>
      <c r="GA33" s="122"/>
      <c r="GB33" s="122"/>
      <c r="GC33" s="122"/>
      <c r="GD33" s="122"/>
      <c r="GE33" s="122"/>
      <c r="GF33" s="122"/>
      <c r="GG33" s="122"/>
      <c r="GH33" s="122"/>
      <c r="GI33" s="122"/>
    </row>
    <row r="34" spans="1:191" s="13" customFormat="1" ht="20.25" customHeight="1">
      <c r="A34" s="117"/>
      <c r="B34" s="124"/>
      <c r="C34" s="120"/>
      <c r="D34" s="121"/>
      <c r="E34" s="103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I34" s="296"/>
      <c r="AJ34" s="296"/>
      <c r="AK34" s="296"/>
      <c r="AL34" s="296"/>
      <c r="AM34" s="296"/>
      <c r="AN34" s="296"/>
      <c r="AO34" s="296"/>
      <c r="AP34" s="296"/>
      <c r="AQ34" s="296"/>
      <c r="AR34" s="296"/>
      <c r="AS34" s="296"/>
      <c r="AT34" s="296"/>
      <c r="AU34" s="296"/>
      <c r="AV34" s="296"/>
      <c r="AW34" s="296"/>
      <c r="AX34" s="296"/>
      <c r="AY34" s="296"/>
      <c r="AZ34" s="296"/>
      <c r="BA34" s="296"/>
      <c r="BB34" s="296"/>
      <c r="BC34" s="296"/>
      <c r="BD34" s="296"/>
      <c r="BE34" s="296"/>
      <c r="BF34" s="296"/>
      <c r="BG34" s="296"/>
      <c r="BH34" s="296"/>
      <c r="BI34" s="296"/>
      <c r="BJ34" s="296"/>
      <c r="BK34" s="296"/>
      <c r="BL34" s="296"/>
      <c r="BM34" s="296"/>
      <c r="BN34" s="296"/>
      <c r="BO34" s="296"/>
      <c r="BP34" s="296"/>
      <c r="BQ34" s="296"/>
      <c r="BR34" s="296"/>
      <c r="BS34" s="297"/>
      <c r="BT34" s="297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122"/>
      <c r="CF34" s="122"/>
      <c r="CG34" s="122"/>
      <c r="CH34" s="122"/>
      <c r="CI34" s="122"/>
      <c r="CJ34" s="122"/>
      <c r="CK34" s="122"/>
      <c r="CL34" s="122"/>
      <c r="CM34" s="122"/>
      <c r="CN34" s="122"/>
      <c r="CO34" s="122"/>
      <c r="CP34" s="122"/>
      <c r="CQ34" s="122"/>
      <c r="CR34" s="122"/>
      <c r="CS34" s="122"/>
      <c r="CT34" s="122"/>
      <c r="CU34" s="122"/>
      <c r="CV34" s="122"/>
      <c r="CW34" s="122"/>
      <c r="CX34" s="122"/>
      <c r="CY34" s="122"/>
      <c r="CZ34" s="122"/>
      <c r="DA34" s="122"/>
      <c r="DB34" s="122"/>
      <c r="DC34" s="122"/>
      <c r="DD34" s="122"/>
      <c r="DE34" s="122"/>
      <c r="DF34" s="122"/>
      <c r="DG34" s="122"/>
      <c r="DH34" s="122"/>
      <c r="DI34" s="122"/>
      <c r="DJ34" s="122"/>
      <c r="DK34" s="122"/>
      <c r="DL34" s="122"/>
      <c r="DM34" s="122"/>
      <c r="DN34" s="122"/>
      <c r="DO34" s="122"/>
      <c r="DP34" s="122"/>
      <c r="DQ34" s="122"/>
      <c r="DR34" s="122"/>
      <c r="DS34" s="122"/>
      <c r="DT34" s="122"/>
      <c r="DU34" s="122"/>
      <c r="DV34" s="122"/>
      <c r="DW34" s="122"/>
      <c r="DX34" s="122"/>
      <c r="DY34" s="122"/>
      <c r="DZ34" s="122"/>
      <c r="EA34" s="122"/>
      <c r="EB34" s="122"/>
      <c r="EC34" s="122"/>
      <c r="ED34" s="122"/>
      <c r="EE34" s="122"/>
      <c r="EF34" s="122"/>
      <c r="EG34" s="122"/>
      <c r="EH34" s="122"/>
      <c r="EI34" s="122"/>
      <c r="EJ34" s="122"/>
      <c r="EK34" s="122"/>
      <c r="EL34" s="122"/>
      <c r="EM34" s="122"/>
      <c r="EN34" s="122"/>
      <c r="EO34" s="122"/>
      <c r="EP34" s="122"/>
      <c r="EQ34" s="122"/>
      <c r="ER34" s="122"/>
      <c r="ES34" s="122"/>
      <c r="ET34" s="122"/>
      <c r="EU34" s="122"/>
      <c r="EV34" s="122"/>
      <c r="EW34" s="122"/>
      <c r="EX34" s="122"/>
      <c r="EY34" s="122"/>
      <c r="EZ34" s="122"/>
      <c r="FA34" s="122"/>
      <c r="FB34" s="122"/>
      <c r="FC34" s="122"/>
      <c r="FD34" s="122"/>
      <c r="FE34" s="122"/>
      <c r="FF34" s="122"/>
      <c r="FG34" s="122"/>
      <c r="FH34" s="122"/>
      <c r="FI34" s="122"/>
      <c r="FJ34" s="122"/>
      <c r="FK34" s="122"/>
      <c r="FL34" s="122"/>
      <c r="FM34" s="122"/>
      <c r="FN34" s="122"/>
      <c r="FO34" s="122"/>
      <c r="FP34" s="122"/>
      <c r="FQ34" s="122"/>
      <c r="FR34" s="122"/>
      <c r="FS34" s="122"/>
      <c r="FT34" s="122"/>
      <c r="FU34" s="122"/>
      <c r="FV34" s="122"/>
      <c r="FW34" s="122"/>
      <c r="FX34" s="122"/>
      <c r="FY34" s="122"/>
      <c r="FZ34" s="122"/>
      <c r="GA34" s="122"/>
      <c r="GB34" s="122"/>
      <c r="GC34" s="122"/>
      <c r="GD34" s="122"/>
      <c r="GE34" s="122"/>
      <c r="GF34" s="122"/>
      <c r="GG34" s="122"/>
      <c r="GH34" s="122"/>
      <c r="GI34" s="122"/>
    </row>
    <row r="35" spans="1:191" s="13" customFormat="1" ht="20.25" customHeight="1">
      <c r="A35" s="117">
        <v>14</v>
      </c>
      <c r="B35" s="124"/>
      <c r="C35" s="120"/>
      <c r="D35" s="102">
        <f t="shared" ref="D35" si="16">IFERROR(SUMPRODUCT(F35:HE35,$F$6:$HE$6)/100,0)</f>
        <v>0</v>
      </c>
      <c r="E35" s="103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  <c r="Y35" s="296"/>
      <c r="Z35" s="296"/>
      <c r="AA35" s="296"/>
      <c r="AB35" s="296"/>
      <c r="AC35" s="296"/>
      <c r="AD35" s="296"/>
      <c r="AE35" s="296"/>
      <c r="AF35" s="296"/>
      <c r="AG35" s="296"/>
      <c r="AH35" s="296"/>
      <c r="AI35" s="296"/>
      <c r="AJ35" s="296"/>
      <c r="AK35" s="296"/>
      <c r="AL35" s="296"/>
      <c r="AM35" s="296"/>
      <c r="AN35" s="296"/>
      <c r="AO35" s="296"/>
      <c r="AP35" s="296"/>
      <c r="AQ35" s="296"/>
      <c r="AR35" s="296"/>
      <c r="AS35" s="296"/>
      <c r="AT35" s="296"/>
      <c r="AU35" s="296"/>
      <c r="AV35" s="296"/>
      <c r="AW35" s="296"/>
      <c r="AX35" s="296"/>
      <c r="AY35" s="296"/>
      <c r="AZ35" s="296"/>
      <c r="BA35" s="296"/>
      <c r="BB35" s="296"/>
      <c r="BC35" s="296"/>
      <c r="BD35" s="296"/>
      <c r="BE35" s="296"/>
      <c r="BF35" s="296"/>
      <c r="BG35" s="296"/>
      <c r="BH35" s="296"/>
      <c r="BI35" s="296"/>
      <c r="BJ35" s="296"/>
      <c r="BK35" s="296"/>
      <c r="BL35" s="296"/>
      <c r="BM35" s="296"/>
      <c r="BN35" s="296"/>
      <c r="BO35" s="298"/>
      <c r="BP35" s="298"/>
      <c r="BQ35" s="296"/>
      <c r="BR35" s="296"/>
      <c r="BS35" s="297"/>
      <c r="BT35" s="297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122"/>
      <c r="CF35" s="122"/>
      <c r="CG35" s="122"/>
      <c r="CH35" s="122"/>
      <c r="CI35" s="122"/>
      <c r="CJ35" s="122"/>
      <c r="CK35" s="122"/>
      <c r="CL35" s="122"/>
      <c r="CM35" s="122"/>
      <c r="CN35" s="122"/>
      <c r="CO35" s="122"/>
      <c r="CP35" s="122"/>
      <c r="CQ35" s="122"/>
      <c r="CR35" s="122"/>
      <c r="CS35" s="122"/>
      <c r="CT35" s="122"/>
      <c r="CU35" s="122"/>
      <c r="CV35" s="122"/>
      <c r="CW35" s="122"/>
      <c r="CX35" s="122"/>
      <c r="CY35" s="122"/>
      <c r="CZ35" s="122"/>
      <c r="DA35" s="122"/>
      <c r="DB35" s="122"/>
      <c r="DC35" s="122"/>
      <c r="DD35" s="122"/>
      <c r="DE35" s="122"/>
      <c r="DF35" s="122"/>
      <c r="DG35" s="122"/>
      <c r="DH35" s="122"/>
      <c r="DI35" s="122"/>
      <c r="DJ35" s="122"/>
      <c r="DK35" s="122"/>
      <c r="DL35" s="122"/>
      <c r="DM35" s="122"/>
      <c r="DN35" s="122"/>
      <c r="DO35" s="122"/>
      <c r="DP35" s="122"/>
      <c r="DQ35" s="122"/>
      <c r="DR35" s="122"/>
      <c r="DS35" s="122"/>
      <c r="DT35" s="122"/>
      <c r="DU35" s="122"/>
      <c r="DV35" s="122"/>
      <c r="DW35" s="122"/>
      <c r="DX35" s="122"/>
      <c r="DY35" s="122"/>
      <c r="DZ35" s="122"/>
      <c r="EA35" s="122"/>
      <c r="EB35" s="122"/>
      <c r="EC35" s="122"/>
      <c r="ED35" s="122"/>
      <c r="EE35" s="122"/>
      <c r="EF35" s="122"/>
      <c r="EG35" s="122"/>
      <c r="EH35" s="122"/>
      <c r="EI35" s="122"/>
      <c r="EJ35" s="122"/>
      <c r="EK35" s="122"/>
      <c r="EL35" s="122"/>
      <c r="EM35" s="122"/>
      <c r="EN35" s="122"/>
      <c r="EO35" s="122"/>
      <c r="EP35" s="122"/>
      <c r="EQ35" s="122"/>
      <c r="ER35" s="122"/>
      <c r="ES35" s="122"/>
      <c r="ET35" s="122"/>
      <c r="EU35" s="122"/>
      <c r="EV35" s="122"/>
      <c r="EW35" s="122"/>
      <c r="EX35" s="122"/>
      <c r="EY35" s="122"/>
      <c r="EZ35" s="122"/>
      <c r="FA35" s="122"/>
      <c r="FB35" s="122"/>
      <c r="FC35" s="122"/>
      <c r="FD35" s="122"/>
      <c r="FE35" s="122"/>
      <c r="FF35" s="122"/>
      <c r="FG35" s="122"/>
      <c r="FH35" s="122"/>
      <c r="FI35" s="122"/>
      <c r="FJ35" s="122"/>
      <c r="FK35" s="122"/>
      <c r="FL35" s="122"/>
      <c r="FM35" s="122"/>
      <c r="FN35" s="122"/>
      <c r="FO35" s="122"/>
      <c r="FP35" s="122"/>
      <c r="FQ35" s="122"/>
      <c r="FR35" s="122"/>
      <c r="FS35" s="122"/>
      <c r="FT35" s="122"/>
      <c r="FU35" s="122"/>
      <c r="FV35" s="122"/>
      <c r="FW35" s="122"/>
      <c r="FX35" s="122"/>
      <c r="FY35" s="122"/>
      <c r="FZ35" s="122"/>
      <c r="GA35" s="122"/>
      <c r="GB35" s="122"/>
      <c r="GC35" s="122"/>
      <c r="GD35" s="122"/>
      <c r="GE35" s="122"/>
      <c r="GF35" s="122"/>
      <c r="GG35" s="122"/>
      <c r="GH35" s="122"/>
      <c r="GI35" s="122"/>
    </row>
    <row r="36" spans="1:191" s="13" customFormat="1" ht="20.25" customHeight="1">
      <c r="A36" s="117"/>
      <c r="B36" s="124"/>
      <c r="C36" s="120"/>
      <c r="D36" s="121"/>
      <c r="E36" s="103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  <c r="Y36" s="296"/>
      <c r="Z36" s="296"/>
      <c r="AA36" s="296"/>
      <c r="AB36" s="296"/>
      <c r="AC36" s="296"/>
      <c r="AD36" s="296"/>
      <c r="AE36" s="296"/>
      <c r="AF36" s="296"/>
      <c r="AG36" s="296"/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  <c r="AR36" s="296"/>
      <c r="AS36" s="296"/>
      <c r="AT36" s="296"/>
      <c r="AU36" s="296"/>
      <c r="AV36" s="296"/>
      <c r="AW36" s="296"/>
      <c r="AX36" s="296"/>
      <c r="AY36" s="296"/>
      <c r="AZ36" s="296"/>
      <c r="BA36" s="296"/>
      <c r="BB36" s="296"/>
      <c r="BC36" s="296"/>
      <c r="BD36" s="296"/>
      <c r="BE36" s="296"/>
      <c r="BF36" s="296"/>
      <c r="BG36" s="296"/>
      <c r="BH36" s="296"/>
      <c r="BI36" s="296"/>
      <c r="BJ36" s="296"/>
      <c r="BK36" s="296"/>
      <c r="BL36" s="296"/>
      <c r="BM36" s="296"/>
      <c r="BN36" s="296"/>
      <c r="BO36" s="296"/>
      <c r="BP36" s="296"/>
      <c r="BQ36" s="296"/>
      <c r="BR36" s="296"/>
      <c r="BS36" s="297"/>
      <c r="BT36" s="297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122"/>
      <c r="CF36" s="122"/>
      <c r="CG36" s="122"/>
      <c r="CH36" s="122"/>
      <c r="CI36" s="122"/>
      <c r="CJ36" s="122"/>
      <c r="CK36" s="122"/>
      <c r="CL36" s="122"/>
      <c r="CM36" s="122"/>
      <c r="CN36" s="122"/>
      <c r="CO36" s="122"/>
      <c r="CP36" s="122"/>
      <c r="CQ36" s="122"/>
      <c r="CR36" s="122"/>
      <c r="CS36" s="122"/>
      <c r="CT36" s="122"/>
      <c r="CU36" s="122"/>
      <c r="CV36" s="122"/>
      <c r="CW36" s="122"/>
      <c r="CX36" s="122"/>
      <c r="CY36" s="122"/>
      <c r="CZ36" s="122"/>
      <c r="DA36" s="122"/>
      <c r="DB36" s="122"/>
      <c r="DC36" s="122"/>
      <c r="DD36" s="122"/>
      <c r="DE36" s="122"/>
      <c r="DF36" s="122"/>
      <c r="DG36" s="122"/>
      <c r="DH36" s="122"/>
      <c r="DI36" s="122"/>
      <c r="DJ36" s="122"/>
      <c r="DK36" s="122"/>
      <c r="DL36" s="122"/>
      <c r="DM36" s="122"/>
      <c r="DN36" s="122"/>
      <c r="DO36" s="122"/>
      <c r="DP36" s="122"/>
      <c r="DQ36" s="122"/>
      <c r="DR36" s="122"/>
      <c r="DS36" s="122"/>
      <c r="DT36" s="122"/>
      <c r="DU36" s="122"/>
      <c r="DV36" s="122"/>
      <c r="DW36" s="122"/>
      <c r="DX36" s="122"/>
      <c r="DY36" s="122"/>
      <c r="DZ36" s="122"/>
      <c r="EA36" s="122"/>
      <c r="EB36" s="122"/>
      <c r="EC36" s="122"/>
      <c r="ED36" s="122"/>
      <c r="EE36" s="122"/>
      <c r="EF36" s="122"/>
      <c r="EG36" s="122"/>
      <c r="EH36" s="122"/>
      <c r="EI36" s="122"/>
      <c r="EJ36" s="122"/>
      <c r="EK36" s="122"/>
      <c r="EL36" s="122"/>
      <c r="EM36" s="122"/>
      <c r="EN36" s="122"/>
      <c r="EO36" s="122"/>
      <c r="EP36" s="122"/>
      <c r="EQ36" s="122"/>
      <c r="ER36" s="122"/>
      <c r="ES36" s="122"/>
      <c r="ET36" s="122"/>
      <c r="EU36" s="122"/>
      <c r="EV36" s="122"/>
      <c r="EW36" s="122"/>
      <c r="EX36" s="122"/>
      <c r="EY36" s="122"/>
      <c r="EZ36" s="122"/>
      <c r="FA36" s="122"/>
      <c r="FB36" s="122"/>
      <c r="FC36" s="122"/>
      <c r="FD36" s="122"/>
      <c r="FE36" s="122"/>
      <c r="FF36" s="122"/>
      <c r="FG36" s="122"/>
      <c r="FH36" s="122"/>
      <c r="FI36" s="122"/>
      <c r="FJ36" s="122"/>
      <c r="FK36" s="122"/>
      <c r="FL36" s="122"/>
      <c r="FM36" s="122"/>
      <c r="FN36" s="122"/>
      <c r="FO36" s="122"/>
      <c r="FP36" s="122"/>
      <c r="FQ36" s="122"/>
      <c r="FR36" s="122"/>
      <c r="FS36" s="122"/>
      <c r="FT36" s="122"/>
      <c r="FU36" s="122"/>
      <c r="FV36" s="122"/>
      <c r="FW36" s="122"/>
      <c r="FX36" s="122"/>
      <c r="FY36" s="122"/>
      <c r="FZ36" s="122"/>
      <c r="GA36" s="122"/>
      <c r="GB36" s="122"/>
      <c r="GC36" s="122"/>
      <c r="GD36" s="122"/>
      <c r="GE36" s="122"/>
      <c r="GF36" s="122"/>
      <c r="GG36" s="122"/>
      <c r="GH36" s="122"/>
      <c r="GI36" s="122"/>
    </row>
    <row r="37" spans="1:191" s="13" customFormat="1" ht="20.25" customHeight="1">
      <c r="A37" s="117">
        <v>15</v>
      </c>
      <c r="B37" s="124"/>
      <c r="C37" s="130"/>
      <c r="D37" s="102">
        <f t="shared" ref="D37" si="17">IFERROR(SUMPRODUCT(F37:HE37,$F$6:$HE$6)/100,0)</f>
        <v>0</v>
      </c>
      <c r="E37" s="103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  <c r="Y37" s="296"/>
      <c r="Z37" s="296"/>
      <c r="AA37" s="296"/>
      <c r="AB37" s="296"/>
      <c r="AC37" s="296"/>
      <c r="AD37" s="296"/>
      <c r="AE37" s="296"/>
      <c r="AF37" s="296"/>
      <c r="AG37" s="296"/>
      <c r="AH37" s="296"/>
      <c r="AI37" s="296"/>
      <c r="AJ37" s="296"/>
      <c r="AK37" s="296"/>
      <c r="AL37" s="296"/>
      <c r="AM37" s="296"/>
      <c r="AN37" s="296"/>
      <c r="AO37" s="296"/>
      <c r="AP37" s="296"/>
      <c r="AQ37" s="296"/>
      <c r="AR37" s="296"/>
      <c r="AS37" s="296"/>
      <c r="AT37" s="296"/>
      <c r="AU37" s="296"/>
      <c r="AV37" s="296"/>
      <c r="AW37" s="296"/>
      <c r="AX37" s="296"/>
      <c r="AY37" s="296"/>
      <c r="AZ37" s="296"/>
      <c r="BA37" s="296"/>
      <c r="BB37" s="296"/>
      <c r="BC37" s="296"/>
      <c r="BD37" s="296"/>
      <c r="BE37" s="296"/>
      <c r="BF37" s="296"/>
      <c r="BG37" s="296"/>
      <c r="BH37" s="296"/>
      <c r="BI37" s="296"/>
      <c r="BJ37" s="296"/>
      <c r="BK37" s="296"/>
      <c r="BL37" s="296"/>
      <c r="BM37" s="296"/>
      <c r="BN37" s="296"/>
      <c r="BO37" s="296"/>
      <c r="BP37" s="296"/>
      <c r="BQ37" s="296"/>
      <c r="BR37" s="296"/>
      <c r="BS37" s="297"/>
      <c r="BT37" s="297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122"/>
      <c r="CF37" s="122"/>
      <c r="CG37" s="122"/>
      <c r="CH37" s="122"/>
      <c r="CI37" s="122"/>
      <c r="CJ37" s="122"/>
      <c r="CK37" s="122"/>
      <c r="CL37" s="122"/>
      <c r="CM37" s="122"/>
      <c r="CN37" s="122"/>
      <c r="CO37" s="122"/>
      <c r="CP37" s="122"/>
      <c r="CQ37" s="122"/>
      <c r="CR37" s="122"/>
      <c r="CS37" s="122"/>
      <c r="CT37" s="122"/>
      <c r="CU37" s="122"/>
      <c r="CV37" s="122"/>
      <c r="CW37" s="122"/>
      <c r="CX37" s="122"/>
      <c r="CY37" s="122"/>
      <c r="CZ37" s="122"/>
      <c r="DA37" s="122"/>
      <c r="DB37" s="122"/>
      <c r="DC37" s="122"/>
      <c r="DD37" s="122"/>
      <c r="DE37" s="122"/>
      <c r="DF37" s="122"/>
      <c r="DG37" s="122"/>
      <c r="DH37" s="122"/>
      <c r="DI37" s="122"/>
      <c r="DJ37" s="122"/>
      <c r="DK37" s="122"/>
      <c r="DL37" s="122"/>
      <c r="DM37" s="122"/>
      <c r="DN37" s="122"/>
      <c r="DO37" s="122"/>
      <c r="DP37" s="122"/>
      <c r="DQ37" s="122"/>
      <c r="DR37" s="122"/>
      <c r="DS37" s="122"/>
      <c r="DT37" s="122"/>
      <c r="DU37" s="122"/>
      <c r="DV37" s="122"/>
      <c r="DW37" s="122"/>
      <c r="DX37" s="122"/>
      <c r="DY37" s="122"/>
      <c r="DZ37" s="122"/>
      <c r="EA37" s="122"/>
      <c r="EB37" s="122"/>
      <c r="EC37" s="122"/>
      <c r="ED37" s="122"/>
      <c r="EE37" s="122"/>
      <c r="EF37" s="122"/>
      <c r="EG37" s="122"/>
      <c r="EH37" s="122"/>
      <c r="EI37" s="122"/>
      <c r="EJ37" s="122"/>
      <c r="EK37" s="122"/>
      <c r="EL37" s="122"/>
      <c r="EM37" s="122"/>
      <c r="EN37" s="122"/>
      <c r="EO37" s="122"/>
      <c r="EP37" s="122"/>
      <c r="EQ37" s="122"/>
      <c r="ER37" s="122"/>
      <c r="ES37" s="122"/>
      <c r="ET37" s="122"/>
      <c r="EU37" s="122"/>
      <c r="EV37" s="122"/>
      <c r="EW37" s="122"/>
      <c r="EX37" s="122"/>
      <c r="EY37" s="122"/>
      <c r="EZ37" s="122"/>
      <c r="FA37" s="122"/>
      <c r="FB37" s="122"/>
      <c r="FC37" s="122"/>
      <c r="FD37" s="122"/>
      <c r="FE37" s="122"/>
      <c r="FF37" s="122"/>
      <c r="FG37" s="122"/>
      <c r="FH37" s="122"/>
      <c r="FI37" s="122"/>
      <c r="FJ37" s="122"/>
      <c r="FK37" s="122"/>
      <c r="FL37" s="122"/>
      <c r="FM37" s="122"/>
      <c r="FN37" s="122"/>
      <c r="FO37" s="122"/>
      <c r="FP37" s="122"/>
      <c r="FQ37" s="122"/>
      <c r="FR37" s="122"/>
      <c r="FS37" s="122"/>
      <c r="FT37" s="122"/>
      <c r="FU37" s="122"/>
      <c r="FV37" s="122"/>
      <c r="FW37" s="122"/>
      <c r="FX37" s="122"/>
      <c r="FY37" s="122"/>
      <c r="FZ37" s="122"/>
      <c r="GA37" s="122"/>
      <c r="GB37" s="122"/>
      <c r="GC37" s="122"/>
      <c r="GD37" s="122"/>
      <c r="GE37" s="122"/>
      <c r="GF37" s="122"/>
      <c r="GG37" s="122"/>
      <c r="GH37" s="122"/>
      <c r="GI37" s="122"/>
    </row>
    <row r="38" spans="1:191" s="13" customFormat="1" ht="20.25" customHeight="1">
      <c r="A38" s="117"/>
      <c r="B38" s="124"/>
      <c r="C38" s="130"/>
      <c r="D38" s="121"/>
      <c r="E38" s="103"/>
      <c r="F38" s="296"/>
      <c r="G38" s="296"/>
      <c r="H38" s="296"/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296"/>
      <c r="AO38" s="296"/>
      <c r="AP38" s="296"/>
      <c r="AQ38" s="296"/>
      <c r="AR38" s="296"/>
      <c r="AS38" s="296"/>
      <c r="AT38" s="296"/>
      <c r="AU38" s="296"/>
      <c r="AV38" s="296"/>
      <c r="AW38" s="296"/>
      <c r="AX38" s="296"/>
      <c r="AY38" s="296"/>
      <c r="AZ38" s="296"/>
      <c r="BA38" s="296"/>
      <c r="BB38" s="296"/>
      <c r="BC38" s="296"/>
      <c r="BD38" s="296"/>
      <c r="BE38" s="296"/>
      <c r="BF38" s="296"/>
      <c r="BG38" s="296"/>
      <c r="BH38" s="296"/>
      <c r="BI38" s="296"/>
      <c r="BJ38" s="296"/>
      <c r="BK38" s="296"/>
      <c r="BL38" s="296"/>
      <c r="BM38" s="296"/>
      <c r="BN38" s="296"/>
      <c r="BO38" s="296"/>
      <c r="BP38" s="296"/>
      <c r="BQ38" s="296"/>
      <c r="BR38" s="296"/>
      <c r="BS38" s="297"/>
      <c r="BT38" s="297"/>
      <c r="BU38" s="296"/>
      <c r="BV38" s="296"/>
      <c r="BW38" s="296"/>
      <c r="BX38" s="296"/>
      <c r="BY38" s="296"/>
      <c r="BZ38" s="296"/>
      <c r="CA38" s="296"/>
      <c r="CB38" s="296"/>
      <c r="CC38" s="296"/>
      <c r="CD38" s="296"/>
      <c r="CE38" s="122"/>
      <c r="CF38" s="122"/>
      <c r="CG38" s="122"/>
      <c r="CH38" s="122"/>
      <c r="CI38" s="122"/>
      <c r="CJ38" s="122"/>
      <c r="CK38" s="122"/>
      <c r="CL38" s="122"/>
      <c r="CM38" s="122"/>
      <c r="CN38" s="122"/>
      <c r="CO38" s="122"/>
      <c r="CP38" s="122"/>
      <c r="CQ38" s="122"/>
      <c r="CR38" s="122"/>
      <c r="CS38" s="122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22"/>
      <c r="DI38" s="122"/>
      <c r="DJ38" s="122"/>
      <c r="DK38" s="122"/>
      <c r="DL38" s="122"/>
      <c r="DM38" s="122"/>
      <c r="DN38" s="122"/>
      <c r="DO38" s="122"/>
      <c r="DP38" s="122"/>
      <c r="DQ38" s="122"/>
      <c r="DR38" s="122"/>
      <c r="DS38" s="122"/>
      <c r="DT38" s="122"/>
      <c r="DU38" s="122"/>
      <c r="DV38" s="122"/>
      <c r="DW38" s="122"/>
      <c r="DX38" s="122"/>
      <c r="DY38" s="122"/>
      <c r="DZ38" s="122"/>
      <c r="EA38" s="122"/>
      <c r="EB38" s="122"/>
      <c r="EC38" s="122"/>
      <c r="ED38" s="122"/>
      <c r="EE38" s="122"/>
      <c r="EF38" s="122"/>
      <c r="EG38" s="122"/>
      <c r="EH38" s="122"/>
      <c r="EI38" s="122"/>
      <c r="EJ38" s="122"/>
      <c r="EK38" s="122"/>
      <c r="EL38" s="122"/>
      <c r="EM38" s="122"/>
      <c r="EN38" s="122"/>
      <c r="EO38" s="122"/>
      <c r="EP38" s="122"/>
      <c r="EQ38" s="122"/>
      <c r="ER38" s="122"/>
      <c r="ES38" s="122"/>
      <c r="ET38" s="122"/>
      <c r="EU38" s="122"/>
      <c r="EV38" s="122"/>
      <c r="EW38" s="122"/>
      <c r="EX38" s="122"/>
      <c r="EY38" s="122"/>
      <c r="EZ38" s="122"/>
      <c r="FA38" s="122"/>
      <c r="FB38" s="122"/>
      <c r="FC38" s="122"/>
      <c r="FD38" s="122"/>
      <c r="FE38" s="122"/>
      <c r="FF38" s="122"/>
      <c r="FG38" s="122"/>
      <c r="FH38" s="122"/>
      <c r="FI38" s="122"/>
      <c r="FJ38" s="122"/>
      <c r="FK38" s="122"/>
      <c r="FL38" s="122"/>
      <c r="FM38" s="122"/>
      <c r="FN38" s="122"/>
      <c r="FO38" s="122"/>
      <c r="FP38" s="122"/>
      <c r="FQ38" s="122"/>
      <c r="FR38" s="122"/>
      <c r="FS38" s="122"/>
      <c r="FT38" s="122"/>
      <c r="FU38" s="122"/>
      <c r="FV38" s="122"/>
      <c r="FW38" s="122"/>
      <c r="FX38" s="122"/>
      <c r="FY38" s="122"/>
      <c r="FZ38" s="122"/>
      <c r="GA38" s="122"/>
      <c r="GB38" s="122"/>
      <c r="GC38" s="122"/>
      <c r="GD38" s="122"/>
      <c r="GE38" s="122"/>
      <c r="GF38" s="122"/>
      <c r="GG38" s="122"/>
      <c r="GH38" s="122"/>
      <c r="GI38" s="122"/>
    </row>
    <row r="39" spans="1:191" s="13" customFormat="1" ht="20.25" customHeight="1">
      <c r="A39" s="117">
        <v>16</v>
      </c>
      <c r="B39" s="124"/>
      <c r="C39" s="130"/>
      <c r="D39" s="102">
        <f t="shared" ref="D39" si="18">IFERROR(SUMPRODUCT(F39:HE39,$F$6:$HE$6)/100,0)</f>
        <v>0</v>
      </c>
      <c r="E39" s="103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96"/>
      <c r="AB39" s="296"/>
      <c r="AC39" s="296"/>
      <c r="AD39" s="296"/>
      <c r="AE39" s="296"/>
      <c r="AF39" s="296"/>
      <c r="AG39" s="296"/>
      <c r="AH39" s="296"/>
      <c r="AI39" s="296"/>
      <c r="AJ39" s="296"/>
      <c r="AK39" s="296"/>
      <c r="AL39" s="296"/>
      <c r="AM39" s="296"/>
      <c r="AN39" s="296"/>
      <c r="AO39" s="296"/>
      <c r="AP39" s="296"/>
      <c r="AQ39" s="296"/>
      <c r="AR39" s="296"/>
      <c r="AS39" s="296"/>
      <c r="AT39" s="296"/>
      <c r="AU39" s="296"/>
      <c r="AV39" s="296"/>
      <c r="AW39" s="296"/>
      <c r="AX39" s="296"/>
      <c r="AY39" s="296"/>
      <c r="AZ39" s="296"/>
      <c r="BA39" s="296"/>
      <c r="BB39" s="296"/>
      <c r="BC39" s="296"/>
      <c r="BD39" s="296"/>
      <c r="BE39" s="296"/>
      <c r="BF39" s="296"/>
      <c r="BG39" s="296"/>
      <c r="BH39" s="296"/>
      <c r="BI39" s="296"/>
      <c r="BJ39" s="296"/>
      <c r="BK39" s="296"/>
      <c r="BL39" s="296"/>
      <c r="BM39" s="296"/>
      <c r="BN39" s="296"/>
      <c r="BO39" s="296"/>
      <c r="BP39" s="296"/>
      <c r="BQ39" s="296"/>
      <c r="BR39" s="296"/>
      <c r="BS39" s="296"/>
      <c r="BT39" s="296"/>
      <c r="BU39" s="296"/>
      <c r="BV39" s="296"/>
      <c r="BW39" s="296"/>
      <c r="BX39" s="296"/>
      <c r="BY39" s="296"/>
      <c r="BZ39" s="296"/>
      <c r="CA39" s="296"/>
      <c r="CB39" s="296"/>
      <c r="CC39" s="296"/>
      <c r="CD39" s="296"/>
      <c r="CE39" s="122"/>
      <c r="CF39" s="122"/>
      <c r="CG39" s="122"/>
      <c r="CH39" s="122"/>
      <c r="CI39" s="122"/>
      <c r="CJ39" s="122"/>
      <c r="CK39" s="122"/>
      <c r="CL39" s="122"/>
      <c r="CM39" s="122"/>
      <c r="CN39" s="122"/>
      <c r="CO39" s="122"/>
      <c r="CP39" s="122"/>
      <c r="CQ39" s="122"/>
      <c r="CR39" s="122"/>
      <c r="CS39" s="122"/>
      <c r="CT39" s="122"/>
      <c r="CU39" s="122"/>
      <c r="CV39" s="122"/>
      <c r="CW39" s="122"/>
      <c r="CX39" s="122"/>
      <c r="CY39" s="122"/>
      <c r="CZ39" s="122"/>
      <c r="DA39" s="122"/>
      <c r="DB39" s="122"/>
      <c r="DC39" s="122"/>
      <c r="DD39" s="122"/>
      <c r="DE39" s="122"/>
      <c r="DF39" s="122"/>
      <c r="DG39" s="122"/>
      <c r="DH39" s="122"/>
      <c r="DI39" s="122"/>
      <c r="DJ39" s="122"/>
      <c r="DK39" s="122"/>
      <c r="DL39" s="122"/>
      <c r="DM39" s="122"/>
      <c r="DN39" s="122"/>
      <c r="DO39" s="122"/>
      <c r="DP39" s="122"/>
      <c r="DQ39" s="122"/>
      <c r="DR39" s="122"/>
      <c r="DS39" s="122"/>
      <c r="DT39" s="122"/>
      <c r="DU39" s="122"/>
      <c r="DV39" s="122"/>
      <c r="DW39" s="122"/>
      <c r="DX39" s="122"/>
      <c r="DY39" s="122"/>
      <c r="DZ39" s="122"/>
      <c r="EA39" s="122"/>
      <c r="EB39" s="122"/>
      <c r="EC39" s="122"/>
      <c r="ED39" s="122"/>
      <c r="EE39" s="122"/>
      <c r="EF39" s="122"/>
      <c r="EG39" s="122"/>
      <c r="EH39" s="122"/>
      <c r="EI39" s="122"/>
      <c r="EJ39" s="122"/>
      <c r="EK39" s="122"/>
      <c r="EL39" s="122"/>
      <c r="EM39" s="122"/>
      <c r="EN39" s="122"/>
      <c r="EO39" s="122"/>
      <c r="EP39" s="122"/>
      <c r="EQ39" s="122"/>
      <c r="ER39" s="122"/>
      <c r="ES39" s="122"/>
      <c r="ET39" s="122"/>
      <c r="EU39" s="122"/>
      <c r="EV39" s="122"/>
      <c r="EW39" s="122"/>
      <c r="EX39" s="122"/>
      <c r="EY39" s="122"/>
      <c r="EZ39" s="122"/>
      <c r="FA39" s="122"/>
      <c r="FB39" s="122"/>
      <c r="FC39" s="122"/>
      <c r="FD39" s="122"/>
      <c r="FE39" s="122"/>
      <c r="FF39" s="122"/>
      <c r="FG39" s="122"/>
      <c r="FH39" s="122"/>
      <c r="FI39" s="122"/>
      <c r="FJ39" s="122"/>
      <c r="FK39" s="122"/>
      <c r="FL39" s="122"/>
      <c r="FM39" s="122"/>
      <c r="FN39" s="122"/>
      <c r="FO39" s="122"/>
      <c r="FP39" s="122"/>
      <c r="FQ39" s="122"/>
      <c r="FR39" s="122"/>
      <c r="FS39" s="122"/>
      <c r="FT39" s="122"/>
      <c r="FU39" s="122"/>
      <c r="FV39" s="122"/>
      <c r="FW39" s="122"/>
      <c r="FX39" s="122"/>
      <c r="FY39" s="122"/>
      <c r="FZ39" s="122"/>
      <c r="GA39" s="122"/>
      <c r="GB39" s="122"/>
      <c r="GC39" s="122"/>
      <c r="GD39" s="122"/>
      <c r="GE39" s="122"/>
      <c r="GF39" s="122"/>
      <c r="GG39" s="122"/>
      <c r="GH39" s="122"/>
      <c r="GI39" s="122"/>
    </row>
    <row r="40" spans="1:191" s="13" customFormat="1" ht="20.25" customHeight="1">
      <c r="A40" s="117"/>
      <c r="B40" s="128"/>
      <c r="C40" s="117"/>
      <c r="D40" s="121"/>
      <c r="E40" s="131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96"/>
      <c r="AB40" s="296"/>
      <c r="AC40" s="296"/>
      <c r="AD40" s="296"/>
      <c r="AE40" s="296"/>
      <c r="AF40" s="296"/>
      <c r="AG40" s="296"/>
      <c r="AH40" s="296"/>
      <c r="AI40" s="296"/>
      <c r="AJ40" s="296"/>
      <c r="AK40" s="296"/>
      <c r="AL40" s="296"/>
      <c r="AM40" s="296"/>
      <c r="AN40" s="296"/>
      <c r="AO40" s="296"/>
      <c r="AP40" s="296"/>
      <c r="AQ40" s="296"/>
      <c r="AR40" s="296"/>
      <c r="AS40" s="296"/>
      <c r="AT40" s="296"/>
      <c r="AU40" s="296"/>
      <c r="AV40" s="296"/>
      <c r="AW40" s="296"/>
      <c r="AX40" s="296"/>
      <c r="AY40" s="296"/>
      <c r="AZ40" s="296"/>
      <c r="BA40" s="296"/>
      <c r="BB40" s="296"/>
      <c r="BC40" s="296"/>
      <c r="BD40" s="296"/>
      <c r="BE40" s="296"/>
      <c r="BF40" s="296"/>
      <c r="BG40" s="296"/>
      <c r="BH40" s="296"/>
      <c r="BI40" s="296"/>
      <c r="BJ40" s="296"/>
      <c r="BK40" s="296"/>
      <c r="BL40" s="296"/>
      <c r="BM40" s="296"/>
      <c r="BN40" s="296"/>
      <c r="BO40" s="296"/>
      <c r="BP40" s="296"/>
      <c r="BQ40" s="296"/>
      <c r="BR40" s="296"/>
      <c r="BS40" s="297"/>
      <c r="BT40" s="297"/>
      <c r="BU40" s="296"/>
      <c r="BV40" s="296"/>
      <c r="BW40" s="296"/>
      <c r="BX40" s="296"/>
      <c r="BY40" s="296"/>
      <c r="BZ40" s="296"/>
      <c r="CA40" s="296"/>
      <c r="CB40" s="296"/>
      <c r="CC40" s="296"/>
      <c r="CD40" s="296"/>
      <c r="CE40" s="122"/>
      <c r="CF40" s="122"/>
      <c r="CG40" s="122"/>
      <c r="CH40" s="122"/>
      <c r="CI40" s="122"/>
      <c r="CJ40" s="122"/>
      <c r="CK40" s="122"/>
      <c r="CL40" s="122"/>
      <c r="CM40" s="122"/>
      <c r="CN40" s="122"/>
      <c r="CO40" s="122"/>
      <c r="CP40" s="122"/>
      <c r="CQ40" s="122"/>
      <c r="CR40" s="122"/>
      <c r="CS40" s="122"/>
      <c r="CT40" s="122"/>
      <c r="CU40" s="122"/>
      <c r="CV40" s="122"/>
      <c r="CW40" s="122"/>
      <c r="CX40" s="122"/>
      <c r="CY40" s="122"/>
      <c r="CZ40" s="122"/>
      <c r="DA40" s="122"/>
      <c r="DB40" s="122"/>
      <c r="DC40" s="122"/>
      <c r="DD40" s="122"/>
      <c r="DE40" s="122"/>
      <c r="DF40" s="122"/>
      <c r="DG40" s="122"/>
      <c r="DH40" s="122"/>
      <c r="DI40" s="122"/>
      <c r="DJ40" s="122"/>
      <c r="DK40" s="122"/>
      <c r="DL40" s="122"/>
      <c r="DM40" s="122"/>
      <c r="DN40" s="122"/>
      <c r="DO40" s="122"/>
      <c r="DP40" s="122"/>
      <c r="DQ40" s="122"/>
      <c r="DR40" s="122"/>
      <c r="DS40" s="122"/>
      <c r="DT40" s="122"/>
      <c r="DU40" s="122"/>
      <c r="DV40" s="122"/>
      <c r="DW40" s="122"/>
      <c r="DX40" s="122"/>
      <c r="DY40" s="122"/>
      <c r="DZ40" s="122"/>
      <c r="EA40" s="122"/>
      <c r="EB40" s="122"/>
      <c r="EC40" s="122"/>
      <c r="ED40" s="122"/>
      <c r="EE40" s="122"/>
      <c r="EF40" s="122"/>
      <c r="EG40" s="122"/>
      <c r="EH40" s="122"/>
      <c r="EI40" s="122"/>
      <c r="EJ40" s="122"/>
      <c r="EK40" s="122"/>
      <c r="EL40" s="122"/>
      <c r="EM40" s="122"/>
      <c r="EN40" s="122"/>
      <c r="EO40" s="122"/>
      <c r="EP40" s="122"/>
      <c r="EQ40" s="122"/>
      <c r="ER40" s="122"/>
      <c r="ES40" s="122"/>
      <c r="ET40" s="122"/>
      <c r="EU40" s="122"/>
      <c r="EV40" s="122"/>
      <c r="EW40" s="122"/>
      <c r="EX40" s="122"/>
      <c r="EY40" s="122"/>
      <c r="EZ40" s="122"/>
      <c r="FA40" s="122"/>
      <c r="FB40" s="122"/>
      <c r="FC40" s="122"/>
      <c r="FD40" s="122"/>
      <c r="FE40" s="122"/>
      <c r="FF40" s="122"/>
      <c r="FG40" s="122"/>
      <c r="FH40" s="122"/>
      <c r="FI40" s="122"/>
      <c r="FJ40" s="122"/>
      <c r="FK40" s="122"/>
      <c r="FL40" s="122"/>
      <c r="FM40" s="122"/>
      <c r="FN40" s="122"/>
      <c r="FO40" s="122"/>
      <c r="FP40" s="122"/>
      <c r="FQ40" s="122"/>
      <c r="FR40" s="122"/>
      <c r="FS40" s="122"/>
      <c r="FT40" s="122"/>
      <c r="FU40" s="122"/>
      <c r="FV40" s="122"/>
      <c r="FW40" s="122"/>
      <c r="FX40" s="122"/>
      <c r="FY40" s="122"/>
      <c r="FZ40" s="122"/>
      <c r="GA40" s="122"/>
      <c r="GB40" s="122"/>
      <c r="GC40" s="122"/>
      <c r="GD40" s="122"/>
      <c r="GE40" s="122"/>
      <c r="GF40" s="122"/>
      <c r="GG40" s="122"/>
      <c r="GH40" s="122"/>
      <c r="GI40" s="122"/>
    </row>
    <row r="41" spans="1:191" s="13" customFormat="1" ht="20.25" customHeight="1">
      <c r="A41" s="117">
        <v>17</v>
      </c>
      <c r="B41" s="128"/>
      <c r="C41" s="117"/>
      <c r="D41" s="102">
        <f t="shared" ref="D41" si="19">IFERROR(SUMPRODUCT(F41:HE41,$F$6:$HE$6)/100,0)</f>
        <v>0</v>
      </c>
      <c r="E41" s="131"/>
      <c r="F41" s="296"/>
      <c r="G41" s="296"/>
      <c r="H41" s="296"/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  <c r="Y41" s="296"/>
      <c r="Z41" s="296"/>
      <c r="AA41" s="296"/>
      <c r="AB41" s="296"/>
      <c r="AC41" s="296"/>
      <c r="AD41" s="296"/>
      <c r="AE41" s="296"/>
      <c r="AF41" s="296"/>
      <c r="AG41" s="296"/>
      <c r="AH41" s="296"/>
      <c r="AI41" s="296"/>
      <c r="AJ41" s="296"/>
      <c r="AK41" s="296"/>
      <c r="AL41" s="296"/>
      <c r="AM41" s="296"/>
      <c r="AN41" s="296"/>
      <c r="AO41" s="296"/>
      <c r="AP41" s="296"/>
      <c r="AQ41" s="296"/>
      <c r="AR41" s="296"/>
      <c r="AS41" s="296"/>
      <c r="AT41" s="296"/>
      <c r="AU41" s="296"/>
      <c r="AV41" s="296"/>
      <c r="AW41" s="296"/>
      <c r="AX41" s="296"/>
      <c r="AY41" s="296"/>
      <c r="AZ41" s="296"/>
      <c r="BA41" s="296"/>
      <c r="BB41" s="296"/>
      <c r="BC41" s="296"/>
      <c r="BD41" s="296"/>
      <c r="BE41" s="296"/>
      <c r="BF41" s="296"/>
      <c r="BG41" s="296"/>
      <c r="BH41" s="296"/>
      <c r="BI41" s="296"/>
      <c r="BJ41" s="296"/>
      <c r="BK41" s="296"/>
      <c r="BL41" s="296"/>
      <c r="BM41" s="296"/>
      <c r="BN41" s="296"/>
      <c r="BO41" s="296"/>
      <c r="BP41" s="296"/>
      <c r="BQ41" s="296"/>
      <c r="BR41" s="296"/>
      <c r="BS41" s="297"/>
      <c r="BT41" s="297"/>
      <c r="BU41" s="296"/>
      <c r="BV41" s="296"/>
      <c r="BW41" s="296"/>
      <c r="BX41" s="296"/>
      <c r="BY41" s="296"/>
      <c r="BZ41" s="296"/>
      <c r="CA41" s="296"/>
      <c r="CB41" s="296"/>
      <c r="CC41" s="296"/>
      <c r="CD41" s="296"/>
      <c r="CE41" s="122"/>
      <c r="CF41" s="122"/>
      <c r="CG41" s="122"/>
      <c r="CH41" s="122"/>
      <c r="CI41" s="122"/>
      <c r="CJ41" s="122"/>
      <c r="CK41" s="122"/>
      <c r="CL41" s="122"/>
      <c r="CM41" s="122"/>
      <c r="CN41" s="122"/>
      <c r="CO41" s="122"/>
      <c r="CP41" s="122"/>
      <c r="CQ41" s="122"/>
      <c r="CR41" s="122"/>
      <c r="CS41" s="122"/>
      <c r="CT41" s="122"/>
      <c r="CU41" s="122"/>
      <c r="CV41" s="122"/>
      <c r="CW41" s="122"/>
      <c r="CX41" s="122"/>
      <c r="CY41" s="122"/>
      <c r="CZ41" s="122"/>
      <c r="DA41" s="122"/>
      <c r="DB41" s="122"/>
      <c r="DC41" s="122"/>
      <c r="DD41" s="122"/>
      <c r="DE41" s="122"/>
      <c r="DF41" s="122"/>
      <c r="DG41" s="122"/>
      <c r="DH41" s="122"/>
      <c r="DI41" s="122"/>
      <c r="DJ41" s="122"/>
      <c r="DK41" s="122"/>
      <c r="DL41" s="122"/>
      <c r="DM41" s="122"/>
      <c r="DN41" s="122"/>
      <c r="DO41" s="122"/>
      <c r="DP41" s="122"/>
      <c r="DQ41" s="122"/>
      <c r="DR41" s="122"/>
      <c r="DS41" s="122"/>
      <c r="DT41" s="122"/>
      <c r="DU41" s="122"/>
      <c r="DV41" s="122"/>
      <c r="DW41" s="122"/>
      <c r="DX41" s="122"/>
      <c r="DY41" s="122"/>
      <c r="DZ41" s="122"/>
      <c r="EA41" s="122"/>
      <c r="EB41" s="122"/>
      <c r="EC41" s="122"/>
      <c r="ED41" s="122"/>
      <c r="EE41" s="122"/>
      <c r="EF41" s="122"/>
      <c r="EG41" s="122"/>
      <c r="EH41" s="122"/>
      <c r="EI41" s="122"/>
      <c r="EJ41" s="122"/>
      <c r="EK41" s="122"/>
      <c r="EL41" s="122"/>
      <c r="EM41" s="122"/>
      <c r="EN41" s="122"/>
      <c r="EO41" s="122"/>
      <c r="EP41" s="122"/>
      <c r="EQ41" s="122"/>
      <c r="ER41" s="122"/>
      <c r="ES41" s="122"/>
      <c r="ET41" s="122"/>
      <c r="EU41" s="122"/>
      <c r="EV41" s="122"/>
      <c r="EW41" s="122"/>
      <c r="EX41" s="122"/>
      <c r="EY41" s="122"/>
      <c r="EZ41" s="122"/>
      <c r="FA41" s="122"/>
      <c r="FB41" s="122"/>
      <c r="FC41" s="122"/>
      <c r="FD41" s="122"/>
      <c r="FE41" s="122"/>
      <c r="FF41" s="122"/>
      <c r="FG41" s="122"/>
      <c r="FH41" s="122"/>
      <c r="FI41" s="122"/>
      <c r="FJ41" s="122"/>
      <c r="FK41" s="122"/>
      <c r="FL41" s="122"/>
      <c r="FM41" s="122"/>
      <c r="FN41" s="122"/>
      <c r="FO41" s="122"/>
      <c r="FP41" s="122"/>
      <c r="FQ41" s="122"/>
      <c r="FR41" s="122"/>
      <c r="FS41" s="122"/>
      <c r="FT41" s="122"/>
      <c r="FU41" s="122"/>
      <c r="FV41" s="122"/>
      <c r="FW41" s="122"/>
      <c r="FX41" s="122"/>
      <c r="FY41" s="122"/>
      <c r="FZ41" s="122"/>
      <c r="GA41" s="122"/>
      <c r="GB41" s="122"/>
      <c r="GC41" s="122"/>
      <c r="GD41" s="122"/>
      <c r="GE41" s="122"/>
      <c r="GF41" s="122"/>
      <c r="GG41" s="122"/>
      <c r="GH41" s="122"/>
      <c r="GI41" s="122"/>
    </row>
    <row r="42" spans="1:191" s="118" customFormat="1" ht="20.25" customHeight="1">
      <c r="A42" s="117"/>
      <c r="B42" s="125"/>
      <c r="C42" s="132"/>
      <c r="D42" s="121"/>
      <c r="E42" s="127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4"/>
      <c r="AX42" s="294"/>
      <c r="AY42" s="294"/>
      <c r="AZ42" s="294"/>
      <c r="BA42" s="294"/>
      <c r="BB42" s="294"/>
      <c r="BC42" s="294"/>
      <c r="BD42" s="294"/>
      <c r="BE42" s="294"/>
      <c r="BF42" s="294"/>
      <c r="BG42" s="294"/>
      <c r="BH42" s="294"/>
      <c r="BI42" s="294"/>
      <c r="BJ42" s="294"/>
      <c r="BK42" s="294"/>
      <c r="BL42" s="294"/>
      <c r="BM42" s="294"/>
      <c r="BN42" s="294"/>
      <c r="BO42" s="294"/>
      <c r="BP42" s="294"/>
      <c r="BQ42" s="294"/>
      <c r="BR42" s="294"/>
      <c r="BS42" s="295"/>
      <c r="BT42" s="295"/>
      <c r="BU42" s="294"/>
      <c r="BV42" s="294"/>
      <c r="BW42" s="294"/>
      <c r="BX42" s="294"/>
      <c r="BY42" s="294"/>
      <c r="BZ42" s="294"/>
      <c r="CA42" s="294"/>
      <c r="CB42" s="294"/>
      <c r="CC42" s="294"/>
      <c r="CD42" s="294"/>
      <c r="CE42" s="117"/>
      <c r="CF42" s="117"/>
      <c r="CG42" s="117"/>
      <c r="CH42" s="117"/>
      <c r="CI42" s="117"/>
      <c r="CJ42" s="117"/>
      <c r="CK42" s="117"/>
      <c r="CL42" s="117"/>
      <c r="CM42" s="117"/>
      <c r="CN42" s="117"/>
      <c r="CO42" s="117"/>
      <c r="CP42" s="117"/>
      <c r="CQ42" s="117"/>
      <c r="CR42" s="117"/>
      <c r="CS42" s="117"/>
      <c r="CT42" s="117"/>
      <c r="CU42" s="117"/>
      <c r="CV42" s="117"/>
      <c r="CW42" s="117"/>
      <c r="CX42" s="117"/>
      <c r="CY42" s="117"/>
      <c r="CZ42" s="117"/>
      <c r="DA42" s="117"/>
      <c r="DB42" s="117"/>
      <c r="DC42" s="117"/>
      <c r="DD42" s="117"/>
      <c r="DE42" s="117"/>
      <c r="DF42" s="117"/>
      <c r="DG42" s="117"/>
      <c r="DH42" s="117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/>
      <c r="DV42" s="117"/>
      <c r="DW42" s="117"/>
      <c r="DX42" s="117"/>
      <c r="DY42" s="117"/>
      <c r="DZ42" s="117"/>
      <c r="EA42" s="117"/>
      <c r="EB42" s="117"/>
      <c r="EC42" s="117"/>
      <c r="ED42" s="117"/>
      <c r="EE42" s="117"/>
      <c r="EF42" s="117"/>
      <c r="EG42" s="117"/>
      <c r="EH42" s="117"/>
      <c r="EI42" s="117"/>
      <c r="EJ42" s="117"/>
      <c r="EK42" s="117"/>
      <c r="EL42" s="117"/>
      <c r="EM42" s="117"/>
      <c r="EN42" s="117"/>
      <c r="EO42" s="117"/>
      <c r="EP42" s="117"/>
      <c r="EQ42" s="117"/>
      <c r="ER42" s="117"/>
      <c r="ES42" s="117"/>
      <c r="ET42" s="117"/>
      <c r="EU42" s="117"/>
      <c r="EV42" s="117"/>
      <c r="EW42" s="117"/>
      <c r="EX42" s="117"/>
      <c r="EY42" s="117"/>
      <c r="EZ42" s="117"/>
      <c r="FA42" s="117"/>
      <c r="FB42" s="117"/>
      <c r="FC42" s="117"/>
      <c r="FD42" s="117"/>
      <c r="FE42" s="117"/>
      <c r="FF42" s="117"/>
      <c r="FG42" s="117"/>
      <c r="FH42" s="117"/>
      <c r="FI42" s="117"/>
      <c r="FJ42" s="117"/>
      <c r="FK42" s="117"/>
      <c r="FL42" s="117"/>
      <c r="FM42" s="117"/>
      <c r="FN42" s="117"/>
      <c r="FO42" s="117"/>
      <c r="FP42" s="117"/>
      <c r="FQ42" s="117"/>
      <c r="FR42" s="117"/>
      <c r="FS42" s="117"/>
      <c r="FT42" s="117"/>
      <c r="FU42" s="117"/>
      <c r="FV42" s="117"/>
      <c r="FW42" s="117"/>
      <c r="FX42" s="117"/>
      <c r="FY42" s="117"/>
      <c r="FZ42" s="117"/>
      <c r="GA42" s="117"/>
      <c r="GB42" s="117"/>
      <c r="GC42" s="117"/>
      <c r="GD42" s="117"/>
      <c r="GE42" s="117"/>
      <c r="GF42" s="117"/>
      <c r="GG42" s="117"/>
      <c r="GH42" s="117"/>
      <c r="GI42" s="117"/>
    </row>
    <row r="43" spans="1:191" s="13" customFormat="1" ht="20.25" customHeight="1">
      <c r="A43" s="117">
        <v>18</v>
      </c>
      <c r="B43" s="125"/>
      <c r="C43" s="132"/>
      <c r="D43" s="102">
        <f t="shared" ref="D43" si="20">IFERROR(SUMPRODUCT(F43:HE43,$F$6:$HE$6)/100,0)</f>
        <v>0</v>
      </c>
      <c r="E43" s="103"/>
      <c r="F43" s="296"/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  <c r="Y43" s="296"/>
      <c r="Z43" s="296"/>
      <c r="AA43" s="296"/>
      <c r="AB43" s="296"/>
      <c r="AC43" s="296"/>
      <c r="AD43" s="296"/>
      <c r="AE43" s="296"/>
      <c r="AF43" s="296"/>
      <c r="AG43" s="296"/>
      <c r="AH43" s="296"/>
      <c r="AI43" s="296"/>
      <c r="AJ43" s="296"/>
      <c r="AK43" s="296"/>
      <c r="AL43" s="296"/>
      <c r="AM43" s="296"/>
      <c r="AN43" s="296"/>
      <c r="AO43" s="296"/>
      <c r="AP43" s="296"/>
      <c r="AQ43" s="296"/>
      <c r="AR43" s="296"/>
      <c r="AS43" s="296"/>
      <c r="AT43" s="296"/>
      <c r="AU43" s="296"/>
      <c r="AV43" s="296"/>
      <c r="AW43" s="296"/>
      <c r="AX43" s="296"/>
      <c r="AY43" s="296"/>
      <c r="AZ43" s="296"/>
      <c r="BA43" s="296"/>
      <c r="BB43" s="296"/>
      <c r="BC43" s="296"/>
      <c r="BD43" s="296"/>
      <c r="BE43" s="296"/>
      <c r="BF43" s="296"/>
      <c r="BG43" s="296"/>
      <c r="BH43" s="296"/>
      <c r="BI43" s="296"/>
      <c r="BJ43" s="296"/>
      <c r="BK43" s="296"/>
      <c r="BL43" s="296"/>
      <c r="BM43" s="296"/>
      <c r="BN43" s="296"/>
      <c r="BO43" s="296"/>
      <c r="BP43" s="296"/>
      <c r="BQ43" s="296"/>
      <c r="BR43" s="296"/>
      <c r="BS43" s="296"/>
      <c r="BT43" s="296"/>
      <c r="BU43" s="296"/>
      <c r="BV43" s="296"/>
      <c r="BW43" s="296"/>
      <c r="BX43" s="296"/>
      <c r="BY43" s="296"/>
      <c r="BZ43" s="296"/>
      <c r="CA43" s="296"/>
      <c r="CB43" s="296"/>
      <c r="CC43" s="296"/>
      <c r="CD43" s="296"/>
      <c r="CE43" s="122"/>
      <c r="CF43" s="122"/>
      <c r="CG43" s="122"/>
      <c r="CH43" s="122"/>
      <c r="CI43" s="122"/>
      <c r="CJ43" s="122"/>
      <c r="CK43" s="122"/>
      <c r="CL43" s="122"/>
      <c r="CM43" s="122"/>
      <c r="CN43" s="122"/>
      <c r="CO43" s="122"/>
      <c r="CP43" s="122"/>
      <c r="CQ43" s="122"/>
      <c r="CR43" s="122"/>
      <c r="CS43" s="122"/>
      <c r="CT43" s="122"/>
      <c r="CU43" s="122"/>
      <c r="CV43" s="122"/>
      <c r="CW43" s="122"/>
      <c r="CX43" s="122"/>
      <c r="CY43" s="122"/>
      <c r="CZ43" s="122"/>
      <c r="DA43" s="122"/>
      <c r="DB43" s="122"/>
      <c r="DC43" s="122"/>
      <c r="DD43" s="122"/>
      <c r="DE43" s="122"/>
      <c r="DF43" s="122"/>
      <c r="DG43" s="122"/>
      <c r="DH43" s="122"/>
      <c r="DI43" s="122"/>
      <c r="DJ43" s="122"/>
      <c r="DK43" s="122"/>
      <c r="DL43" s="122"/>
      <c r="DM43" s="122"/>
      <c r="DN43" s="122"/>
      <c r="DO43" s="122"/>
      <c r="DP43" s="122"/>
      <c r="DQ43" s="122"/>
      <c r="DR43" s="122"/>
      <c r="DS43" s="122"/>
      <c r="DT43" s="122"/>
      <c r="DU43" s="122"/>
      <c r="DV43" s="122"/>
      <c r="DW43" s="122"/>
      <c r="DX43" s="122"/>
      <c r="DY43" s="122"/>
      <c r="DZ43" s="122"/>
      <c r="EA43" s="122"/>
      <c r="EB43" s="122"/>
      <c r="EC43" s="122"/>
      <c r="ED43" s="122"/>
      <c r="EE43" s="122"/>
      <c r="EF43" s="122"/>
      <c r="EG43" s="122"/>
      <c r="EH43" s="122"/>
      <c r="EI43" s="122"/>
      <c r="EJ43" s="122"/>
      <c r="EK43" s="122"/>
      <c r="EL43" s="122"/>
      <c r="EM43" s="122"/>
      <c r="EN43" s="122"/>
      <c r="EO43" s="122"/>
      <c r="EP43" s="122"/>
      <c r="EQ43" s="122"/>
      <c r="ER43" s="122"/>
      <c r="ES43" s="122"/>
      <c r="ET43" s="122"/>
      <c r="EU43" s="122"/>
      <c r="EV43" s="122"/>
      <c r="EW43" s="122"/>
      <c r="EX43" s="122"/>
      <c r="EY43" s="122"/>
      <c r="EZ43" s="122"/>
      <c r="FA43" s="122"/>
      <c r="FB43" s="122"/>
      <c r="FC43" s="122"/>
      <c r="FD43" s="122"/>
      <c r="FE43" s="122"/>
      <c r="FF43" s="122"/>
      <c r="FG43" s="122"/>
      <c r="FH43" s="122"/>
      <c r="FI43" s="122"/>
      <c r="FJ43" s="122"/>
      <c r="FK43" s="122"/>
      <c r="FL43" s="122"/>
      <c r="FM43" s="122"/>
      <c r="FN43" s="122"/>
      <c r="FO43" s="122"/>
      <c r="FP43" s="122"/>
      <c r="FQ43" s="122"/>
      <c r="FR43" s="122"/>
      <c r="FS43" s="122"/>
      <c r="FT43" s="122"/>
      <c r="FU43" s="122"/>
      <c r="FV43" s="122"/>
      <c r="FW43" s="122"/>
      <c r="FX43" s="122"/>
      <c r="FY43" s="122"/>
      <c r="FZ43" s="122"/>
      <c r="GA43" s="122"/>
      <c r="GB43" s="122"/>
      <c r="GC43" s="122"/>
      <c r="GD43" s="122"/>
      <c r="GE43" s="122"/>
      <c r="GF43" s="122"/>
      <c r="GG43" s="122"/>
      <c r="GH43" s="122"/>
      <c r="GI43" s="122"/>
    </row>
    <row r="44" spans="1:191" s="13" customFormat="1" ht="20.25" customHeight="1">
      <c r="A44" s="117"/>
      <c r="B44" s="125"/>
      <c r="C44" s="132"/>
      <c r="D44" s="121"/>
      <c r="E44" s="103"/>
      <c r="F44" s="296"/>
      <c r="G44" s="296"/>
      <c r="H44" s="296"/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6"/>
      <c r="AR44" s="296"/>
      <c r="AS44" s="296"/>
      <c r="AT44" s="296"/>
      <c r="AU44" s="296"/>
      <c r="AV44" s="296"/>
      <c r="AW44" s="296"/>
      <c r="AX44" s="296"/>
      <c r="AY44" s="296"/>
      <c r="AZ44" s="296"/>
      <c r="BA44" s="296"/>
      <c r="BB44" s="296"/>
      <c r="BC44" s="296"/>
      <c r="BD44" s="296"/>
      <c r="BE44" s="296"/>
      <c r="BF44" s="296"/>
      <c r="BG44" s="296"/>
      <c r="BH44" s="296"/>
      <c r="BI44" s="296"/>
      <c r="BJ44" s="296"/>
      <c r="BK44" s="296"/>
      <c r="BL44" s="296"/>
      <c r="BM44" s="296"/>
      <c r="BN44" s="296"/>
      <c r="BO44" s="296"/>
      <c r="BP44" s="296"/>
      <c r="BQ44" s="296"/>
      <c r="BR44" s="296"/>
      <c r="BS44" s="297"/>
      <c r="BT44" s="297"/>
      <c r="BU44" s="296"/>
      <c r="BV44" s="296"/>
      <c r="BW44" s="296"/>
      <c r="BX44" s="296"/>
      <c r="BY44" s="296"/>
      <c r="BZ44" s="296"/>
      <c r="CA44" s="296"/>
      <c r="CB44" s="296"/>
      <c r="CC44" s="296"/>
      <c r="CD44" s="296"/>
      <c r="CE44" s="122"/>
      <c r="CF44" s="122"/>
      <c r="CG44" s="122"/>
      <c r="CH44" s="122"/>
      <c r="CI44" s="122"/>
      <c r="CJ44" s="122"/>
      <c r="CK44" s="122"/>
      <c r="CL44" s="122"/>
      <c r="CM44" s="122"/>
      <c r="CN44" s="122"/>
      <c r="CO44" s="122"/>
      <c r="CP44" s="122"/>
      <c r="CQ44" s="122"/>
      <c r="CR44" s="122"/>
      <c r="CS44" s="122"/>
      <c r="CT44" s="122"/>
      <c r="CU44" s="122"/>
      <c r="CV44" s="122"/>
      <c r="CW44" s="122"/>
      <c r="CX44" s="122"/>
      <c r="CY44" s="122"/>
      <c r="CZ44" s="122"/>
      <c r="DA44" s="122"/>
      <c r="DB44" s="122"/>
      <c r="DC44" s="122"/>
      <c r="DD44" s="122"/>
      <c r="DE44" s="122"/>
      <c r="DF44" s="122"/>
      <c r="DG44" s="122"/>
      <c r="DH44" s="122"/>
      <c r="DI44" s="122"/>
      <c r="DJ44" s="122"/>
      <c r="DK44" s="122"/>
      <c r="DL44" s="122"/>
      <c r="DM44" s="122"/>
      <c r="DN44" s="122"/>
      <c r="DO44" s="122"/>
      <c r="DP44" s="122"/>
      <c r="DQ44" s="122"/>
      <c r="DR44" s="122"/>
      <c r="DS44" s="122"/>
      <c r="DT44" s="122"/>
      <c r="DU44" s="122"/>
      <c r="DV44" s="122"/>
      <c r="DW44" s="122"/>
      <c r="DX44" s="122"/>
      <c r="DY44" s="122"/>
      <c r="DZ44" s="122"/>
      <c r="EA44" s="122"/>
      <c r="EB44" s="122"/>
      <c r="EC44" s="122"/>
      <c r="ED44" s="122"/>
      <c r="EE44" s="122"/>
      <c r="EF44" s="122"/>
      <c r="EG44" s="122"/>
      <c r="EH44" s="122"/>
      <c r="EI44" s="122"/>
      <c r="EJ44" s="122"/>
      <c r="EK44" s="122"/>
      <c r="EL44" s="122"/>
      <c r="EM44" s="122"/>
      <c r="EN44" s="122"/>
      <c r="EO44" s="122"/>
      <c r="EP44" s="122"/>
      <c r="EQ44" s="122"/>
      <c r="ER44" s="122"/>
      <c r="ES44" s="122"/>
      <c r="ET44" s="122"/>
      <c r="EU44" s="122"/>
      <c r="EV44" s="122"/>
      <c r="EW44" s="122"/>
      <c r="EX44" s="122"/>
      <c r="EY44" s="122"/>
      <c r="EZ44" s="122"/>
      <c r="FA44" s="122"/>
      <c r="FB44" s="122"/>
      <c r="FC44" s="122"/>
      <c r="FD44" s="122"/>
      <c r="FE44" s="122"/>
      <c r="FF44" s="122"/>
      <c r="FG44" s="122"/>
      <c r="FH44" s="122"/>
      <c r="FI44" s="122"/>
      <c r="FJ44" s="122"/>
      <c r="FK44" s="122"/>
      <c r="FL44" s="122"/>
      <c r="FM44" s="122"/>
      <c r="FN44" s="122"/>
      <c r="FO44" s="122"/>
      <c r="FP44" s="122"/>
      <c r="FQ44" s="122"/>
      <c r="FR44" s="122"/>
      <c r="FS44" s="122"/>
      <c r="FT44" s="122"/>
      <c r="FU44" s="122"/>
      <c r="FV44" s="122"/>
      <c r="FW44" s="122"/>
      <c r="FX44" s="122"/>
      <c r="FY44" s="122"/>
      <c r="FZ44" s="122"/>
      <c r="GA44" s="122"/>
      <c r="GB44" s="122"/>
      <c r="GC44" s="122"/>
      <c r="GD44" s="122"/>
      <c r="GE44" s="122"/>
      <c r="GF44" s="122"/>
      <c r="GG44" s="122"/>
      <c r="GH44" s="122"/>
      <c r="GI44" s="122"/>
    </row>
    <row r="45" spans="1:191" s="13" customFormat="1" ht="20.25" customHeight="1">
      <c r="A45" s="117">
        <v>19</v>
      </c>
      <c r="B45" s="125"/>
      <c r="C45" s="132"/>
      <c r="D45" s="102">
        <f t="shared" ref="D45" si="21">IFERROR(SUMPRODUCT(F45:HE45,$F$6:$HE$6)/100,0)</f>
        <v>0</v>
      </c>
      <c r="E45" s="103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6"/>
      <c r="AR45" s="296"/>
      <c r="AS45" s="296"/>
      <c r="AT45" s="296"/>
      <c r="AU45" s="296"/>
      <c r="AV45" s="296"/>
      <c r="AW45" s="296"/>
      <c r="AX45" s="296"/>
      <c r="AY45" s="296"/>
      <c r="AZ45" s="296"/>
      <c r="BA45" s="296"/>
      <c r="BB45" s="296"/>
      <c r="BC45" s="296"/>
      <c r="BD45" s="296"/>
      <c r="BE45" s="296"/>
      <c r="BF45" s="296"/>
      <c r="BG45" s="296"/>
      <c r="BH45" s="296"/>
      <c r="BI45" s="296"/>
      <c r="BJ45" s="296"/>
      <c r="BK45" s="296"/>
      <c r="BL45" s="296"/>
      <c r="BM45" s="296"/>
      <c r="BN45" s="296"/>
      <c r="BO45" s="296"/>
      <c r="BP45" s="296"/>
      <c r="BQ45" s="296"/>
      <c r="BR45" s="296"/>
      <c r="BS45" s="297"/>
      <c r="BT45" s="297"/>
      <c r="BU45" s="296"/>
      <c r="BV45" s="296"/>
      <c r="BW45" s="296"/>
      <c r="BX45" s="296"/>
      <c r="BY45" s="296"/>
      <c r="BZ45" s="296"/>
      <c r="CA45" s="296"/>
      <c r="CB45" s="296"/>
      <c r="CC45" s="296"/>
      <c r="CD45" s="296"/>
      <c r="CE45" s="122"/>
      <c r="CF45" s="122"/>
      <c r="CG45" s="122"/>
      <c r="CH45" s="122"/>
      <c r="CI45" s="122"/>
      <c r="CJ45" s="122"/>
      <c r="CK45" s="122"/>
      <c r="CL45" s="122"/>
      <c r="CM45" s="122"/>
      <c r="CN45" s="122"/>
      <c r="CO45" s="122"/>
      <c r="CP45" s="122"/>
      <c r="CQ45" s="122"/>
      <c r="CR45" s="122"/>
      <c r="CS45" s="122"/>
      <c r="CT45" s="122"/>
      <c r="CU45" s="122"/>
      <c r="CV45" s="122"/>
      <c r="CW45" s="122"/>
      <c r="CX45" s="122"/>
      <c r="CY45" s="122"/>
      <c r="CZ45" s="122"/>
      <c r="DA45" s="122"/>
      <c r="DB45" s="122"/>
      <c r="DC45" s="122"/>
      <c r="DD45" s="122"/>
      <c r="DE45" s="122"/>
      <c r="DF45" s="122"/>
      <c r="DG45" s="122"/>
      <c r="DH45" s="122"/>
      <c r="DI45" s="122"/>
      <c r="DJ45" s="122"/>
      <c r="DK45" s="122"/>
      <c r="DL45" s="122"/>
      <c r="DM45" s="122"/>
      <c r="DN45" s="122"/>
      <c r="DO45" s="122"/>
      <c r="DP45" s="122"/>
      <c r="DQ45" s="122"/>
      <c r="DR45" s="122"/>
      <c r="DS45" s="122"/>
      <c r="DT45" s="122"/>
      <c r="DU45" s="122"/>
      <c r="DV45" s="122"/>
      <c r="DW45" s="122"/>
      <c r="DX45" s="122"/>
      <c r="DY45" s="122"/>
      <c r="DZ45" s="122"/>
      <c r="EA45" s="122"/>
      <c r="EB45" s="122"/>
      <c r="EC45" s="122"/>
      <c r="ED45" s="122"/>
      <c r="EE45" s="122"/>
      <c r="EF45" s="122"/>
      <c r="EG45" s="122"/>
      <c r="EH45" s="122"/>
      <c r="EI45" s="122"/>
      <c r="EJ45" s="122"/>
      <c r="EK45" s="122"/>
      <c r="EL45" s="122"/>
      <c r="EM45" s="122"/>
      <c r="EN45" s="122"/>
      <c r="EO45" s="122"/>
      <c r="EP45" s="122"/>
      <c r="EQ45" s="122"/>
      <c r="ER45" s="122"/>
      <c r="ES45" s="122"/>
      <c r="ET45" s="122"/>
      <c r="EU45" s="122"/>
      <c r="EV45" s="122"/>
      <c r="EW45" s="122"/>
      <c r="EX45" s="122"/>
      <c r="EY45" s="122"/>
      <c r="EZ45" s="122"/>
      <c r="FA45" s="122"/>
      <c r="FB45" s="122"/>
      <c r="FC45" s="122"/>
      <c r="FD45" s="122"/>
      <c r="FE45" s="122"/>
      <c r="FF45" s="122"/>
      <c r="FG45" s="122"/>
      <c r="FH45" s="122"/>
      <c r="FI45" s="122"/>
      <c r="FJ45" s="122"/>
      <c r="FK45" s="122"/>
      <c r="FL45" s="122"/>
      <c r="FM45" s="122"/>
      <c r="FN45" s="122"/>
      <c r="FO45" s="122"/>
      <c r="FP45" s="122"/>
      <c r="FQ45" s="122"/>
      <c r="FR45" s="122"/>
      <c r="FS45" s="122"/>
      <c r="FT45" s="122"/>
      <c r="FU45" s="122"/>
      <c r="FV45" s="122"/>
      <c r="FW45" s="122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2"/>
      <c r="GI45" s="122"/>
    </row>
    <row r="46" spans="1:191" s="118" customFormat="1" ht="20.25" customHeight="1">
      <c r="A46" s="117"/>
      <c r="B46" s="125"/>
      <c r="C46" s="132"/>
      <c r="D46" s="121"/>
      <c r="E46" s="127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  <c r="AN46" s="294"/>
      <c r="AO46" s="294"/>
      <c r="AP46" s="294"/>
      <c r="AQ46" s="294"/>
      <c r="AR46" s="294"/>
      <c r="AS46" s="294"/>
      <c r="AT46" s="294"/>
      <c r="AU46" s="294"/>
      <c r="AV46" s="294"/>
      <c r="AW46" s="294"/>
      <c r="AX46" s="294"/>
      <c r="AY46" s="294"/>
      <c r="AZ46" s="294"/>
      <c r="BA46" s="294"/>
      <c r="BB46" s="294"/>
      <c r="BC46" s="294"/>
      <c r="BD46" s="294"/>
      <c r="BE46" s="294"/>
      <c r="BF46" s="294"/>
      <c r="BG46" s="294"/>
      <c r="BH46" s="294"/>
      <c r="BI46" s="294"/>
      <c r="BJ46" s="294"/>
      <c r="BK46" s="294"/>
      <c r="BL46" s="294"/>
      <c r="BM46" s="294"/>
      <c r="BN46" s="294"/>
      <c r="BO46" s="294"/>
      <c r="BP46" s="294"/>
      <c r="BQ46" s="294"/>
      <c r="BR46" s="294"/>
      <c r="BS46" s="295"/>
      <c r="BT46" s="295"/>
      <c r="BU46" s="294"/>
      <c r="BV46" s="294"/>
      <c r="BW46" s="294"/>
      <c r="BX46" s="294"/>
      <c r="BY46" s="294"/>
      <c r="BZ46" s="294"/>
      <c r="CA46" s="294"/>
      <c r="CB46" s="294"/>
      <c r="CC46" s="294"/>
      <c r="CD46" s="294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7"/>
      <c r="DZ46" s="117"/>
      <c r="EA46" s="117"/>
      <c r="EB46" s="117"/>
      <c r="EC46" s="117"/>
      <c r="ED46" s="117"/>
      <c r="EE46" s="117"/>
      <c r="EF46" s="117"/>
      <c r="EG46" s="117"/>
      <c r="EH46" s="117"/>
      <c r="EI46" s="117"/>
      <c r="EJ46" s="117"/>
      <c r="EK46" s="117"/>
      <c r="EL46" s="117"/>
      <c r="EM46" s="117"/>
      <c r="EN46" s="117"/>
      <c r="EO46" s="117"/>
      <c r="EP46" s="117"/>
      <c r="EQ46" s="117"/>
      <c r="ER46" s="117"/>
      <c r="ES46" s="117"/>
      <c r="ET46" s="117"/>
      <c r="EU46" s="117"/>
      <c r="EV46" s="117"/>
      <c r="EW46" s="117"/>
      <c r="EX46" s="117"/>
      <c r="EY46" s="117"/>
      <c r="EZ46" s="117"/>
      <c r="FA46" s="117"/>
      <c r="FB46" s="117"/>
      <c r="FC46" s="117"/>
      <c r="FD46" s="117"/>
      <c r="FE46" s="117"/>
      <c r="FF46" s="117"/>
      <c r="FG46" s="117"/>
      <c r="FH46" s="117"/>
      <c r="FI46" s="117"/>
      <c r="FJ46" s="117"/>
      <c r="FK46" s="117"/>
      <c r="FL46" s="117"/>
      <c r="FM46" s="117"/>
      <c r="FN46" s="117"/>
      <c r="FO46" s="117"/>
      <c r="FP46" s="117"/>
      <c r="FQ46" s="117"/>
      <c r="FR46" s="117"/>
      <c r="FS46" s="117"/>
      <c r="FT46" s="117"/>
      <c r="FU46" s="117"/>
      <c r="FV46" s="117"/>
      <c r="FW46" s="117"/>
      <c r="FX46" s="117"/>
      <c r="FY46" s="117"/>
      <c r="FZ46" s="117"/>
      <c r="GA46" s="117"/>
      <c r="GB46" s="117"/>
      <c r="GC46" s="117"/>
      <c r="GD46" s="117"/>
      <c r="GE46" s="117"/>
      <c r="GF46" s="117"/>
      <c r="GG46" s="117"/>
      <c r="GH46" s="117"/>
      <c r="GI46" s="117"/>
    </row>
    <row r="47" spans="1:191" s="13" customFormat="1" ht="20.25" customHeight="1">
      <c r="A47" s="117">
        <v>20</v>
      </c>
      <c r="B47" s="125"/>
      <c r="C47" s="133"/>
      <c r="D47" s="102">
        <f t="shared" ref="D47" si="22">IFERROR(SUMPRODUCT(F47:HE47,$F$6:$HE$6)/100,0)</f>
        <v>0</v>
      </c>
      <c r="E47" s="131"/>
      <c r="F47" s="296"/>
      <c r="G47" s="296"/>
      <c r="H47" s="296"/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/>
      <c r="AU47" s="296"/>
      <c r="AV47" s="296"/>
      <c r="AW47" s="296"/>
      <c r="AX47" s="296"/>
      <c r="AY47" s="296"/>
      <c r="AZ47" s="296"/>
      <c r="BA47" s="296"/>
      <c r="BB47" s="296"/>
      <c r="BC47" s="296"/>
      <c r="BD47" s="296"/>
      <c r="BE47" s="296"/>
      <c r="BF47" s="296"/>
      <c r="BG47" s="296"/>
      <c r="BH47" s="296"/>
      <c r="BI47" s="296"/>
      <c r="BJ47" s="296"/>
      <c r="BK47" s="296"/>
      <c r="BL47" s="296"/>
      <c r="BM47" s="296"/>
      <c r="BN47" s="296"/>
      <c r="BO47" s="296"/>
      <c r="BP47" s="296"/>
      <c r="BQ47" s="296"/>
      <c r="BR47" s="296"/>
      <c r="BS47" s="297"/>
      <c r="BT47" s="297"/>
      <c r="BU47" s="296"/>
      <c r="BV47" s="296"/>
      <c r="BW47" s="296"/>
      <c r="BX47" s="296"/>
      <c r="BY47" s="296"/>
      <c r="BZ47" s="296"/>
      <c r="CA47" s="296"/>
      <c r="CB47" s="296"/>
      <c r="CC47" s="296"/>
      <c r="CD47" s="296"/>
      <c r="CE47" s="122"/>
      <c r="CF47" s="122"/>
      <c r="CG47" s="122"/>
      <c r="CH47" s="122"/>
      <c r="CI47" s="122"/>
      <c r="CJ47" s="122"/>
      <c r="CK47" s="122"/>
      <c r="CL47" s="122"/>
      <c r="CM47" s="122"/>
      <c r="CN47" s="122"/>
      <c r="CO47" s="122"/>
      <c r="CP47" s="122"/>
      <c r="CQ47" s="122"/>
      <c r="CR47" s="122"/>
      <c r="CS47" s="122"/>
      <c r="CT47" s="122"/>
      <c r="CU47" s="122"/>
      <c r="CV47" s="122"/>
      <c r="CW47" s="122"/>
      <c r="CX47" s="122"/>
      <c r="CY47" s="122"/>
      <c r="CZ47" s="122"/>
      <c r="DA47" s="122"/>
      <c r="DB47" s="122"/>
      <c r="DC47" s="122"/>
      <c r="DD47" s="122"/>
      <c r="DE47" s="122"/>
      <c r="DF47" s="122"/>
      <c r="DG47" s="122"/>
      <c r="DH47" s="122"/>
      <c r="DI47" s="122"/>
      <c r="DJ47" s="122"/>
      <c r="DK47" s="122"/>
      <c r="DL47" s="122"/>
      <c r="DM47" s="122"/>
      <c r="DN47" s="122"/>
      <c r="DO47" s="122"/>
      <c r="DP47" s="122"/>
      <c r="DQ47" s="122"/>
      <c r="DR47" s="122"/>
      <c r="DS47" s="122"/>
      <c r="DT47" s="122"/>
      <c r="DU47" s="122"/>
      <c r="DV47" s="122"/>
      <c r="DW47" s="122"/>
      <c r="DX47" s="122"/>
      <c r="DY47" s="122"/>
      <c r="DZ47" s="122"/>
      <c r="EA47" s="122"/>
      <c r="EB47" s="122"/>
      <c r="EC47" s="122"/>
      <c r="ED47" s="122"/>
      <c r="EE47" s="122"/>
      <c r="EF47" s="122"/>
      <c r="EG47" s="122"/>
      <c r="EH47" s="122"/>
      <c r="EI47" s="122"/>
      <c r="EJ47" s="122"/>
      <c r="EK47" s="122"/>
      <c r="EL47" s="122"/>
      <c r="EM47" s="122"/>
      <c r="EN47" s="122"/>
      <c r="EO47" s="122"/>
      <c r="EP47" s="122"/>
      <c r="EQ47" s="122"/>
      <c r="ER47" s="122"/>
      <c r="ES47" s="122"/>
      <c r="ET47" s="122"/>
      <c r="EU47" s="122"/>
      <c r="EV47" s="122"/>
      <c r="EW47" s="122"/>
      <c r="EX47" s="122"/>
      <c r="EY47" s="122"/>
      <c r="EZ47" s="122"/>
      <c r="FA47" s="122"/>
      <c r="FB47" s="122"/>
      <c r="FC47" s="122"/>
      <c r="FD47" s="122"/>
      <c r="FE47" s="122"/>
      <c r="FF47" s="122"/>
      <c r="FG47" s="122"/>
      <c r="FH47" s="122"/>
      <c r="FI47" s="122"/>
      <c r="FJ47" s="122"/>
      <c r="FK47" s="122"/>
      <c r="FL47" s="122"/>
      <c r="FM47" s="122"/>
      <c r="FN47" s="122"/>
      <c r="FO47" s="122"/>
      <c r="FP47" s="122"/>
      <c r="FQ47" s="122"/>
      <c r="FR47" s="122"/>
      <c r="FS47" s="122"/>
      <c r="FT47" s="122"/>
      <c r="FU47" s="122"/>
      <c r="FV47" s="122"/>
      <c r="FW47" s="122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2"/>
      <c r="GI47" s="122"/>
    </row>
    <row r="48" spans="1:191" s="13" customFormat="1" ht="20.25" customHeight="1">
      <c r="A48" s="117"/>
      <c r="B48" s="134"/>
      <c r="C48" s="135"/>
      <c r="D48" s="121"/>
      <c r="E48" s="103"/>
      <c r="F48" s="296"/>
      <c r="G48" s="296"/>
      <c r="H48" s="296"/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6"/>
      <c r="AR48" s="296"/>
      <c r="AS48" s="296"/>
      <c r="AT48" s="296"/>
      <c r="AU48" s="296"/>
      <c r="AV48" s="296"/>
      <c r="AW48" s="296"/>
      <c r="AX48" s="296"/>
      <c r="AY48" s="296"/>
      <c r="AZ48" s="296"/>
      <c r="BA48" s="296"/>
      <c r="BB48" s="296"/>
      <c r="BC48" s="296"/>
      <c r="BD48" s="296"/>
      <c r="BE48" s="296"/>
      <c r="BF48" s="296"/>
      <c r="BG48" s="296"/>
      <c r="BH48" s="296"/>
      <c r="BI48" s="296"/>
      <c r="BJ48" s="296"/>
      <c r="BK48" s="296"/>
      <c r="BL48" s="296"/>
      <c r="BM48" s="296"/>
      <c r="BN48" s="296"/>
      <c r="BO48" s="296"/>
      <c r="BP48" s="296"/>
      <c r="BQ48" s="296"/>
      <c r="BR48" s="296"/>
      <c r="BS48" s="297"/>
      <c r="BT48" s="297"/>
      <c r="BU48" s="296"/>
      <c r="BV48" s="296"/>
      <c r="BW48" s="296"/>
      <c r="BX48" s="296"/>
      <c r="BY48" s="296"/>
      <c r="BZ48" s="296"/>
      <c r="CA48" s="296"/>
      <c r="CB48" s="296"/>
      <c r="CC48" s="296"/>
      <c r="CD48" s="296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122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22"/>
      <c r="DI48" s="122"/>
      <c r="DJ48" s="122"/>
      <c r="DK48" s="122"/>
      <c r="DL48" s="122"/>
      <c r="DM48" s="122"/>
      <c r="DN48" s="122"/>
      <c r="DO48" s="122"/>
      <c r="DP48" s="122"/>
      <c r="DQ48" s="122"/>
      <c r="DR48" s="122"/>
      <c r="DS48" s="122"/>
      <c r="DT48" s="122"/>
      <c r="DU48" s="122"/>
      <c r="DV48" s="122"/>
      <c r="DW48" s="122"/>
      <c r="DX48" s="122"/>
      <c r="DY48" s="122"/>
      <c r="DZ48" s="122"/>
      <c r="EA48" s="122"/>
      <c r="EB48" s="122"/>
      <c r="EC48" s="122"/>
      <c r="ED48" s="122"/>
      <c r="EE48" s="122"/>
      <c r="EF48" s="122"/>
      <c r="EG48" s="122"/>
      <c r="EH48" s="122"/>
      <c r="EI48" s="122"/>
      <c r="EJ48" s="122"/>
      <c r="EK48" s="122"/>
      <c r="EL48" s="122"/>
      <c r="EM48" s="122"/>
      <c r="EN48" s="122"/>
      <c r="EO48" s="122"/>
      <c r="EP48" s="122"/>
      <c r="EQ48" s="122"/>
      <c r="ER48" s="122"/>
      <c r="ES48" s="122"/>
      <c r="ET48" s="122"/>
      <c r="EU48" s="122"/>
      <c r="EV48" s="122"/>
      <c r="EW48" s="122"/>
      <c r="EX48" s="122"/>
      <c r="EY48" s="122"/>
      <c r="EZ48" s="122"/>
      <c r="FA48" s="122"/>
      <c r="FB48" s="122"/>
      <c r="FC48" s="122"/>
      <c r="FD48" s="122"/>
      <c r="FE48" s="122"/>
      <c r="FF48" s="122"/>
      <c r="FG48" s="122"/>
      <c r="FH48" s="122"/>
      <c r="FI48" s="122"/>
      <c r="FJ48" s="122"/>
      <c r="FK48" s="122"/>
      <c r="FL48" s="122"/>
      <c r="FM48" s="122"/>
      <c r="FN48" s="122"/>
      <c r="FO48" s="122"/>
      <c r="FP48" s="122"/>
      <c r="FQ48" s="122"/>
      <c r="FR48" s="122"/>
      <c r="FS48" s="122"/>
      <c r="FT48" s="122"/>
      <c r="FU48" s="122"/>
      <c r="FV48" s="122"/>
      <c r="FW48" s="122"/>
      <c r="FX48" s="122"/>
      <c r="FY48" s="122"/>
      <c r="FZ48" s="122"/>
      <c r="GA48" s="122"/>
      <c r="GB48" s="122"/>
      <c r="GC48" s="122"/>
      <c r="GD48" s="122"/>
      <c r="GE48" s="122"/>
      <c r="GF48" s="122"/>
      <c r="GG48" s="122"/>
      <c r="GH48" s="122"/>
      <c r="GI48" s="122"/>
    </row>
    <row r="49" spans="1:191" s="13" customFormat="1" ht="20.25" customHeight="1">
      <c r="A49" s="117">
        <v>21</v>
      </c>
      <c r="B49" s="134"/>
      <c r="C49" s="136"/>
      <c r="D49" s="102">
        <f t="shared" ref="D49" si="23">IFERROR(SUMPRODUCT(F49:HE49,$F$6:$HE$6)/100,0)</f>
        <v>0</v>
      </c>
      <c r="E49" s="103"/>
      <c r="F49" s="296"/>
      <c r="G49" s="296"/>
      <c r="H49" s="296"/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  <c r="Y49" s="296"/>
      <c r="Z49" s="296"/>
      <c r="AA49" s="296"/>
      <c r="AB49" s="296"/>
      <c r="AC49" s="296"/>
      <c r="AD49" s="296"/>
      <c r="AE49" s="296"/>
      <c r="AF49" s="296"/>
      <c r="AG49" s="296"/>
      <c r="AH49" s="296"/>
      <c r="AI49" s="299"/>
      <c r="AJ49" s="296"/>
      <c r="AK49" s="296"/>
      <c r="AL49" s="296"/>
      <c r="AM49" s="296"/>
      <c r="AN49" s="296"/>
      <c r="AO49" s="296"/>
      <c r="AP49" s="296"/>
      <c r="AQ49" s="296"/>
      <c r="AR49" s="296"/>
      <c r="AS49" s="296"/>
      <c r="AT49" s="296"/>
      <c r="AU49" s="296"/>
      <c r="AV49" s="296"/>
      <c r="AW49" s="296"/>
      <c r="AX49" s="296"/>
      <c r="AY49" s="296"/>
      <c r="AZ49" s="296"/>
      <c r="BA49" s="296"/>
      <c r="BB49" s="296"/>
      <c r="BC49" s="296"/>
      <c r="BD49" s="296"/>
      <c r="BE49" s="296"/>
      <c r="BF49" s="296"/>
      <c r="BG49" s="296"/>
      <c r="BH49" s="296"/>
      <c r="BI49" s="296"/>
      <c r="BJ49" s="296"/>
      <c r="BK49" s="296"/>
      <c r="BL49" s="296"/>
      <c r="BM49" s="296"/>
      <c r="BN49" s="296"/>
      <c r="BO49" s="296"/>
      <c r="BP49" s="296"/>
      <c r="BQ49" s="296"/>
      <c r="BR49" s="296"/>
      <c r="BS49" s="297"/>
      <c r="BT49" s="297"/>
      <c r="BU49" s="296"/>
      <c r="BV49" s="296"/>
      <c r="BW49" s="296"/>
      <c r="BX49" s="296"/>
      <c r="BY49" s="296"/>
      <c r="BZ49" s="296"/>
      <c r="CA49" s="296"/>
      <c r="CB49" s="296"/>
      <c r="CC49" s="296"/>
      <c r="CD49" s="296"/>
      <c r="CE49" s="122"/>
      <c r="CF49" s="122"/>
      <c r="CG49" s="122"/>
      <c r="CH49" s="122"/>
      <c r="CI49" s="122"/>
      <c r="CJ49" s="122"/>
      <c r="CK49" s="122"/>
      <c r="CL49" s="122"/>
      <c r="CM49" s="122"/>
      <c r="CN49" s="122"/>
      <c r="CO49" s="122"/>
      <c r="CP49" s="122"/>
      <c r="CQ49" s="122"/>
      <c r="CR49" s="122"/>
      <c r="CS49" s="122"/>
      <c r="CT49" s="122"/>
      <c r="CU49" s="122"/>
      <c r="CV49" s="122"/>
      <c r="CW49" s="122"/>
      <c r="CX49" s="122"/>
      <c r="CY49" s="122"/>
      <c r="CZ49" s="122"/>
      <c r="DA49" s="122"/>
      <c r="DB49" s="122"/>
      <c r="DC49" s="122"/>
      <c r="DD49" s="122"/>
      <c r="DE49" s="122"/>
      <c r="DF49" s="122"/>
      <c r="DG49" s="122"/>
      <c r="DH49" s="122"/>
      <c r="DI49" s="122"/>
      <c r="DJ49" s="122"/>
      <c r="DK49" s="122"/>
      <c r="DL49" s="122"/>
      <c r="DM49" s="122"/>
      <c r="DN49" s="122"/>
      <c r="DO49" s="122"/>
      <c r="DP49" s="122"/>
      <c r="DQ49" s="122"/>
      <c r="DR49" s="122"/>
      <c r="DS49" s="122"/>
      <c r="DT49" s="122"/>
      <c r="DU49" s="122"/>
      <c r="DV49" s="122"/>
      <c r="DW49" s="122"/>
      <c r="DX49" s="122"/>
      <c r="DY49" s="122"/>
      <c r="DZ49" s="122"/>
      <c r="EA49" s="122"/>
      <c r="EB49" s="122"/>
      <c r="EC49" s="122"/>
      <c r="ED49" s="122"/>
      <c r="EE49" s="122"/>
      <c r="EF49" s="122"/>
      <c r="EG49" s="122"/>
      <c r="EH49" s="122"/>
      <c r="EI49" s="122"/>
      <c r="EJ49" s="122"/>
      <c r="EK49" s="122"/>
      <c r="EL49" s="122"/>
      <c r="EM49" s="122"/>
      <c r="EN49" s="122"/>
      <c r="EO49" s="122"/>
      <c r="EP49" s="122"/>
      <c r="EQ49" s="122"/>
      <c r="ER49" s="122"/>
      <c r="ES49" s="122"/>
      <c r="ET49" s="122"/>
      <c r="EU49" s="122"/>
      <c r="EV49" s="122"/>
      <c r="EW49" s="122"/>
      <c r="EX49" s="122"/>
      <c r="EY49" s="122"/>
      <c r="EZ49" s="122"/>
      <c r="FA49" s="122"/>
      <c r="FB49" s="122"/>
      <c r="FC49" s="122"/>
      <c r="FD49" s="122"/>
      <c r="FE49" s="122"/>
      <c r="FF49" s="122"/>
      <c r="FG49" s="122"/>
      <c r="FH49" s="122"/>
      <c r="FI49" s="122"/>
      <c r="FJ49" s="122"/>
      <c r="FK49" s="122"/>
      <c r="FL49" s="122"/>
      <c r="FM49" s="122"/>
      <c r="FN49" s="122"/>
      <c r="FO49" s="122"/>
      <c r="FP49" s="122"/>
      <c r="FQ49" s="122"/>
      <c r="FR49" s="122"/>
      <c r="FS49" s="122"/>
      <c r="FT49" s="122"/>
      <c r="FU49" s="122"/>
      <c r="FV49" s="122"/>
      <c r="FW49" s="122"/>
      <c r="FX49" s="122"/>
      <c r="FY49" s="122"/>
      <c r="FZ49" s="122"/>
      <c r="GA49" s="122"/>
      <c r="GB49" s="122"/>
      <c r="GC49" s="122"/>
      <c r="GD49" s="122"/>
      <c r="GE49" s="122"/>
      <c r="GF49" s="122"/>
      <c r="GG49" s="122"/>
      <c r="GH49" s="122"/>
      <c r="GI49" s="122"/>
    </row>
    <row r="50" spans="1:191" s="13" customFormat="1" ht="20.25" customHeight="1">
      <c r="A50" s="117"/>
      <c r="B50" s="124"/>
      <c r="C50" s="120"/>
      <c r="D50" s="121"/>
      <c r="E50" s="131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296"/>
      <c r="AC50" s="296"/>
      <c r="AD50" s="296"/>
      <c r="AE50" s="296"/>
      <c r="AF50" s="296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6"/>
      <c r="BC50" s="296"/>
      <c r="BD50" s="296"/>
      <c r="BE50" s="296"/>
      <c r="BF50" s="296"/>
      <c r="BG50" s="296"/>
      <c r="BH50" s="296"/>
      <c r="BI50" s="296"/>
      <c r="BJ50" s="296"/>
      <c r="BK50" s="296"/>
      <c r="BL50" s="296"/>
      <c r="BM50" s="296"/>
      <c r="BN50" s="296"/>
      <c r="BO50" s="296"/>
      <c r="BP50" s="296"/>
      <c r="BQ50" s="296"/>
      <c r="BR50" s="296"/>
      <c r="BS50" s="297"/>
      <c r="BT50" s="297"/>
      <c r="BU50" s="296"/>
      <c r="BV50" s="296"/>
      <c r="BW50" s="296"/>
      <c r="BX50" s="296"/>
      <c r="BY50" s="296"/>
      <c r="BZ50" s="296"/>
      <c r="CA50" s="296"/>
      <c r="CB50" s="296"/>
      <c r="CC50" s="296"/>
      <c r="CD50" s="296"/>
      <c r="CE50" s="122"/>
      <c r="CF50" s="122"/>
      <c r="CG50" s="122"/>
      <c r="CH50" s="122"/>
      <c r="CI50" s="122"/>
      <c r="CJ50" s="122"/>
      <c r="CK50" s="122"/>
      <c r="CL50" s="122"/>
      <c r="CM50" s="122"/>
      <c r="CN50" s="122"/>
      <c r="CO50" s="122"/>
      <c r="CP50" s="122"/>
      <c r="CQ50" s="122"/>
      <c r="CR50" s="122"/>
      <c r="CS50" s="122"/>
      <c r="CT50" s="122"/>
      <c r="CU50" s="122"/>
      <c r="CV50" s="122"/>
      <c r="CW50" s="122"/>
      <c r="CX50" s="122"/>
      <c r="CY50" s="122"/>
      <c r="CZ50" s="122"/>
      <c r="DA50" s="122"/>
      <c r="DB50" s="122"/>
      <c r="DC50" s="122"/>
      <c r="DD50" s="122"/>
      <c r="DE50" s="122"/>
      <c r="DF50" s="122"/>
      <c r="DG50" s="122"/>
      <c r="DH50" s="122"/>
      <c r="DI50" s="122"/>
      <c r="DJ50" s="122"/>
      <c r="DK50" s="122"/>
      <c r="DL50" s="122"/>
      <c r="DM50" s="122"/>
      <c r="DN50" s="122"/>
      <c r="DO50" s="122"/>
      <c r="DP50" s="122"/>
      <c r="DQ50" s="122"/>
      <c r="DR50" s="122"/>
      <c r="DS50" s="122"/>
      <c r="DT50" s="122"/>
      <c r="DU50" s="122"/>
      <c r="DV50" s="122"/>
      <c r="DW50" s="122"/>
      <c r="DX50" s="122"/>
      <c r="DY50" s="122"/>
      <c r="DZ50" s="122"/>
      <c r="EA50" s="122"/>
      <c r="EB50" s="122"/>
      <c r="EC50" s="122"/>
      <c r="ED50" s="122"/>
      <c r="EE50" s="122"/>
      <c r="EF50" s="122"/>
      <c r="EG50" s="122"/>
      <c r="EH50" s="122"/>
      <c r="EI50" s="122"/>
      <c r="EJ50" s="122"/>
      <c r="EK50" s="122"/>
      <c r="EL50" s="122"/>
      <c r="EM50" s="122"/>
      <c r="EN50" s="122"/>
      <c r="EO50" s="122"/>
      <c r="EP50" s="122"/>
      <c r="EQ50" s="122"/>
      <c r="ER50" s="122"/>
      <c r="ES50" s="122"/>
      <c r="ET50" s="122"/>
      <c r="EU50" s="122"/>
      <c r="EV50" s="122"/>
      <c r="EW50" s="122"/>
      <c r="EX50" s="122"/>
      <c r="EY50" s="122"/>
      <c r="EZ50" s="122"/>
      <c r="FA50" s="122"/>
      <c r="FB50" s="122"/>
      <c r="FC50" s="122"/>
      <c r="FD50" s="122"/>
      <c r="FE50" s="122"/>
      <c r="FF50" s="122"/>
      <c r="FG50" s="122"/>
      <c r="FH50" s="122"/>
      <c r="FI50" s="122"/>
      <c r="FJ50" s="122"/>
      <c r="FK50" s="122"/>
      <c r="FL50" s="122"/>
      <c r="FM50" s="122"/>
      <c r="FN50" s="122"/>
      <c r="FO50" s="122"/>
      <c r="FP50" s="122"/>
      <c r="FQ50" s="122"/>
      <c r="FR50" s="122"/>
      <c r="FS50" s="122"/>
      <c r="FT50" s="122"/>
      <c r="FU50" s="122"/>
      <c r="FV50" s="122"/>
      <c r="FW50" s="122"/>
      <c r="FX50" s="122"/>
      <c r="FY50" s="122"/>
      <c r="FZ50" s="122"/>
      <c r="GA50" s="122"/>
      <c r="GB50" s="122"/>
      <c r="GC50" s="122"/>
      <c r="GD50" s="122"/>
      <c r="GE50" s="122"/>
      <c r="GF50" s="122"/>
      <c r="GG50" s="122"/>
      <c r="GH50" s="122"/>
      <c r="GI50" s="122"/>
    </row>
    <row r="51" spans="1:191" s="13" customFormat="1" ht="20.25" customHeight="1">
      <c r="A51" s="117">
        <v>22</v>
      </c>
      <c r="B51" s="124"/>
      <c r="C51" s="137"/>
      <c r="D51" s="102">
        <f t="shared" ref="D51" si="24">IFERROR(SUMPRODUCT(F51:HE51,$F$6:$HE$6)/100,0)</f>
        <v>0</v>
      </c>
      <c r="E51" s="131"/>
      <c r="F51" s="296"/>
      <c r="G51" s="296"/>
      <c r="H51" s="296"/>
      <c r="I51" s="296"/>
      <c r="J51" s="296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  <c r="AC51" s="296"/>
      <c r="AD51" s="296"/>
      <c r="AE51" s="296"/>
      <c r="AF51" s="296"/>
      <c r="AG51" s="296"/>
      <c r="AH51" s="296"/>
      <c r="AI51" s="296"/>
      <c r="AJ51" s="296"/>
      <c r="AK51" s="296"/>
      <c r="AL51" s="296"/>
      <c r="AM51" s="296"/>
      <c r="AN51" s="296"/>
      <c r="AO51" s="296"/>
      <c r="AP51" s="296"/>
      <c r="AQ51" s="296"/>
      <c r="AR51" s="296"/>
      <c r="AS51" s="296"/>
      <c r="AT51" s="296"/>
      <c r="AU51" s="296"/>
      <c r="AV51" s="296"/>
      <c r="AW51" s="296"/>
      <c r="AX51" s="296"/>
      <c r="AY51" s="296"/>
      <c r="AZ51" s="296"/>
      <c r="BA51" s="296"/>
      <c r="BB51" s="296"/>
      <c r="BC51" s="296"/>
      <c r="BD51" s="296"/>
      <c r="BE51" s="296"/>
      <c r="BF51" s="296"/>
      <c r="BG51" s="296"/>
      <c r="BH51" s="296"/>
      <c r="BI51" s="296"/>
      <c r="BJ51" s="296"/>
      <c r="BK51" s="296"/>
      <c r="BL51" s="296"/>
      <c r="BM51" s="296"/>
      <c r="BN51" s="296"/>
      <c r="BO51" s="296"/>
      <c r="BP51" s="296"/>
      <c r="BQ51" s="296"/>
      <c r="BR51" s="296"/>
      <c r="BS51" s="297"/>
      <c r="BT51" s="297"/>
      <c r="BU51" s="296"/>
      <c r="BV51" s="296"/>
      <c r="BW51" s="296"/>
      <c r="BX51" s="296"/>
      <c r="BY51" s="296"/>
      <c r="BZ51" s="296"/>
      <c r="CA51" s="296"/>
      <c r="CB51" s="296"/>
      <c r="CC51" s="296"/>
      <c r="CD51" s="296"/>
      <c r="CE51" s="122"/>
      <c r="CF51" s="122"/>
      <c r="CG51" s="122"/>
      <c r="CH51" s="122"/>
      <c r="CI51" s="122"/>
      <c r="CJ51" s="122"/>
      <c r="CK51" s="122"/>
      <c r="CL51" s="122"/>
      <c r="CM51" s="122"/>
      <c r="CN51" s="122"/>
      <c r="CO51" s="122"/>
      <c r="CP51" s="122"/>
      <c r="CQ51" s="122"/>
      <c r="CR51" s="122"/>
      <c r="CS51" s="122"/>
      <c r="CT51" s="122"/>
      <c r="CU51" s="122"/>
      <c r="CV51" s="122"/>
      <c r="CW51" s="122"/>
      <c r="CX51" s="122"/>
      <c r="CY51" s="122"/>
      <c r="CZ51" s="122"/>
      <c r="DA51" s="122"/>
      <c r="DB51" s="122"/>
      <c r="DC51" s="122"/>
      <c r="DD51" s="122"/>
      <c r="DE51" s="122"/>
      <c r="DF51" s="122"/>
      <c r="DG51" s="122"/>
      <c r="DH51" s="122"/>
      <c r="DI51" s="122"/>
      <c r="DJ51" s="122"/>
      <c r="DK51" s="122"/>
      <c r="DL51" s="122"/>
      <c r="DM51" s="122"/>
      <c r="DN51" s="122"/>
      <c r="DO51" s="122"/>
      <c r="DP51" s="122"/>
      <c r="DQ51" s="122"/>
      <c r="DR51" s="122"/>
      <c r="DS51" s="122"/>
      <c r="DT51" s="122"/>
      <c r="DU51" s="122"/>
      <c r="DV51" s="122"/>
      <c r="DW51" s="122"/>
      <c r="DX51" s="122"/>
      <c r="DY51" s="122"/>
      <c r="DZ51" s="122"/>
      <c r="EA51" s="122"/>
      <c r="EB51" s="122"/>
      <c r="EC51" s="122"/>
      <c r="ED51" s="122"/>
      <c r="EE51" s="122"/>
      <c r="EF51" s="122"/>
      <c r="EG51" s="122"/>
      <c r="EH51" s="122"/>
      <c r="EI51" s="122"/>
      <c r="EJ51" s="122"/>
      <c r="EK51" s="122"/>
      <c r="EL51" s="122"/>
      <c r="EM51" s="122"/>
      <c r="EN51" s="122"/>
      <c r="EO51" s="122"/>
      <c r="EP51" s="122"/>
      <c r="EQ51" s="122"/>
      <c r="ER51" s="122"/>
      <c r="ES51" s="122"/>
      <c r="ET51" s="122"/>
      <c r="EU51" s="122"/>
      <c r="EV51" s="122"/>
      <c r="EW51" s="122"/>
      <c r="EX51" s="122"/>
      <c r="EY51" s="122"/>
      <c r="EZ51" s="122"/>
      <c r="FA51" s="122"/>
      <c r="FB51" s="122"/>
      <c r="FC51" s="122"/>
      <c r="FD51" s="122"/>
      <c r="FE51" s="122"/>
      <c r="FF51" s="122"/>
      <c r="FG51" s="122"/>
      <c r="FH51" s="122"/>
      <c r="FI51" s="122"/>
      <c r="FJ51" s="122"/>
      <c r="FK51" s="122"/>
      <c r="FL51" s="122"/>
      <c r="FM51" s="122"/>
      <c r="FN51" s="122"/>
      <c r="FO51" s="122"/>
      <c r="FP51" s="122"/>
      <c r="FQ51" s="122"/>
      <c r="FR51" s="122"/>
      <c r="FS51" s="122"/>
      <c r="FT51" s="122"/>
      <c r="FU51" s="122"/>
      <c r="FV51" s="122"/>
      <c r="FW51" s="122"/>
      <c r="FX51" s="122"/>
      <c r="FY51" s="122"/>
      <c r="FZ51" s="122"/>
      <c r="GA51" s="122"/>
      <c r="GB51" s="122"/>
      <c r="GC51" s="122"/>
      <c r="GD51" s="122"/>
      <c r="GE51" s="122"/>
      <c r="GF51" s="122"/>
      <c r="GG51" s="122"/>
      <c r="GH51" s="122"/>
      <c r="GI51" s="122"/>
    </row>
    <row r="52" spans="1:191" s="13" customFormat="1" ht="20.25" customHeight="1">
      <c r="A52" s="117"/>
      <c r="B52" s="124"/>
      <c r="C52" s="130"/>
      <c r="D52" s="121"/>
      <c r="E52" s="103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296"/>
      <c r="AC52" s="296"/>
      <c r="AD52" s="296"/>
      <c r="AE52" s="296"/>
      <c r="AF52" s="296"/>
      <c r="AG52" s="296"/>
      <c r="AH52" s="296"/>
      <c r="AI52" s="296"/>
      <c r="AJ52" s="296"/>
      <c r="AK52" s="296"/>
      <c r="AL52" s="296"/>
      <c r="AM52" s="296"/>
      <c r="AN52" s="296"/>
      <c r="AO52" s="296"/>
      <c r="AP52" s="296"/>
      <c r="AQ52" s="296"/>
      <c r="AR52" s="296"/>
      <c r="AS52" s="296"/>
      <c r="AT52" s="296"/>
      <c r="AU52" s="296"/>
      <c r="AV52" s="296"/>
      <c r="AW52" s="296"/>
      <c r="AX52" s="296"/>
      <c r="AY52" s="296"/>
      <c r="AZ52" s="296"/>
      <c r="BA52" s="296"/>
      <c r="BB52" s="296"/>
      <c r="BC52" s="296"/>
      <c r="BD52" s="296"/>
      <c r="BE52" s="296"/>
      <c r="BF52" s="296"/>
      <c r="BG52" s="296"/>
      <c r="BH52" s="296"/>
      <c r="BI52" s="296"/>
      <c r="BJ52" s="296"/>
      <c r="BK52" s="296"/>
      <c r="BL52" s="296"/>
      <c r="BM52" s="296"/>
      <c r="BN52" s="296"/>
      <c r="BO52" s="296"/>
      <c r="BP52" s="296"/>
      <c r="BQ52" s="296"/>
      <c r="BR52" s="296"/>
      <c r="BS52" s="297"/>
      <c r="BT52" s="297"/>
      <c r="BU52" s="296"/>
      <c r="BV52" s="296"/>
      <c r="BW52" s="296"/>
      <c r="BX52" s="296"/>
      <c r="BY52" s="296"/>
      <c r="BZ52" s="296"/>
      <c r="CA52" s="296"/>
      <c r="CB52" s="296"/>
      <c r="CC52" s="296"/>
      <c r="CD52" s="296"/>
      <c r="CE52" s="122"/>
      <c r="CF52" s="122"/>
      <c r="CG52" s="122"/>
      <c r="CH52" s="122"/>
      <c r="CI52" s="122"/>
      <c r="CJ52" s="122"/>
      <c r="CK52" s="122"/>
      <c r="CL52" s="122"/>
      <c r="CM52" s="122"/>
      <c r="CN52" s="122"/>
      <c r="CO52" s="122"/>
      <c r="CP52" s="122"/>
      <c r="CQ52" s="122"/>
      <c r="CR52" s="122"/>
      <c r="CS52" s="122"/>
      <c r="CT52" s="122"/>
      <c r="CU52" s="122"/>
      <c r="CV52" s="122"/>
      <c r="CW52" s="122"/>
      <c r="CX52" s="122"/>
      <c r="CY52" s="122"/>
      <c r="CZ52" s="122"/>
      <c r="DA52" s="122"/>
      <c r="DB52" s="122"/>
      <c r="DC52" s="122"/>
      <c r="DD52" s="122"/>
      <c r="DE52" s="122"/>
      <c r="DF52" s="122"/>
      <c r="DG52" s="122"/>
      <c r="DH52" s="122"/>
      <c r="DI52" s="122"/>
      <c r="DJ52" s="122"/>
      <c r="DK52" s="122"/>
      <c r="DL52" s="122"/>
      <c r="DM52" s="122"/>
      <c r="DN52" s="122"/>
      <c r="DO52" s="122"/>
      <c r="DP52" s="122"/>
      <c r="DQ52" s="122"/>
      <c r="DR52" s="122"/>
      <c r="DS52" s="122"/>
      <c r="DT52" s="122"/>
      <c r="DU52" s="122"/>
      <c r="DV52" s="122"/>
      <c r="DW52" s="122"/>
      <c r="DX52" s="122"/>
      <c r="DY52" s="122"/>
      <c r="DZ52" s="122"/>
      <c r="EA52" s="122"/>
      <c r="EB52" s="122"/>
      <c r="EC52" s="122"/>
      <c r="ED52" s="122"/>
      <c r="EE52" s="122"/>
      <c r="EF52" s="122"/>
      <c r="EG52" s="122"/>
      <c r="EH52" s="122"/>
      <c r="EI52" s="122"/>
      <c r="EJ52" s="122"/>
      <c r="EK52" s="122"/>
      <c r="EL52" s="122"/>
      <c r="EM52" s="122"/>
      <c r="EN52" s="122"/>
      <c r="EO52" s="122"/>
      <c r="EP52" s="122"/>
      <c r="EQ52" s="122"/>
      <c r="ER52" s="122"/>
      <c r="ES52" s="122"/>
      <c r="ET52" s="122"/>
      <c r="EU52" s="122"/>
      <c r="EV52" s="122"/>
      <c r="EW52" s="122"/>
      <c r="EX52" s="122"/>
      <c r="EY52" s="122"/>
      <c r="EZ52" s="122"/>
      <c r="FA52" s="122"/>
      <c r="FB52" s="122"/>
      <c r="FC52" s="122"/>
      <c r="FD52" s="122"/>
      <c r="FE52" s="122"/>
      <c r="FF52" s="122"/>
      <c r="FG52" s="122"/>
      <c r="FH52" s="122"/>
      <c r="FI52" s="122"/>
      <c r="FJ52" s="122"/>
      <c r="FK52" s="122"/>
      <c r="FL52" s="122"/>
      <c r="FM52" s="122"/>
      <c r="FN52" s="122"/>
      <c r="FO52" s="122"/>
      <c r="FP52" s="122"/>
      <c r="FQ52" s="122"/>
      <c r="FR52" s="122"/>
      <c r="FS52" s="122"/>
      <c r="FT52" s="122"/>
      <c r="FU52" s="122"/>
      <c r="FV52" s="122"/>
      <c r="FW52" s="122"/>
      <c r="FX52" s="122"/>
      <c r="FY52" s="122"/>
      <c r="FZ52" s="122"/>
      <c r="GA52" s="122"/>
      <c r="GB52" s="122"/>
      <c r="GC52" s="122"/>
      <c r="GD52" s="122"/>
      <c r="GE52" s="122"/>
      <c r="GF52" s="122"/>
      <c r="GG52" s="122"/>
      <c r="GH52" s="122"/>
      <c r="GI52" s="122"/>
    </row>
    <row r="53" spans="1:191" s="13" customFormat="1" ht="20.25" customHeight="1">
      <c r="A53" s="117">
        <v>23</v>
      </c>
      <c r="B53" s="124"/>
      <c r="C53" s="130"/>
      <c r="D53" s="102">
        <f t="shared" ref="D53" si="25">IFERROR(SUMPRODUCT(F53:HE53,$F$6:$HE$6)/100,0)</f>
        <v>0</v>
      </c>
      <c r="E53" s="131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300"/>
      <c r="AB53" s="300"/>
      <c r="AC53" s="300"/>
      <c r="AD53" s="300"/>
      <c r="AE53" s="300"/>
      <c r="AF53" s="300"/>
      <c r="AG53" s="300"/>
      <c r="AH53" s="300"/>
      <c r="AI53" s="300"/>
      <c r="AJ53" s="300"/>
      <c r="AK53" s="300"/>
      <c r="AL53" s="300"/>
      <c r="AM53" s="300"/>
      <c r="AN53" s="300"/>
      <c r="AO53" s="300"/>
      <c r="AP53" s="300"/>
      <c r="AQ53" s="300"/>
      <c r="AR53" s="300"/>
      <c r="AS53" s="300"/>
      <c r="AT53" s="300"/>
      <c r="AU53" s="300"/>
      <c r="AV53" s="300"/>
      <c r="AW53" s="300"/>
      <c r="AX53" s="300"/>
      <c r="AY53" s="300"/>
      <c r="AZ53" s="300"/>
      <c r="BA53" s="300"/>
      <c r="BB53" s="300"/>
      <c r="BC53" s="300"/>
      <c r="BD53" s="300"/>
      <c r="BE53" s="300"/>
      <c r="BF53" s="300"/>
      <c r="BG53" s="300"/>
      <c r="BH53" s="300"/>
      <c r="BI53" s="300"/>
      <c r="BJ53" s="300"/>
      <c r="BK53" s="300"/>
      <c r="BL53" s="300"/>
      <c r="BM53" s="300"/>
      <c r="BN53" s="300"/>
      <c r="BO53" s="300"/>
      <c r="BP53" s="300"/>
      <c r="BQ53" s="300"/>
      <c r="BR53" s="300"/>
      <c r="BS53" s="301"/>
      <c r="BT53" s="301"/>
      <c r="BU53" s="300"/>
      <c r="BV53" s="300"/>
      <c r="BW53" s="296"/>
      <c r="BX53" s="296"/>
      <c r="BY53" s="300"/>
      <c r="BZ53" s="300"/>
      <c r="CA53" s="300"/>
      <c r="CB53" s="300"/>
      <c r="CC53" s="300"/>
      <c r="CD53" s="300"/>
      <c r="CE53" s="138"/>
      <c r="CF53" s="138"/>
      <c r="CG53" s="138"/>
      <c r="CH53" s="138"/>
      <c r="CI53" s="138"/>
      <c r="CJ53" s="138"/>
      <c r="CK53" s="138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38"/>
      <c r="CY53" s="138"/>
      <c r="CZ53" s="138"/>
      <c r="DA53" s="138"/>
      <c r="DB53" s="138"/>
      <c r="DC53" s="138"/>
      <c r="DD53" s="138"/>
      <c r="DE53" s="138"/>
      <c r="DF53" s="138"/>
      <c r="DG53" s="138"/>
      <c r="DH53" s="138"/>
      <c r="DI53" s="138"/>
      <c r="DJ53" s="138"/>
      <c r="DK53" s="138"/>
      <c r="DL53" s="138"/>
      <c r="DM53" s="138"/>
      <c r="DN53" s="138"/>
      <c r="DO53" s="138"/>
      <c r="DP53" s="138"/>
      <c r="DQ53" s="138"/>
      <c r="DR53" s="138"/>
      <c r="DS53" s="138"/>
      <c r="DT53" s="138"/>
      <c r="DU53" s="138"/>
      <c r="DV53" s="138"/>
      <c r="DW53" s="138"/>
      <c r="DX53" s="138"/>
      <c r="DY53" s="138"/>
      <c r="DZ53" s="138"/>
      <c r="EA53" s="138"/>
      <c r="EB53" s="138"/>
      <c r="EC53" s="138"/>
      <c r="ED53" s="138"/>
      <c r="EE53" s="138"/>
      <c r="EF53" s="138"/>
      <c r="EG53" s="138"/>
      <c r="EH53" s="138"/>
      <c r="EI53" s="138"/>
      <c r="EJ53" s="138"/>
      <c r="EK53" s="138"/>
      <c r="EL53" s="138"/>
      <c r="EM53" s="138"/>
      <c r="EN53" s="138"/>
      <c r="EO53" s="138"/>
      <c r="EP53" s="138"/>
      <c r="EQ53" s="138"/>
      <c r="ER53" s="138"/>
      <c r="ES53" s="138"/>
      <c r="ET53" s="138"/>
      <c r="EU53" s="138"/>
      <c r="EV53" s="138"/>
      <c r="EW53" s="138"/>
      <c r="EX53" s="138"/>
      <c r="EY53" s="138"/>
      <c r="EZ53" s="138"/>
      <c r="FA53" s="138"/>
      <c r="FB53" s="138"/>
      <c r="FC53" s="138"/>
      <c r="FD53" s="138"/>
      <c r="FE53" s="138"/>
      <c r="FF53" s="138"/>
      <c r="FG53" s="138"/>
      <c r="FH53" s="138"/>
      <c r="FI53" s="138"/>
      <c r="FJ53" s="138"/>
      <c r="FK53" s="138"/>
      <c r="FL53" s="138"/>
      <c r="FM53" s="138"/>
      <c r="FN53" s="138"/>
      <c r="FO53" s="138"/>
      <c r="FP53" s="138"/>
      <c r="FQ53" s="138"/>
      <c r="FR53" s="138"/>
      <c r="FS53" s="138"/>
      <c r="FT53" s="138"/>
      <c r="FU53" s="138"/>
      <c r="FV53" s="138"/>
      <c r="FW53" s="138"/>
      <c r="FX53" s="138"/>
      <c r="FY53" s="138"/>
      <c r="FZ53" s="138"/>
      <c r="GA53" s="138"/>
      <c r="GB53" s="138"/>
      <c r="GC53" s="138"/>
      <c r="GD53" s="138"/>
      <c r="GE53" s="138"/>
      <c r="GF53" s="138"/>
      <c r="GG53" s="138"/>
      <c r="GH53" s="138"/>
      <c r="GI53" s="138"/>
    </row>
    <row r="54" spans="1:191" s="122" customFormat="1" ht="20.25" customHeight="1">
      <c r="A54" s="117"/>
      <c r="B54" s="124"/>
      <c r="C54" s="130"/>
      <c r="D54" s="121"/>
      <c r="E54" s="103"/>
      <c r="F54" s="296"/>
      <c r="G54" s="296"/>
      <c r="H54" s="296"/>
      <c r="I54" s="296"/>
      <c r="J54" s="296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  <c r="Y54" s="296"/>
      <c r="Z54" s="296"/>
      <c r="AA54" s="296"/>
      <c r="AB54" s="296"/>
      <c r="AC54" s="296"/>
      <c r="AD54" s="296"/>
      <c r="AE54" s="296"/>
      <c r="AF54" s="296"/>
      <c r="AG54" s="296"/>
      <c r="AH54" s="296"/>
      <c r="AI54" s="296"/>
      <c r="AJ54" s="296"/>
      <c r="AK54" s="296"/>
      <c r="AL54" s="296"/>
      <c r="AM54" s="296"/>
      <c r="AN54" s="296"/>
      <c r="AO54" s="296"/>
      <c r="AP54" s="296"/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A54" s="296"/>
      <c r="BB54" s="296"/>
      <c r="BC54" s="296"/>
      <c r="BD54" s="296"/>
      <c r="BE54" s="296"/>
      <c r="BF54" s="296"/>
      <c r="BG54" s="296"/>
      <c r="BH54" s="296"/>
      <c r="BI54" s="296"/>
      <c r="BJ54" s="296"/>
      <c r="BK54" s="296"/>
      <c r="BL54" s="296"/>
      <c r="BM54" s="296"/>
      <c r="BN54" s="296"/>
      <c r="BO54" s="296"/>
      <c r="BP54" s="296"/>
      <c r="BQ54" s="296"/>
      <c r="BR54" s="296"/>
      <c r="BS54" s="297"/>
      <c r="BT54" s="297"/>
      <c r="BU54" s="296"/>
      <c r="BV54" s="296"/>
      <c r="BW54" s="296"/>
      <c r="BX54" s="296"/>
      <c r="BY54" s="296"/>
      <c r="BZ54" s="296"/>
      <c r="CA54" s="296"/>
      <c r="CB54" s="296"/>
      <c r="CC54" s="296"/>
      <c r="CD54" s="296"/>
    </row>
    <row r="55" spans="1:191" s="122" customFormat="1" ht="20.25" customHeight="1">
      <c r="A55" s="117">
        <v>24</v>
      </c>
      <c r="B55" s="124"/>
      <c r="C55" s="140"/>
      <c r="D55" s="102">
        <f t="shared" ref="D55" si="26">IFERROR(SUMPRODUCT(F55:HE55,$F$6:$HE$6)/100,0)</f>
        <v>0</v>
      </c>
      <c r="E55" s="103"/>
      <c r="F55" s="296"/>
      <c r="G55" s="296"/>
      <c r="H55" s="296"/>
      <c r="I55" s="296"/>
      <c r="J55" s="296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6"/>
      <c r="AJ55" s="296"/>
      <c r="AK55" s="296"/>
      <c r="AL55" s="296"/>
      <c r="AM55" s="296"/>
      <c r="AN55" s="296"/>
      <c r="AO55" s="296"/>
      <c r="AP55" s="296"/>
      <c r="AQ55" s="296"/>
      <c r="AR55" s="296"/>
      <c r="AS55" s="296"/>
      <c r="AT55" s="296"/>
      <c r="AU55" s="296"/>
      <c r="AV55" s="296"/>
      <c r="AW55" s="296"/>
      <c r="AX55" s="296"/>
      <c r="AY55" s="296"/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7"/>
      <c r="BT55" s="297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</row>
    <row r="56" spans="1:191" s="122" customFormat="1" ht="20.25" customHeight="1">
      <c r="A56" s="117"/>
      <c r="B56" s="124"/>
      <c r="C56" s="120"/>
      <c r="D56" s="121"/>
      <c r="E56" s="103"/>
      <c r="F56" s="296"/>
      <c r="G56" s="296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296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296"/>
      <c r="AY56" s="296"/>
      <c r="AZ56" s="296"/>
      <c r="BA56" s="296"/>
      <c r="BB56" s="296"/>
      <c r="BC56" s="296"/>
      <c r="BD56" s="296"/>
      <c r="BE56" s="296"/>
      <c r="BF56" s="296"/>
      <c r="BG56" s="296"/>
      <c r="BH56" s="296"/>
      <c r="BI56" s="296"/>
      <c r="BJ56" s="296"/>
      <c r="BK56" s="296"/>
      <c r="BL56" s="296"/>
      <c r="BM56" s="296"/>
      <c r="BN56" s="296"/>
      <c r="BO56" s="296"/>
      <c r="BP56" s="296"/>
      <c r="BQ56" s="296"/>
      <c r="BR56" s="296"/>
      <c r="BS56" s="297"/>
      <c r="BT56" s="297"/>
      <c r="BU56" s="296"/>
      <c r="BV56" s="296"/>
      <c r="BW56" s="296"/>
      <c r="BX56" s="296"/>
      <c r="BY56" s="296"/>
      <c r="BZ56" s="296"/>
      <c r="CA56" s="296"/>
      <c r="CB56" s="296"/>
      <c r="CC56" s="296"/>
      <c r="CD56" s="296"/>
    </row>
    <row r="57" spans="1:191" s="122" customFormat="1" ht="20.25" customHeight="1">
      <c r="A57" s="117">
        <v>25</v>
      </c>
      <c r="B57" s="141"/>
      <c r="C57" s="142"/>
      <c r="D57" s="102">
        <f t="shared" ref="D57" si="27">IFERROR(SUMPRODUCT(F57:HE57,$F$6:$HE$6)/100,0)</f>
        <v>0</v>
      </c>
      <c r="E57" s="103"/>
      <c r="F57" s="296"/>
      <c r="G57" s="296"/>
      <c r="H57" s="296"/>
      <c r="I57" s="296"/>
      <c r="J57" s="296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  <c r="AO57" s="296"/>
      <c r="AP57" s="296"/>
      <c r="AQ57" s="296"/>
      <c r="AR57" s="296"/>
      <c r="AS57" s="296"/>
      <c r="AT57" s="296"/>
      <c r="AU57" s="296"/>
      <c r="AV57" s="296"/>
      <c r="AW57" s="296"/>
      <c r="AX57" s="296"/>
      <c r="AY57" s="296"/>
      <c r="AZ57" s="296"/>
      <c r="BA57" s="296"/>
      <c r="BB57" s="296"/>
      <c r="BC57" s="296"/>
      <c r="BD57" s="296"/>
      <c r="BE57" s="296"/>
      <c r="BF57" s="296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  <c r="BS57" s="297"/>
      <c r="BT57" s="297"/>
      <c r="BU57" s="297"/>
      <c r="BV57" s="296"/>
      <c r="BW57" s="296"/>
      <c r="BX57" s="296"/>
      <c r="BY57" s="296"/>
      <c r="BZ57" s="296"/>
      <c r="CA57" s="296"/>
      <c r="CB57" s="296"/>
      <c r="CC57" s="296"/>
      <c r="CD57" s="296"/>
    </row>
    <row r="58" spans="1:191" s="13" customFormat="1" ht="20.25" customHeight="1">
      <c r="A58" s="117"/>
      <c r="B58" s="125"/>
      <c r="C58" s="126"/>
      <c r="D58" s="121"/>
      <c r="E58" s="103"/>
      <c r="F58" s="296"/>
      <c r="G58" s="296"/>
      <c r="H58" s="296"/>
      <c r="I58" s="296"/>
      <c r="J58" s="296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296"/>
      <c r="AV58" s="296"/>
      <c r="AW58" s="296"/>
      <c r="AX58" s="296"/>
      <c r="AY58" s="296"/>
      <c r="AZ58" s="296"/>
      <c r="BA58" s="296"/>
      <c r="BB58" s="296"/>
      <c r="BC58" s="296"/>
      <c r="BD58" s="296"/>
      <c r="BE58" s="296"/>
      <c r="BF58" s="296"/>
      <c r="BG58" s="296"/>
      <c r="BH58" s="296"/>
      <c r="BI58" s="296"/>
      <c r="BJ58" s="296"/>
      <c r="BK58" s="296"/>
      <c r="BL58" s="296"/>
      <c r="BM58" s="296"/>
      <c r="BN58" s="296"/>
      <c r="BO58" s="296"/>
      <c r="BP58" s="296"/>
      <c r="BQ58" s="296"/>
      <c r="BR58" s="296"/>
      <c r="BS58" s="297"/>
      <c r="BT58" s="297"/>
      <c r="BU58" s="296"/>
      <c r="BV58" s="296"/>
      <c r="BW58" s="296"/>
      <c r="BX58" s="296"/>
      <c r="BY58" s="296"/>
      <c r="BZ58" s="296"/>
      <c r="CA58" s="296"/>
      <c r="CB58" s="296"/>
      <c r="CC58" s="296"/>
      <c r="CD58" s="296"/>
      <c r="CE58" s="122"/>
      <c r="CF58" s="122"/>
      <c r="CG58" s="122"/>
      <c r="CH58" s="122"/>
      <c r="CI58" s="122"/>
      <c r="CJ58" s="122"/>
      <c r="CK58" s="122"/>
      <c r="CL58" s="122"/>
      <c r="CM58" s="122"/>
      <c r="CN58" s="122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22"/>
      <c r="DD58" s="122"/>
      <c r="DE58" s="122"/>
      <c r="DF58" s="122"/>
      <c r="DG58" s="122"/>
      <c r="DH58" s="122"/>
      <c r="DI58" s="122"/>
      <c r="DJ58" s="122"/>
      <c r="DK58" s="122"/>
      <c r="DL58" s="122"/>
      <c r="DM58" s="122"/>
      <c r="DN58" s="122"/>
      <c r="DO58" s="122"/>
      <c r="DP58" s="122"/>
      <c r="DQ58" s="122"/>
      <c r="DR58" s="122"/>
      <c r="DS58" s="122"/>
      <c r="DT58" s="122"/>
      <c r="DU58" s="122"/>
      <c r="DV58" s="122"/>
      <c r="DW58" s="122"/>
      <c r="DX58" s="122"/>
      <c r="DY58" s="122"/>
      <c r="DZ58" s="122"/>
      <c r="EA58" s="122"/>
      <c r="EB58" s="122"/>
      <c r="EC58" s="122"/>
      <c r="ED58" s="122"/>
      <c r="EE58" s="122"/>
      <c r="EF58" s="122"/>
      <c r="EG58" s="122"/>
      <c r="EH58" s="122"/>
      <c r="EI58" s="122"/>
      <c r="EJ58" s="122"/>
      <c r="EK58" s="122"/>
      <c r="EL58" s="122"/>
      <c r="EM58" s="122"/>
      <c r="EN58" s="122"/>
      <c r="EO58" s="122"/>
      <c r="EP58" s="122"/>
      <c r="EQ58" s="122"/>
      <c r="ER58" s="122"/>
      <c r="ES58" s="122"/>
      <c r="ET58" s="122"/>
      <c r="EU58" s="122"/>
      <c r="EV58" s="122"/>
      <c r="EW58" s="122"/>
      <c r="EX58" s="122"/>
      <c r="EY58" s="122"/>
      <c r="EZ58" s="122"/>
      <c r="FA58" s="122"/>
      <c r="FB58" s="122"/>
      <c r="FC58" s="122"/>
      <c r="FD58" s="122"/>
      <c r="FE58" s="122"/>
      <c r="FF58" s="122"/>
      <c r="FG58" s="122"/>
      <c r="FH58" s="122"/>
      <c r="FI58" s="122"/>
      <c r="FJ58" s="122"/>
      <c r="FK58" s="122"/>
      <c r="FL58" s="122"/>
      <c r="FM58" s="122"/>
      <c r="FN58" s="122"/>
      <c r="FO58" s="122"/>
      <c r="FP58" s="122"/>
      <c r="FQ58" s="122"/>
      <c r="FR58" s="122"/>
      <c r="FS58" s="122"/>
      <c r="FT58" s="122"/>
      <c r="FU58" s="122"/>
      <c r="FV58" s="122"/>
      <c r="FW58" s="122"/>
      <c r="FX58" s="122"/>
      <c r="FY58" s="122"/>
      <c r="FZ58" s="122"/>
      <c r="GA58" s="122"/>
      <c r="GB58" s="122"/>
      <c r="GC58" s="122"/>
      <c r="GD58" s="122"/>
      <c r="GE58" s="122"/>
      <c r="GF58" s="122"/>
      <c r="GG58" s="122"/>
      <c r="GH58" s="122"/>
      <c r="GI58" s="122"/>
    </row>
    <row r="59" spans="1:191" s="13" customFormat="1" ht="20.25" customHeight="1">
      <c r="A59" s="117">
        <v>26</v>
      </c>
      <c r="B59" s="125"/>
      <c r="C59" s="117"/>
      <c r="D59" s="102">
        <f t="shared" ref="D59" si="28">IFERROR(SUMPRODUCT(F59:HE59,$F$6:$HE$6)/100,0)</f>
        <v>0</v>
      </c>
      <c r="E59" s="103"/>
      <c r="F59" s="296"/>
      <c r="G59" s="296"/>
      <c r="H59" s="296"/>
      <c r="I59" s="296"/>
      <c r="J59" s="296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296"/>
      <c r="AV59" s="296"/>
      <c r="AW59" s="296"/>
      <c r="AX59" s="296"/>
      <c r="AY59" s="296"/>
      <c r="AZ59" s="296"/>
      <c r="BA59" s="296"/>
      <c r="BB59" s="296"/>
      <c r="BC59" s="296"/>
      <c r="BD59" s="296"/>
      <c r="BE59" s="296"/>
      <c r="BF59" s="296"/>
      <c r="BG59" s="296"/>
      <c r="BH59" s="296"/>
      <c r="BI59" s="296"/>
      <c r="BJ59" s="296"/>
      <c r="BK59" s="296"/>
      <c r="BL59" s="296"/>
      <c r="BM59" s="296"/>
      <c r="BN59" s="296"/>
      <c r="BO59" s="296"/>
      <c r="BP59" s="296"/>
      <c r="BQ59" s="296"/>
      <c r="BR59" s="296"/>
      <c r="BS59" s="297"/>
      <c r="BT59" s="297"/>
      <c r="BU59" s="296"/>
      <c r="BV59" s="296"/>
      <c r="BW59" s="296"/>
      <c r="BX59" s="296"/>
      <c r="BY59" s="296"/>
      <c r="BZ59" s="296"/>
      <c r="CA59" s="296"/>
      <c r="CB59" s="296"/>
      <c r="CC59" s="296"/>
      <c r="CD59" s="296"/>
      <c r="CE59" s="122"/>
      <c r="CF59" s="122"/>
      <c r="CG59" s="122"/>
      <c r="CH59" s="122"/>
      <c r="CI59" s="122"/>
      <c r="CJ59" s="122"/>
      <c r="CK59" s="122"/>
      <c r="CL59" s="122"/>
      <c r="CM59" s="122"/>
      <c r="CN59" s="122"/>
      <c r="CO59" s="122"/>
      <c r="CP59" s="122"/>
      <c r="CQ59" s="122"/>
      <c r="CR59" s="122"/>
      <c r="CS59" s="122"/>
      <c r="CT59" s="122"/>
      <c r="CU59" s="122"/>
      <c r="CV59" s="122"/>
      <c r="CW59" s="122"/>
      <c r="CX59" s="122"/>
      <c r="CY59" s="122"/>
      <c r="CZ59" s="122"/>
      <c r="DA59" s="122"/>
      <c r="DB59" s="122"/>
      <c r="DC59" s="122"/>
      <c r="DD59" s="122"/>
      <c r="DE59" s="122"/>
      <c r="DF59" s="122"/>
      <c r="DG59" s="122"/>
      <c r="DH59" s="122"/>
      <c r="DI59" s="122"/>
      <c r="DJ59" s="122"/>
      <c r="DK59" s="122"/>
      <c r="DL59" s="122"/>
      <c r="DM59" s="122"/>
      <c r="DN59" s="122"/>
      <c r="DO59" s="122"/>
      <c r="DP59" s="122"/>
      <c r="DQ59" s="122"/>
      <c r="DR59" s="122"/>
      <c r="DS59" s="122"/>
      <c r="DT59" s="122"/>
      <c r="DU59" s="122"/>
      <c r="DV59" s="122"/>
      <c r="DW59" s="122"/>
      <c r="DX59" s="122"/>
      <c r="DY59" s="122"/>
      <c r="DZ59" s="122"/>
      <c r="EA59" s="122"/>
      <c r="EB59" s="122"/>
      <c r="EC59" s="122"/>
      <c r="ED59" s="122"/>
      <c r="EE59" s="122"/>
      <c r="EF59" s="122"/>
      <c r="EG59" s="122"/>
      <c r="EH59" s="122"/>
      <c r="EI59" s="122"/>
      <c r="EJ59" s="122"/>
      <c r="EK59" s="122"/>
      <c r="EL59" s="122"/>
      <c r="EM59" s="122"/>
      <c r="EN59" s="122"/>
      <c r="EO59" s="122"/>
      <c r="EP59" s="122"/>
      <c r="EQ59" s="122"/>
      <c r="ER59" s="122"/>
      <c r="ES59" s="122"/>
      <c r="ET59" s="122"/>
      <c r="EU59" s="122"/>
      <c r="EV59" s="122"/>
      <c r="EW59" s="122"/>
      <c r="EX59" s="122"/>
      <c r="EY59" s="122"/>
      <c r="EZ59" s="122"/>
      <c r="FA59" s="122"/>
      <c r="FB59" s="122"/>
      <c r="FC59" s="122"/>
      <c r="FD59" s="122"/>
      <c r="FE59" s="122"/>
      <c r="FF59" s="122"/>
      <c r="FG59" s="122"/>
      <c r="FH59" s="122"/>
      <c r="FI59" s="122"/>
      <c r="FJ59" s="122"/>
      <c r="FK59" s="122"/>
      <c r="FL59" s="122"/>
      <c r="FM59" s="122"/>
      <c r="FN59" s="122"/>
      <c r="FO59" s="122"/>
      <c r="FP59" s="122"/>
      <c r="FQ59" s="122"/>
      <c r="FR59" s="122"/>
      <c r="FS59" s="122"/>
      <c r="FT59" s="122"/>
      <c r="FU59" s="122"/>
      <c r="FV59" s="122"/>
      <c r="FW59" s="122"/>
      <c r="FX59" s="122"/>
      <c r="FY59" s="122"/>
      <c r="FZ59" s="122"/>
      <c r="GA59" s="122"/>
      <c r="GB59" s="122"/>
      <c r="GC59" s="122"/>
      <c r="GD59" s="122"/>
      <c r="GE59" s="122"/>
      <c r="GF59" s="122"/>
      <c r="GG59" s="122"/>
      <c r="GH59" s="122"/>
      <c r="GI59" s="122"/>
    </row>
    <row r="60" spans="1:191" s="13" customFormat="1" ht="20.25" customHeight="1">
      <c r="A60" s="117"/>
      <c r="B60" s="128"/>
      <c r="C60" s="126"/>
      <c r="D60" s="121"/>
      <c r="E60" s="131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  <c r="AM60" s="296"/>
      <c r="AN60" s="296"/>
      <c r="AO60" s="296"/>
      <c r="AP60" s="296"/>
      <c r="AQ60" s="296"/>
      <c r="AR60" s="296"/>
      <c r="AS60" s="296"/>
      <c r="AT60" s="296"/>
      <c r="AU60" s="296"/>
      <c r="AV60" s="296"/>
      <c r="AW60" s="296"/>
      <c r="AX60" s="296"/>
      <c r="AY60" s="296"/>
      <c r="AZ60" s="296"/>
      <c r="BA60" s="296"/>
      <c r="BB60" s="296"/>
      <c r="BC60" s="296"/>
      <c r="BD60" s="296"/>
      <c r="BE60" s="296"/>
      <c r="BF60" s="296"/>
      <c r="BG60" s="296"/>
      <c r="BH60" s="296"/>
      <c r="BI60" s="296"/>
      <c r="BJ60" s="296"/>
      <c r="BK60" s="296"/>
      <c r="BL60" s="296"/>
      <c r="BM60" s="296"/>
      <c r="BN60" s="296"/>
      <c r="BO60" s="296"/>
      <c r="BP60" s="296"/>
      <c r="BQ60" s="296"/>
      <c r="BR60" s="296"/>
      <c r="BS60" s="297"/>
      <c r="BT60" s="297"/>
      <c r="BU60" s="296"/>
      <c r="BV60" s="296"/>
      <c r="BW60" s="296"/>
      <c r="BX60" s="296"/>
      <c r="BY60" s="296"/>
      <c r="BZ60" s="296"/>
      <c r="CA60" s="296"/>
      <c r="CB60" s="296"/>
      <c r="CC60" s="296"/>
      <c r="CD60" s="296"/>
      <c r="CE60" s="122"/>
      <c r="CF60" s="122"/>
      <c r="CG60" s="122"/>
      <c r="CH60" s="122"/>
      <c r="CI60" s="122"/>
      <c r="CJ60" s="122"/>
      <c r="CK60" s="122"/>
      <c r="CL60" s="122"/>
      <c r="CM60" s="122"/>
      <c r="CN60" s="122"/>
      <c r="CO60" s="122"/>
      <c r="CP60" s="122"/>
      <c r="CQ60" s="122"/>
      <c r="CR60" s="122"/>
      <c r="CS60" s="122"/>
      <c r="CT60" s="122"/>
      <c r="CU60" s="122"/>
      <c r="CV60" s="122"/>
      <c r="CW60" s="122"/>
      <c r="CX60" s="122"/>
      <c r="CY60" s="122"/>
      <c r="CZ60" s="122"/>
      <c r="DA60" s="122"/>
      <c r="DB60" s="122"/>
      <c r="DC60" s="122"/>
      <c r="DD60" s="122"/>
      <c r="DE60" s="122"/>
      <c r="DF60" s="122"/>
      <c r="DG60" s="122"/>
      <c r="DH60" s="122"/>
      <c r="DI60" s="122"/>
      <c r="DJ60" s="122"/>
      <c r="DK60" s="122"/>
      <c r="DL60" s="122"/>
      <c r="DM60" s="122"/>
      <c r="DN60" s="122"/>
      <c r="DO60" s="122"/>
      <c r="DP60" s="122"/>
      <c r="DQ60" s="122"/>
      <c r="DR60" s="122"/>
      <c r="DS60" s="122"/>
      <c r="DT60" s="122"/>
      <c r="DU60" s="122"/>
      <c r="DV60" s="122"/>
      <c r="DW60" s="122"/>
      <c r="DX60" s="122"/>
      <c r="DY60" s="122"/>
      <c r="DZ60" s="122"/>
      <c r="EA60" s="122"/>
      <c r="EB60" s="122"/>
      <c r="EC60" s="122"/>
      <c r="ED60" s="122"/>
      <c r="EE60" s="122"/>
      <c r="EF60" s="122"/>
      <c r="EG60" s="122"/>
      <c r="EH60" s="122"/>
      <c r="EI60" s="122"/>
      <c r="EJ60" s="122"/>
      <c r="EK60" s="122"/>
      <c r="EL60" s="122"/>
      <c r="EM60" s="122"/>
      <c r="EN60" s="122"/>
      <c r="EO60" s="122"/>
      <c r="EP60" s="122"/>
      <c r="EQ60" s="122"/>
      <c r="ER60" s="122"/>
      <c r="ES60" s="122"/>
      <c r="ET60" s="122"/>
      <c r="EU60" s="122"/>
      <c r="EV60" s="122"/>
      <c r="EW60" s="122"/>
      <c r="EX60" s="122"/>
      <c r="EY60" s="122"/>
      <c r="EZ60" s="122"/>
      <c r="FA60" s="122"/>
      <c r="FB60" s="122"/>
      <c r="FC60" s="122"/>
      <c r="FD60" s="122"/>
      <c r="FE60" s="122"/>
      <c r="FF60" s="122"/>
      <c r="FG60" s="122"/>
      <c r="FH60" s="122"/>
      <c r="FI60" s="122"/>
      <c r="FJ60" s="122"/>
      <c r="FK60" s="122"/>
      <c r="FL60" s="122"/>
      <c r="FM60" s="122"/>
      <c r="FN60" s="122"/>
      <c r="FO60" s="122"/>
      <c r="FP60" s="122"/>
      <c r="FQ60" s="122"/>
      <c r="FR60" s="122"/>
      <c r="FS60" s="122"/>
      <c r="FT60" s="122"/>
      <c r="FU60" s="122"/>
      <c r="FV60" s="122"/>
      <c r="FW60" s="122"/>
      <c r="FX60" s="122"/>
      <c r="FY60" s="122"/>
      <c r="FZ60" s="122"/>
      <c r="GA60" s="122"/>
      <c r="GB60" s="122"/>
      <c r="GC60" s="122"/>
      <c r="GD60" s="122"/>
      <c r="GE60" s="122"/>
      <c r="GF60" s="122"/>
      <c r="GG60" s="122"/>
      <c r="GH60" s="122"/>
      <c r="GI60" s="122"/>
    </row>
    <row r="61" spans="1:191" s="118" customFormat="1" ht="20.25" customHeight="1">
      <c r="A61" s="117">
        <v>27</v>
      </c>
      <c r="B61" s="128"/>
      <c r="C61" s="117"/>
      <c r="D61" s="102">
        <f t="shared" ref="D61" si="29">IFERROR(SUMPRODUCT(F61:HE61,$F$6:$HE$6)/100,0)</f>
        <v>0</v>
      </c>
      <c r="E61" s="127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S61" s="294"/>
      <c r="AT61" s="294"/>
      <c r="AU61" s="294"/>
      <c r="AV61" s="294"/>
      <c r="AW61" s="294"/>
      <c r="AX61" s="294"/>
      <c r="AY61" s="294"/>
      <c r="AZ61" s="294"/>
      <c r="BA61" s="294"/>
      <c r="BB61" s="294"/>
      <c r="BC61" s="294"/>
      <c r="BD61" s="294"/>
      <c r="BE61" s="294"/>
      <c r="BF61" s="294"/>
      <c r="BG61" s="294"/>
      <c r="BH61" s="294"/>
      <c r="BI61" s="294"/>
      <c r="BJ61" s="294"/>
      <c r="BK61" s="294"/>
      <c r="BL61" s="294"/>
      <c r="BM61" s="294"/>
      <c r="BN61" s="294"/>
      <c r="BO61" s="294"/>
      <c r="BP61" s="294"/>
      <c r="BQ61" s="294"/>
      <c r="BR61" s="294"/>
      <c r="BS61" s="295"/>
      <c r="BT61" s="295"/>
      <c r="BU61" s="294"/>
      <c r="BV61" s="294"/>
      <c r="BW61" s="294"/>
      <c r="BX61" s="294"/>
      <c r="BY61" s="294"/>
      <c r="BZ61" s="294"/>
      <c r="CA61" s="294"/>
      <c r="CB61" s="294"/>
      <c r="CC61" s="294"/>
      <c r="CD61" s="294"/>
      <c r="CE61" s="117"/>
      <c r="CF61" s="117"/>
      <c r="CG61" s="117"/>
      <c r="CH61" s="117"/>
      <c r="CI61" s="117"/>
      <c r="CJ61" s="117"/>
      <c r="CK61" s="117"/>
      <c r="CL61" s="117"/>
      <c r="CM61" s="117"/>
      <c r="CN61" s="117"/>
      <c r="CO61" s="117"/>
      <c r="CP61" s="117"/>
      <c r="CQ61" s="117"/>
      <c r="CR61" s="117"/>
      <c r="CS61" s="117"/>
      <c r="CT61" s="117"/>
      <c r="CU61" s="117"/>
      <c r="CV61" s="117"/>
      <c r="CW61" s="117"/>
      <c r="CX61" s="117"/>
      <c r="CY61" s="117"/>
      <c r="CZ61" s="117"/>
      <c r="DA61" s="117"/>
      <c r="DB61" s="117"/>
      <c r="DC61" s="117"/>
      <c r="DD61" s="117"/>
      <c r="DE61" s="117"/>
      <c r="DF61" s="117"/>
      <c r="DG61" s="117"/>
      <c r="DH61" s="117"/>
      <c r="DI61" s="122"/>
      <c r="DJ61" s="122"/>
      <c r="DK61" s="117"/>
      <c r="DL61" s="117"/>
      <c r="DM61" s="117"/>
      <c r="DN61" s="117"/>
      <c r="DO61" s="117"/>
      <c r="DP61" s="117"/>
      <c r="DQ61" s="117"/>
      <c r="DR61" s="117"/>
      <c r="DS61" s="117"/>
      <c r="DT61" s="117"/>
      <c r="DU61" s="117"/>
      <c r="DV61" s="117"/>
      <c r="DW61" s="117"/>
      <c r="DX61" s="117"/>
      <c r="DY61" s="117"/>
      <c r="DZ61" s="117"/>
      <c r="EA61" s="117"/>
      <c r="EB61" s="117"/>
      <c r="EC61" s="117"/>
      <c r="ED61" s="117"/>
      <c r="EE61" s="117"/>
      <c r="EF61" s="117"/>
      <c r="EG61" s="117"/>
      <c r="EH61" s="117"/>
      <c r="EI61" s="117"/>
      <c r="EJ61" s="117"/>
      <c r="EK61" s="117"/>
      <c r="EL61" s="117"/>
      <c r="EM61" s="117"/>
      <c r="EN61" s="117"/>
      <c r="EO61" s="117"/>
      <c r="EP61" s="117"/>
      <c r="EQ61" s="117"/>
      <c r="ER61" s="117"/>
      <c r="ES61" s="117"/>
      <c r="ET61" s="117"/>
      <c r="EU61" s="117"/>
      <c r="EV61" s="117"/>
      <c r="EW61" s="117"/>
      <c r="EX61" s="117"/>
      <c r="EY61" s="117"/>
      <c r="EZ61" s="117"/>
      <c r="FA61" s="117"/>
      <c r="FB61" s="117"/>
      <c r="FC61" s="117"/>
      <c r="FD61" s="117"/>
      <c r="FE61" s="117"/>
      <c r="FF61" s="117"/>
      <c r="FG61" s="117"/>
      <c r="FH61" s="117"/>
      <c r="FI61" s="117"/>
      <c r="FJ61" s="117"/>
      <c r="FK61" s="117"/>
      <c r="FL61" s="117"/>
      <c r="FM61" s="117"/>
      <c r="FN61" s="117"/>
      <c r="FO61" s="117"/>
      <c r="FP61" s="117"/>
      <c r="FQ61" s="117"/>
      <c r="FR61" s="117"/>
      <c r="FS61" s="117"/>
      <c r="FT61" s="117"/>
      <c r="FU61" s="117"/>
      <c r="FV61" s="117"/>
      <c r="FW61" s="117"/>
      <c r="FX61" s="117"/>
      <c r="FY61" s="117"/>
      <c r="FZ61" s="117"/>
      <c r="GA61" s="117"/>
      <c r="GB61" s="117"/>
      <c r="GC61" s="117"/>
      <c r="GD61" s="117"/>
      <c r="GE61" s="117"/>
      <c r="GF61" s="117"/>
      <c r="GG61" s="117"/>
      <c r="GH61" s="117"/>
      <c r="GI61" s="117"/>
    </row>
    <row r="62" spans="1:191" s="118" customFormat="1" ht="20.25" customHeight="1">
      <c r="A62" s="117"/>
      <c r="B62" s="128"/>
      <c r="C62" s="143"/>
      <c r="D62" s="121"/>
      <c r="E62" s="127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S62" s="294"/>
      <c r="AT62" s="294"/>
      <c r="AU62" s="294"/>
      <c r="AV62" s="294"/>
      <c r="AW62" s="294"/>
      <c r="AX62" s="294"/>
      <c r="AY62" s="294"/>
      <c r="AZ62" s="294"/>
      <c r="BA62" s="294"/>
      <c r="BB62" s="294"/>
      <c r="BC62" s="294"/>
      <c r="BD62" s="294"/>
      <c r="BE62" s="294"/>
      <c r="BF62" s="294"/>
      <c r="BG62" s="294"/>
      <c r="BH62" s="294"/>
      <c r="BI62" s="294"/>
      <c r="BJ62" s="294"/>
      <c r="BK62" s="294"/>
      <c r="BL62" s="294"/>
      <c r="BM62" s="294"/>
      <c r="BN62" s="294"/>
      <c r="BO62" s="294"/>
      <c r="BP62" s="294"/>
      <c r="BQ62" s="294"/>
      <c r="BR62" s="294"/>
      <c r="BS62" s="295"/>
      <c r="BT62" s="295"/>
      <c r="BU62" s="294"/>
      <c r="BV62" s="294"/>
      <c r="BW62" s="294"/>
      <c r="BX62" s="294"/>
      <c r="BY62" s="294"/>
      <c r="BZ62" s="294"/>
      <c r="CA62" s="294"/>
      <c r="CB62" s="294"/>
      <c r="CC62" s="294"/>
      <c r="CD62" s="294"/>
      <c r="CE62" s="117"/>
      <c r="CF62" s="117"/>
      <c r="CG62" s="117"/>
      <c r="CH62" s="117"/>
      <c r="CI62" s="117"/>
      <c r="CJ62" s="117"/>
      <c r="CK62" s="117"/>
      <c r="CL62" s="117"/>
      <c r="CM62" s="117"/>
      <c r="CN62" s="117"/>
      <c r="CO62" s="117"/>
      <c r="CP62" s="117"/>
      <c r="CQ62" s="117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117"/>
      <c r="DE62" s="117"/>
      <c r="DF62" s="117"/>
      <c r="DG62" s="117"/>
      <c r="DH62" s="117"/>
      <c r="DI62" s="117"/>
      <c r="DJ62" s="117"/>
      <c r="DK62" s="117"/>
      <c r="DL62" s="117"/>
      <c r="DM62" s="117"/>
      <c r="DN62" s="117"/>
      <c r="DO62" s="117"/>
      <c r="DP62" s="117"/>
      <c r="DQ62" s="117"/>
      <c r="DR62" s="117"/>
      <c r="DS62" s="117"/>
      <c r="DT62" s="117"/>
      <c r="DU62" s="117"/>
      <c r="DV62" s="117"/>
      <c r="DW62" s="117"/>
      <c r="DX62" s="117"/>
      <c r="DY62" s="117"/>
      <c r="DZ62" s="117"/>
      <c r="EA62" s="117"/>
      <c r="EB62" s="117"/>
      <c r="EC62" s="117"/>
      <c r="ED62" s="117"/>
      <c r="EE62" s="117"/>
      <c r="EF62" s="117"/>
      <c r="EG62" s="117"/>
      <c r="EH62" s="117"/>
      <c r="EI62" s="117"/>
      <c r="EJ62" s="117"/>
      <c r="EK62" s="117"/>
      <c r="EL62" s="117"/>
      <c r="EM62" s="117"/>
      <c r="EN62" s="117"/>
      <c r="EO62" s="117"/>
      <c r="EP62" s="117"/>
      <c r="EQ62" s="117"/>
      <c r="ER62" s="117"/>
      <c r="ES62" s="117"/>
      <c r="ET62" s="117"/>
      <c r="EU62" s="117"/>
      <c r="EV62" s="117"/>
      <c r="EW62" s="117"/>
      <c r="EX62" s="117"/>
      <c r="EY62" s="117"/>
      <c r="EZ62" s="117"/>
      <c r="FA62" s="117"/>
      <c r="FB62" s="117"/>
      <c r="FC62" s="117"/>
      <c r="FD62" s="117"/>
      <c r="FE62" s="117"/>
      <c r="FF62" s="117"/>
      <c r="FG62" s="117"/>
      <c r="FH62" s="117"/>
      <c r="FI62" s="117"/>
      <c r="FJ62" s="117"/>
      <c r="FK62" s="117"/>
      <c r="FL62" s="117"/>
      <c r="FM62" s="117"/>
      <c r="FN62" s="117"/>
      <c r="FO62" s="117"/>
      <c r="FP62" s="117"/>
      <c r="FQ62" s="117"/>
      <c r="FR62" s="117"/>
      <c r="FS62" s="117"/>
      <c r="FT62" s="117"/>
      <c r="FU62" s="117"/>
      <c r="FV62" s="117"/>
      <c r="FW62" s="117"/>
      <c r="FX62" s="117"/>
      <c r="FY62" s="117"/>
      <c r="FZ62" s="117"/>
      <c r="GA62" s="117"/>
      <c r="GB62" s="117"/>
      <c r="GC62" s="117"/>
      <c r="GD62" s="117"/>
      <c r="GE62" s="117"/>
      <c r="GF62" s="117"/>
      <c r="GG62" s="117"/>
      <c r="GH62" s="117"/>
      <c r="GI62" s="117"/>
    </row>
    <row r="63" spans="1:191" s="118" customFormat="1" ht="20.25" customHeight="1">
      <c r="A63" s="117">
        <v>28</v>
      </c>
      <c r="B63" s="128"/>
      <c r="C63" s="143"/>
      <c r="D63" s="102">
        <f t="shared" ref="D63" si="30">IFERROR(SUMPRODUCT(F63:HE63,$F$6:$HE$6)/100,0)</f>
        <v>0</v>
      </c>
      <c r="E63" s="127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294"/>
      <c r="AT63" s="294"/>
      <c r="AU63" s="294"/>
      <c r="AV63" s="294"/>
      <c r="AW63" s="294"/>
      <c r="AX63" s="294"/>
      <c r="AY63" s="294"/>
      <c r="AZ63" s="294"/>
      <c r="BA63" s="294"/>
      <c r="BB63" s="294"/>
      <c r="BC63" s="294"/>
      <c r="BD63" s="294"/>
      <c r="BE63" s="294"/>
      <c r="BF63" s="294"/>
      <c r="BG63" s="294"/>
      <c r="BH63" s="294"/>
      <c r="BI63" s="294"/>
      <c r="BJ63" s="294"/>
      <c r="BK63" s="294"/>
      <c r="BL63" s="294"/>
      <c r="BM63" s="294"/>
      <c r="BN63" s="294"/>
      <c r="BO63" s="294"/>
      <c r="BP63" s="294"/>
      <c r="BQ63" s="294"/>
      <c r="BR63" s="294"/>
      <c r="BS63" s="295"/>
      <c r="BT63" s="295"/>
      <c r="BU63" s="294"/>
      <c r="BV63" s="294"/>
      <c r="BW63" s="294"/>
      <c r="BX63" s="294"/>
      <c r="BY63" s="294"/>
      <c r="BZ63" s="294"/>
      <c r="CA63" s="294"/>
      <c r="CB63" s="294"/>
      <c r="CC63" s="294"/>
      <c r="CD63" s="294"/>
      <c r="CE63" s="117"/>
      <c r="CF63" s="117"/>
      <c r="CG63" s="117"/>
      <c r="CH63" s="117"/>
      <c r="CI63" s="117"/>
      <c r="CJ63" s="117"/>
      <c r="CK63" s="117"/>
      <c r="CL63" s="117"/>
      <c r="CM63" s="117"/>
      <c r="CN63" s="117"/>
      <c r="CO63" s="117"/>
      <c r="CP63" s="117"/>
      <c r="CQ63" s="117"/>
      <c r="CR63" s="117"/>
      <c r="CS63" s="117"/>
      <c r="CT63" s="117"/>
      <c r="CU63" s="117"/>
      <c r="CV63" s="117"/>
      <c r="CW63" s="117"/>
      <c r="CX63" s="117"/>
      <c r="CY63" s="117"/>
      <c r="CZ63" s="117"/>
      <c r="DA63" s="117"/>
      <c r="DB63" s="117"/>
      <c r="DC63" s="117"/>
      <c r="DD63" s="117"/>
      <c r="DE63" s="117"/>
      <c r="DF63" s="117"/>
      <c r="DG63" s="117"/>
      <c r="DH63" s="117"/>
      <c r="DI63" s="117"/>
      <c r="DJ63" s="117"/>
      <c r="DK63" s="117"/>
      <c r="DL63" s="117"/>
      <c r="DM63" s="117"/>
      <c r="DN63" s="117"/>
      <c r="DO63" s="117"/>
      <c r="DP63" s="117"/>
      <c r="DQ63" s="117"/>
      <c r="DR63" s="117"/>
      <c r="DS63" s="117"/>
      <c r="DT63" s="117"/>
      <c r="DU63" s="117"/>
      <c r="DV63" s="117"/>
      <c r="DW63" s="117"/>
      <c r="DX63" s="117"/>
      <c r="DY63" s="117"/>
      <c r="DZ63" s="117"/>
      <c r="EA63" s="117"/>
      <c r="EB63" s="117"/>
      <c r="EC63" s="117"/>
      <c r="ED63" s="117"/>
      <c r="EE63" s="117"/>
      <c r="EF63" s="117"/>
      <c r="EG63" s="117"/>
      <c r="EH63" s="117"/>
      <c r="EI63" s="117"/>
      <c r="EJ63" s="117"/>
      <c r="EK63" s="117"/>
      <c r="EL63" s="117"/>
      <c r="EM63" s="117"/>
      <c r="EN63" s="117"/>
      <c r="EO63" s="117"/>
      <c r="EP63" s="117"/>
      <c r="EQ63" s="117"/>
      <c r="ER63" s="117"/>
      <c r="ES63" s="117"/>
      <c r="ET63" s="117"/>
      <c r="EU63" s="117"/>
      <c r="EV63" s="117"/>
      <c r="EW63" s="117"/>
      <c r="EX63" s="117"/>
      <c r="EY63" s="117"/>
      <c r="EZ63" s="117"/>
      <c r="FA63" s="117"/>
      <c r="FB63" s="117"/>
      <c r="FC63" s="117"/>
      <c r="FD63" s="117"/>
      <c r="FE63" s="117"/>
      <c r="FF63" s="117"/>
      <c r="FG63" s="117"/>
      <c r="FH63" s="117"/>
      <c r="FI63" s="117"/>
      <c r="FJ63" s="117"/>
      <c r="FK63" s="117"/>
      <c r="FL63" s="117"/>
      <c r="FM63" s="117"/>
      <c r="FN63" s="117"/>
      <c r="FO63" s="117"/>
      <c r="FP63" s="117"/>
      <c r="FQ63" s="117"/>
      <c r="FR63" s="117"/>
      <c r="FS63" s="117"/>
      <c r="FT63" s="117"/>
      <c r="FU63" s="117"/>
      <c r="FV63" s="117"/>
      <c r="FW63" s="117"/>
      <c r="FX63" s="117"/>
      <c r="FY63" s="117"/>
      <c r="FZ63" s="117"/>
      <c r="GA63" s="117"/>
      <c r="GB63" s="117"/>
      <c r="GC63" s="117"/>
      <c r="GD63" s="117"/>
      <c r="GE63" s="117"/>
      <c r="GF63" s="117"/>
      <c r="GG63" s="117"/>
      <c r="GH63" s="117"/>
      <c r="GI63" s="117"/>
    </row>
    <row r="64" spans="1:191" s="13" customFormat="1" ht="20.25" customHeight="1">
      <c r="A64" s="117"/>
      <c r="B64" s="128"/>
      <c r="C64" s="79"/>
      <c r="D64" s="121"/>
      <c r="E64" s="103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7"/>
      <c r="BT64" s="297"/>
      <c r="BU64" s="296"/>
      <c r="BV64" s="296"/>
      <c r="BW64" s="296"/>
      <c r="BX64" s="296"/>
      <c r="BY64" s="296"/>
      <c r="BZ64" s="296"/>
      <c r="CA64" s="296"/>
      <c r="CB64" s="296"/>
      <c r="CC64" s="296"/>
      <c r="CD64" s="296"/>
      <c r="CE64" s="122"/>
      <c r="CF64" s="122"/>
      <c r="CG64" s="122"/>
      <c r="CH64" s="122"/>
      <c r="CI64" s="122"/>
      <c r="CJ64" s="122"/>
      <c r="CK64" s="122"/>
      <c r="CL64" s="122"/>
      <c r="CM64" s="122"/>
      <c r="CN64" s="122"/>
      <c r="CO64" s="122"/>
      <c r="CP64" s="122"/>
      <c r="CQ64" s="122"/>
      <c r="CR64" s="122"/>
      <c r="CS64" s="122"/>
      <c r="CT64" s="122"/>
      <c r="CU64" s="122"/>
      <c r="CV64" s="122"/>
      <c r="CW64" s="122"/>
      <c r="CX64" s="122"/>
      <c r="CY64" s="122"/>
      <c r="CZ64" s="122"/>
      <c r="DA64" s="122"/>
      <c r="DB64" s="122"/>
      <c r="DC64" s="122"/>
      <c r="DD64" s="122"/>
      <c r="DE64" s="122"/>
      <c r="DF64" s="122"/>
      <c r="DG64" s="122"/>
      <c r="DH64" s="122"/>
      <c r="DI64" s="122"/>
      <c r="DJ64" s="122"/>
      <c r="DK64" s="122"/>
      <c r="DL64" s="122"/>
      <c r="DM64" s="122"/>
      <c r="DN64" s="122"/>
      <c r="DO64" s="122"/>
      <c r="DP64" s="122"/>
      <c r="DQ64" s="122"/>
      <c r="DR64" s="122"/>
      <c r="DS64" s="122"/>
      <c r="DT64" s="122"/>
      <c r="DU64" s="122"/>
      <c r="DV64" s="122"/>
      <c r="DW64" s="122"/>
      <c r="DX64" s="122"/>
      <c r="DY64" s="122"/>
      <c r="DZ64" s="122"/>
      <c r="EA64" s="122"/>
      <c r="EB64" s="122"/>
      <c r="EC64" s="122"/>
      <c r="ED64" s="122"/>
      <c r="EE64" s="122"/>
      <c r="EF64" s="122"/>
      <c r="EG64" s="122"/>
      <c r="EH64" s="122"/>
      <c r="EI64" s="122"/>
      <c r="EJ64" s="122"/>
      <c r="EK64" s="122"/>
      <c r="EL64" s="122"/>
      <c r="EM64" s="122"/>
      <c r="EN64" s="122"/>
      <c r="EO64" s="122"/>
      <c r="EP64" s="122"/>
      <c r="EQ64" s="122"/>
      <c r="ER64" s="122"/>
      <c r="ES64" s="122"/>
      <c r="ET64" s="122"/>
      <c r="EU64" s="122"/>
      <c r="EV64" s="122"/>
      <c r="EW64" s="122"/>
      <c r="EX64" s="122"/>
      <c r="EY64" s="122"/>
      <c r="EZ64" s="122"/>
      <c r="FA64" s="122"/>
      <c r="FB64" s="122"/>
      <c r="FC64" s="122"/>
      <c r="FD64" s="122"/>
      <c r="FE64" s="122"/>
      <c r="FF64" s="122"/>
      <c r="FG64" s="122"/>
      <c r="FH64" s="122"/>
      <c r="FI64" s="122"/>
      <c r="FJ64" s="122"/>
      <c r="FK64" s="122"/>
      <c r="FL64" s="122"/>
      <c r="FM64" s="122"/>
      <c r="FN64" s="122"/>
      <c r="FO64" s="122"/>
      <c r="FP64" s="122"/>
      <c r="FQ64" s="122"/>
      <c r="FR64" s="122"/>
      <c r="FS64" s="122"/>
      <c r="FT64" s="122"/>
      <c r="FU64" s="122"/>
      <c r="FV64" s="122"/>
      <c r="FW64" s="122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2"/>
      <c r="GI64" s="122"/>
    </row>
    <row r="65" spans="1:191" s="13" customFormat="1" ht="20.25" customHeight="1">
      <c r="A65" s="117">
        <v>29</v>
      </c>
      <c r="B65" s="128"/>
      <c r="C65" s="79"/>
      <c r="D65" s="102">
        <f t="shared" ref="D65" si="31">IFERROR(SUMPRODUCT(F65:HE65,$F$6:$HE$6)/100,0)</f>
        <v>0</v>
      </c>
      <c r="E65" s="103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6"/>
      <c r="AR65" s="296"/>
      <c r="AS65" s="296"/>
      <c r="AT65" s="296"/>
      <c r="AU65" s="296"/>
      <c r="AV65" s="296"/>
      <c r="AW65" s="296"/>
      <c r="AX65" s="296"/>
      <c r="AY65" s="296"/>
      <c r="AZ65" s="296"/>
      <c r="BA65" s="296"/>
      <c r="BB65" s="296"/>
      <c r="BC65" s="296"/>
      <c r="BD65" s="296"/>
      <c r="BE65" s="296"/>
      <c r="BF65" s="296"/>
      <c r="BG65" s="296"/>
      <c r="BH65" s="296"/>
      <c r="BI65" s="296"/>
      <c r="BJ65" s="296"/>
      <c r="BK65" s="296"/>
      <c r="BL65" s="296"/>
      <c r="BM65" s="296"/>
      <c r="BN65" s="296"/>
      <c r="BO65" s="296"/>
      <c r="BP65" s="296"/>
      <c r="BQ65" s="296"/>
      <c r="BR65" s="296"/>
      <c r="BS65" s="297"/>
      <c r="BT65" s="297"/>
      <c r="BU65" s="296"/>
      <c r="BV65" s="296"/>
      <c r="BW65" s="296"/>
      <c r="BX65" s="296"/>
      <c r="BY65" s="296"/>
      <c r="BZ65" s="296"/>
      <c r="CA65" s="296"/>
      <c r="CB65" s="296"/>
      <c r="CC65" s="296"/>
      <c r="CD65" s="296"/>
      <c r="CE65" s="122"/>
      <c r="CF65" s="122"/>
      <c r="CG65" s="122"/>
      <c r="CH65" s="122"/>
      <c r="CI65" s="122"/>
      <c r="CJ65" s="122"/>
      <c r="CK65" s="122"/>
      <c r="CL65" s="122"/>
      <c r="CM65" s="122"/>
      <c r="CN65" s="122"/>
      <c r="CO65" s="122"/>
      <c r="CP65" s="122"/>
      <c r="CQ65" s="122"/>
      <c r="CR65" s="122"/>
      <c r="CS65" s="122"/>
      <c r="CT65" s="122"/>
      <c r="CU65" s="122"/>
      <c r="CV65" s="122"/>
      <c r="CW65" s="122"/>
      <c r="CX65" s="122"/>
      <c r="CY65" s="122"/>
      <c r="CZ65" s="122"/>
      <c r="DA65" s="122"/>
      <c r="DB65" s="122"/>
      <c r="DC65" s="122"/>
      <c r="DD65" s="122"/>
      <c r="DE65" s="122"/>
      <c r="DF65" s="122"/>
      <c r="DG65" s="122"/>
      <c r="DH65" s="122"/>
      <c r="DI65" s="122"/>
      <c r="DJ65" s="122"/>
      <c r="DK65" s="122"/>
      <c r="DL65" s="122"/>
      <c r="DM65" s="122"/>
      <c r="DN65" s="122"/>
      <c r="DO65" s="122"/>
      <c r="DP65" s="122"/>
      <c r="DQ65" s="122"/>
      <c r="DR65" s="122"/>
      <c r="DS65" s="122"/>
      <c r="DT65" s="122"/>
      <c r="DU65" s="122"/>
      <c r="DV65" s="122"/>
      <c r="DW65" s="122"/>
      <c r="DX65" s="122"/>
      <c r="DY65" s="122"/>
      <c r="DZ65" s="122"/>
      <c r="EA65" s="122"/>
      <c r="EB65" s="122"/>
      <c r="EC65" s="122"/>
      <c r="ED65" s="122"/>
      <c r="EE65" s="122"/>
      <c r="EF65" s="122"/>
      <c r="EG65" s="122"/>
      <c r="EH65" s="122"/>
      <c r="EI65" s="122"/>
      <c r="EJ65" s="122"/>
      <c r="EK65" s="122"/>
      <c r="EL65" s="122"/>
      <c r="EM65" s="122"/>
      <c r="EN65" s="122"/>
      <c r="EO65" s="122"/>
      <c r="EP65" s="122"/>
      <c r="EQ65" s="122"/>
      <c r="ER65" s="122"/>
      <c r="ES65" s="122"/>
      <c r="ET65" s="122"/>
      <c r="EU65" s="122"/>
      <c r="EV65" s="122"/>
      <c r="EW65" s="122"/>
      <c r="EX65" s="122"/>
      <c r="EY65" s="122"/>
      <c r="EZ65" s="122"/>
      <c r="FA65" s="122"/>
      <c r="FB65" s="122"/>
      <c r="FC65" s="122"/>
      <c r="FD65" s="122"/>
      <c r="FE65" s="122"/>
      <c r="FF65" s="122"/>
      <c r="FG65" s="122"/>
      <c r="FH65" s="122"/>
      <c r="FI65" s="122"/>
      <c r="FJ65" s="122"/>
      <c r="FK65" s="122"/>
      <c r="FL65" s="122"/>
      <c r="FM65" s="122"/>
      <c r="FN65" s="122"/>
      <c r="FO65" s="122"/>
      <c r="FP65" s="122"/>
      <c r="FQ65" s="122"/>
      <c r="FR65" s="122"/>
      <c r="FS65" s="122"/>
      <c r="FT65" s="122"/>
      <c r="FU65" s="122"/>
      <c r="FV65" s="122"/>
      <c r="FW65" s="122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2"/>
      <c r="GI65" s="122"/>
    </row>
    <row r="66" spans="1:191" s="13" customFormat="1" ht="20.25" customHeight="1">
      <c r="A66" s="117"/>
      <c r="B66" s="128"/>
      <c r="C66" s="79"/>
      <c r="D66" s="121"/>
      <c r="E66" s="103"/>
      <c r="F66" s="296"/>
      <c r="G66" s="296"/>
      <c r="H66" s="296"/>
      <c r="I66" s="296"/>
      <c r="J66" s="296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296"/>
      <c r="AV66" s="296"/>
      <c r="AW66" s="296"/>
      <c r="AX66" s="296"/>
      <c r="AY66" s="296"/>
      <c r="AZ66" s="296"/>
      <c r="BA66" s="296"/>
      <c r="BB66" s="296"/>
      <c r="BC66" s="296"/>
      <c r="BD66" s="296"/>
      <c r="BE66" s="296"/>
      <c r="BF66" s="296"/>
      <c r="BG66" s="296"/>
      <c r="BH66" s="296"/>
      <c r="BI66" s="296"/>
      <c r="BJ66" s="296"/>
      <c r="BK66" s="296"/>
      <c r="BL66" s="296"/>
      <c r="BM66" s="296"/>
      <c r="BN66" s="296"/>
      <c r="BO66" s="296"/>
      <c r="BP66" s="296"/>
      <c r="BQ66" s="296"/>
      <c r="BR66" s="296"/>
      <c r="BS66" s="297"/>
      <c r="BT66" s="297"/>
      <c r="BU66" s="296"/>
      <c r="BV66" s="296"/>
      <c r="BW66" s="296"/>
      <c r="BX66" s="296"/>
      <c r="BY66" s="296"/>
      <c r="BZ66" s="296"/>
      <c r="CA66" s="296"/>
      <c r="CB66" s="296"/>
      <c r="CC66" s="296"/>
      <c r="CD66" s="296"/>
      <c r="CE66" s="122"/>
      <c r="CF66" s="122"/>
      <c r="CG66" s="122"/>
      <c r="CH66" s="122"/>
      <c r="CI66" s="122"/>
      <c r="CJ66" s="122"/>
      <c r="CK66" s="122"/>
      <c r="CL66" s="122"/>
      <c r="CM66" s="122"/>
      <c r="CN66" s="122"/>
      <c r="CO66" s="122"/>
      <c r="CP66" s="122"/>
      <c r="CQ66" s="122"/>
      <c r="CR66" s="122"/>
      <c r="CS66" s="122"/>
      <c r="CT66" s="122"/>
      <c r="CU66" s="122"/>
      <c r="CV66" s="122"/>
      <c r="CW66" s="122"/>
      <c r="CX66" s="122"/>
      <c r="CY66" s="122"/>
      <c r="CZ66" s="122"/>
      <c r="DA66" s="122"/>
      <c r="DB66" s="122"/>
      <c r="DC66" s="122"/>
      <c r="DD66" s="122"/>
      <c r="DE66" s="122"/>
      <c r="DF66" s="122"/>
      <c r="DG66" s="122"/>
      <c r="DH66" s="122"/>
      <c r="DI66" s="122"/>
      <c r="DJ66" s="122"/>
      <c r="DK66" s="122"/>
      <c r="DL66" s="122"/>
      <c r="DM66" s="122"/>
      <c r="DN66" s="122"/>
      <c r="DO66" s="122"/>
      <c r="DP66" s="122"/>
      <c r="DQ66" s="122"/>
      <c r="DR66" s="122"/>
      <c r="DS66" s="122"/>
      <c r="DT66" s="122"/>
      <c r="DU66" s="122"/>
      <c r="DV66" s="122"/>
      <c r="DW66" s="122"/>
      <c r="DX66" s="122"/>
      <c r="DY66" s="122"/>
      <c r="DZ66" s="122"/>
      <c r="EA66" s="122"/>
      <c r="EB66" s="122"/>
      <c r="EC66" s="122"/>
      <c r="ED66" s="122"/>
      <c r="EE66" s="122"/>
      <c r="EF66" s="122"/>
      <c r="EG66" s="122"/>
      <c r="EH66" s="122"/>
      <c r="EI66" s="122"/>
      <c r="EJ66" s="122"/>
      <c r="EK66" s="122"/>
      <c r="EL66" s="122"/>
      <c r="EM66" s="122"/>
      <c r="EN66" s="122"/>
      <c r="EO66" s="122"/>
      <c r="EP66" s="122"/>
      <c r="EQ66" s="122"/>
      <c r="ER66" s="122"/>
      <c r="ES66" s="122"/>
      <c r="ET66" s="122"/>
      <c r="EU66" s="122"/>
      <c r="EV66" s="122"/>
      <c r="EW66" s="122"/>
      <c r="EX66" s="122"/>
      <c r="EY66" s="122"/>
      <c r="EZ66" s="122"/>
      <c r="FA66" s="122"/>
      <c r="FB66" s="122"/>
      <c r="FC66" s="122"/>
      <c r="FD66" s="122"/>
      <c r="FE66" s="122"/>
      <c r="FF66" s="122"/>
      <c r="FG66" s="122"/>
      <c r="FH66" s="122"/>
      <c r="FI66" s="122"/>
      <c r="FJ66" s="122"/>
      <c r="FK66" s="122"/>
      <c r="FL66" s="122"/>
      <c r="FM66" s="122"/>
      <c r="FN66" s="122"/>
      <c r="FO66" s="122"/>
      <c r="FP66" s="122"/>
      <c r="FQ66" s="122"/>
      <c r="FR66" s="122"/>
      <c r="FS66" s="122"/>
      <c r="FT66" s="122"/>
      <c r="FU66" s="122"/>
      <c r="FV66" s="122"/>
      <c r="FW66" s="122"/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2"/>
      <c r="GI66" s="122"/>
    </row>
    <row r="67" spans="1:191" s="13" customFormat="1" ht="20.25" customHeight="1">
      <c r="A67" s="117">
        <v>30</v>
      </c>
      <c r="B67" s="128"/>
      <c r="C67" s="79"/>
      <c r="D67" s="102">
        <f t="shared" ref="D67" si="32">IFERROR(SUMPRODUCT(F67:HE67,$F$6:$HE$6)/100,0)</f>
        <v>0</v>
      </c>
      <c r="E67" s="103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6"/>
      <c r="AR67" s="296"/>
      <c r="AS67" s="296"/>
      <c r="AT67" s="296"/>
      <c r="AU67" s="296"/>
      <c r="AV67" s="296"/>
      <c r="AW67" s="296"/>
      <c r="AX67" s="296"/>
      <c r="AY67" s="296"/>
      <c r="AZ67" s="296"/>
      <c r="BA67" s="296"/>
      <c r="BB67" s="296"/>
      <c r="BC67" s="296"/>
      <c r="BD67" s="296"/>
      <c r="BE67" s="296"/>
      <c r="BF67" s="296"/>
      <c r="BG67" s="296"/>
      <c r="BH67" s="296"/>
      <c r="BI67" s="296"/>
      <c r="BJ67" s="296"/>
      <c r="BK67" s="296"/>
      <c r="BL67" s="296"/>
      <c r="BM67" s="296"/>
      <c r="BN67" s="296"/>
      <c r="BO67" s="296"/>
      <c r="BP67" s="296"/>
      <c r="BQ67" s="296"/>
      <c r="BR67" s="296"/>
      <c r="BS67" s="297"/>
      <c r="BT67" s="297"/>
      <c r="BU67" s="296"/>
      <c r="BV67" s="296"/>
      <c r="BW67" s="296"/>
      <c r="BX67" s="296"/>
      <c r="BY67" s="296"/>
      <c r="BZ67" s="296"/>
      <c r="CA67" s="296"/>
      <c r="CB67" s="296"/>
      <c r="CC67" s="296"/>
      <c r="CD67" s="296"/>
      <c r="CE67" s="122"/>
      <c r="CF67" s="122"/>
      <c r="CG67" s="122"/>
      <c r="CH67" s="122"/>
      <c r="CI67" s="122"/>
      <c r="CJ67" s="122"/>
      <c r="CK67" s="122"/>
      <c r="CL67" s="122"/>
      <c r="CM67" s="122"/>
      <c r="CN67" s="122"/>
      <c r="CO67" s="122"/>
      <c r="CP67" s="122"/>
      <c r="CQ67" s="122"/>
      <c r="CR67" s="122"/>
      <c r="CS67" s="122"/>
      <c r="CT67" s="122"/>
      <c r="CU67" s="122"/>
      <c r="CV67" s="122"/>
      <c r="CW67" s="122"/>
      <c r="CX67" s="122"/>
      <c r="CY67" s="122"/>
      <c r="CZ67" s="122"/>
      <c r="DA67" s="122"/>
      <c r="DB67" s="122"/>
      <c r="DC67" s="122"/>
      <c r="DD67" s="122"/>
      <c r="DE67" s="122"/>
      <c r="DF67" s="122"/>
      <c r="DG67" s="122"/>
      <c r="DH67" s="122"/>
      <c r="DI67" s="122"/>
      <c r="DJ67" s="122"/>
      <c r="DK67" s="122"/>
      <c r="DL67" s="122"/>
      <c r="DM67" s="122"/>
      <c r="DN67" s="122"/>
      <c r="DO67" s="122"/>
      <c r="DP67" s="122"/>
      <c r="DQ67" s="122"/>
      <c r="DR67" s="122"/>
      <c r="DS67" s="122"/>
      <c r="DT67" s="122"/>
      <c r="DU67" s="122"/>
      <c r="DV67" s="122"/>
      <c r="DW67" s="122"/>
      <c r="DX67" s="122"/>
      <c r="DY67" s="122"/>
      <c r="DZ67" s="122"/>
      <c r="EA67" s="122"/>
      <c r="EB67" s="122"/>
      <c r="EC67" s="122"/>
      <c r="ED67" s="122"/>
      <c r="EE67" s="122"/>
      <c r="EF67" s="122"/>
      <c r="EG67" s="122"/>
      <c r="EH67" s="122"/>
      <c r="EI67" s="122"/>
      <c r="EJ67" s="122"/>
      <c r="EK67" s="122"/>
      <c r="EL67" s="122"/>
      <c r="EM67" s="122"/>
      <c r="EN67" s="122"/>
      <c r="EO67" s="122"/>
      <c r="EP67" s="122"/>
      <c r="EQ67" s="122"/>
      <c r="ER67" s="122"/>
      <c r="ES67" s="122"/>
      <c r="ET67" s="122"/>
      <c r="EU67" s="122"/>
      <c r="EV67" s="122"/>
      <c r="EW67" s="122"/>
      <c r="EX67" s="122"/>
      <c r="EY67" s="122"/>
      <c r="EZ67" s="122"/>
      <c r="FA67" s="122"/>
      <c r="FB67" s="122"/>
      <c r="FC67" s="122"/>
      <c r="FD67" s="122"/>
      <c r="FE67" s="122"/>
      <c r="FF67" s="122"/>
      <c r="FG67" s="122"/>
      <c r="FH67" s="122"/>
      <c r="FI67" s="122"/>
      <c r="FJ67" s="122"/>
      <c r="FK67" s="122"/>
      <c r="FL67" s="122"/>
      <c r="FM67" s="122"/>
      <c r="FN67" s="122"/>
      <c r="FO67" s="122"/>
      <c r="FP67" s="122"/>
      <c r="FQ67" s="122"/>
      <c r="FR67" s="122"/>
      <c r="FS67" s="122"/>
      <c r="FT67" s="122"/>
      <c r="FU67" s="122"/>
      <c r="FV67" s="122"/>
      <c r="FW67" s="122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2"/>
      <c r="GI67" s="122"/>
    </row>
    <row r="68" spans="1:191" s="13" customFormat="1" ht="20.25" customHeight="1">
      <c r="A68" s="117"/>
      <c r="B68" s="128"/>
      <c r="C68" s="79"/>
      <c r="D68" s="121"/>
      <c r="E68" s="103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6"/>
      <c r="AR68" s="296"/>
      <c r="AS68" s="296"/>
      <c r="AT68" s="296"/>
      <c r="AU68" s="296"/>
      <c r="AV68" s="296"/>
      <c r="AW68" s="296"/>
      <c r="AX68" s="296"/>
      <c r="AY68" s="296"/>
      <c r="AZ68" s="296"/>
      <c r="BA68" s="296"/>
      <c r="BB68" s="296"/>
      <c r="BC68" s="296"/>
      <c r="BD68" s="296"/>
      <c r="BE68" s="296"/>
      <c r="BF68" s="296"/>
      <c r="BG68" s="296"/>
      <c r="BH68" s="296"/>
      <c r="BI68" s="296"/>
      <c r="BJ68" s="296"/>
      <c r="BK68" s="296"/>
      <c r="BL68" s="296"/>
      <c r="BM68" s="296"/>
      <c r="BN68" s="296"/>
      <c r="BO68" s="296"/>
      <c r="BP68" s="296"/>
      <c r="BQ68" s="296"/>
      <c r="BR68" s="296"/>
      <c r="BS68" s="297"/>
      <c r="BT68" s="297"/>
      <c r="BU68" s="296"/>
      <c r="BV68" s="296"/>
      <c r="BW68" s="296"/>
      <c r="BX68" s="296"/>
      <c r="BY68" s="296"/>
      <c r="BZ68" s="296"/>
      <c r="CA68" s="296"/>
      <c r="CB68" s="296"/>
      <c r="CC68" s="296"/>
      <c r="CD68" s="296"/>
      <c r="CE68" s="122"/>
      <c r="CF68" s="122"/>
      <c r="CG68" s="122"/>
      <c r="CH68" s="122"/>
      <c r="CI68" s="122"/>
      <c r="CJ68" s="122"/>
      <c r="CK68" s="122"/>
      <c r="CL68" s="122"/>
      <c r="CM68" s="122"/>
      <c r="CN68" s="122"/>
      <c r="CO68" s="122"/>
      <c r="CP68" s="122"/>
      <c r="CQ68" s="122"/>
      <c r="CR68" s="122"/>
      <c r="CS68" s="122"/>
      <c r="CT68" s="122"/>
      <c r="CU68" s="122"/>
      <c r="CV68" s="122"/>
      <c r="CW68" s="122"/>
      <c r="CX68" s="122"/>
      <c r="CY68" s="122"/>
      <c r="CZ68" s="122"/>
      <c r="DA68" s="122"/>
      <c r="DB68" s="122"/>
      <c r="DC68" s="122"/>
      <c r="DD68" s="122"/>
      <c r="DE68" s="122"/>
      <c r="DF68" s="122"/>
      <c r="DG68" s="122"/>
      <c r="DH68" s="122"/>
      <c r="DI68" s="122"/>
      <c r="DJ68" s="122"/>
      <c r="DK68" s="122"/>
      <c r="DL68" s="122"/>
      <c r="DM68" s="122"/>
      <c r="DN68" s="122"/>
      <c r="DO68" s="122"/>
      <c r="DP68" s="122"/>
      <c r="DQ68" s="122"/>
      <c r="DR68" s="122"/>
      <c r="DS68" s="122"/>
      <c r="DT68" s="122"/>
      <c r="DU68" s="122"/>
      <c r="DV68" s="122"/>
      <c r="DW68" s="122"/>
      <c r="DX68" s="122"/>
      <c r="DY68" s="122"/>
      <c r="DZ68" s="122"/>
      <c r="EA68" s="122"/>
      <c r="EB68" s="122"/>
      <c r="EC68" s="122"/>
      <c r="ED68" s="122"/>
      <c r="EE68" s="122"/>
      <c r="EF68" s="122"/>
      <c r="EG68" s="122"/>
      <c r="EH68" s="122"/>
      <c r="EI68" s="122"/>
      <c r="EJ68" s="122"/>
      <c r="EK68" s="122"/>
      <c r="EL68" s="122"/>
      <c r="EM68" s="122"/>
      <c r="EN68" s="122"/>
      <c r="EO68" s="122"/>
      <c r="EP68" s="122"/>
      <c r="EQ68" s="122"/>
      <c r="ER68" s="122"/>
      <c r="ES68" s="122"/>
      <c r="ET68" s="122"/>
      <c r="EU68" s="122"/>
      <c r="EV68" s="122"/>
      <c r="EW68" s="122"/>
      <c r="EX68" s="122"/>
      <c r="EY68" s="122"/>
      <c r="EZ68" s="122"/>
      <c r="FA68" s="122"/>
      <c r="FB68" s="122"/>
      <c r="FC68" s="122"/>
      <c r="FD68" s="122"/>
      <c r="FE68" s="122"/>
      <c r="FF68" s="122"/>
      <c r="FG68" s="122"/>
      <c r="FH68" s="122"/>
      <c r="FI68" s="122"/>
      <c r="FJ68" s="122"/>
      <c r="FK68" s="122"/>
      <c r="FL68" s="122"/>
      <c r="FM68" s="122"/>
      <c r="FN68" s="122"/>
      <c r="FO68" s="122"/>
      <c r="FP68" s="122"/>
      <c r="FQ68" s="122"/>
      <c r="FR68" s="122"/>
      <c r="FS68" s="122"/>
      <c r="FT68" s="122"/>
      <c r="FU68" s="122"/>
      <c r="FV68" s="122"/>
      <c r="FW68" s="122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2"/>
      <c r="GI68" s="122"/>
    </row>
    <row r="69" spans="1:191" s="13" customFormat="1" ht="20.25" customHeight="1">
      <c r="A69" s="117">
        <v>31</v>
      </c>
      <c r="B69" s="128"/>
      <c r="C69" s="79"/>
      <c r="D69" s="102">
        <f t="shared" ref="D69" si="33">IFERROR(SUMPRODUCT(F69:HE69,$F$6:$HE$6)/100,0)</f>
        <v>0</v>
      </c>
      <c r="E69" s="103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6"/>
      <c r="AR69" s="296"/>
      <c r="AS69" s="296"/>
      <c r="AT69" s="296"/>
      <c r="AU69" s="296"/>
      <c r="AV69" s="296"/>
      <c r="AW69" s="296"/>
      <c r="AX69" s="296"/>
      <c r="AY69" s="296"/>
      <c r="AZ69" s="296"/>
      <c r="BA69" s="296"/>
      <c r="BB69" s="296"/>
      <c r="BC69" s="296"/>
      <c r="BD69" s="296"/>
      <c r="BE69" s="296"/>
      <c r="BF69" s="296"/>
      <c r="BG69" s="296"/>
      <c r="BH69" s="296"/>
      <c r="BI69" s="296"/>
      <c r="BJ69" s="296"/>
      <c r="BK69" s="296"/>
      <c r="BL69" s="296"/>
      <c r="BM69" s="296"/>
      <c r="BN69" s="296"/>
      <c r="BO69" s="296"/>
      <c r="BP69" s="296"/>
      <c r="BQ69" s="296"/>
      <c r="BR69" s="296"/>
      <c r="BS69" s="297"/>
      <c r="BT69" s="297"/>
      <c r="BU69" s="296"/>
      <c r="BV69" s="296"/>
      <c r="BW69" s="296"/>
      <c r="BX69" s="296"/>
      <c r="BY69" s="296"/>
      <c r="BZ69" s="296"/>
      <c r="CA69" s="296"/>
      <c r="CB69" s="296"/>
      <c r="CC69" s="296"/>
      <c r="CD69" s="296"/>
      <c r="CE69" s="122"/>
      <c r="CF69" s="122"/>
      <c r="CG69" s="122"/>
      <c r="CH69" s="122"/>
      <c r="CI69" s="122"/>
      <c r="CJ69" s="122"/>
      <c r="CK69" s="122"/>
      <c r="CL69" s="122"/>
      <c r="CM69" s="122"/>
      <c r="CN69" s="122"/>
      <c r="CO69" s="122"/>
      <c r="CP69" s="122"/>
      <c r="CQ69" s="122"/>
      <c r="CR69" s="122"/>
      <c r="CS69" s="122"/>
      <c r="CT69" s="122"/>
      <c r="CU69" s="122"/>
      <c r="CV69" s="122"/>
      <c r="CW69" s="122"/>
      <c r="CX69" s="122"/>
      <c r="CY69" s="122"/>
      <c r="CZ69" s="122"/>
      <c r="DA69" s="122"/>
      <c r="DB69" s="122"/>
      <c r="DC69" s="122"/>
      <c r="DD69" s="122"/>
      <c r="DE69" s="122"/>
      <c r="DF69" s="122"/>
      <c r="DG69" s="122"/>
      <c r="DH69" s="122"/>
      <c r="DI69" s="122"/>
      <c r="DJ69" s="122"/>
      <c r="DK69" s="122"/>
      <c r="DL69" s="122"/>
      <c r="DM69" s="122"/>
      <c r="DN69" s="122"/>
      <c r="DO69" s="122"/>
      <c r="DP69" s="122"/>
      <c r="DQ69" s="122"/>
      <c r="DR69" s="122"/>
      <c r="DS69" s="122"/>
      <c r="DT69" s="122"/>
      <c r="DU69" s="122"/>
      <c r="DV69" s="122"/>
      <c r="DW69" s="122"/>
      <c r="DX69" s="122"/>
      <c r="DY69" s="122"/>
      <c r="DZ69" s="122"/>
      <c r="EA69" s="122"/>
      <c r="EB69" s="122"/>
      <c r="EC69" s="122"/>
      <c r="ED69" s="122"/>
      <c r="EE69" s="122"/>
      <c r="EF69" s="122"/>
      <c r="EG69" s="122"/>
      <c r="EH69" s="122"/>
      <c r="EI69" s="122"/>
      <c r="EJ69" s="122"/>
      <c r="EK69" s="122"/>
      <c r="EL69" s="122"/>
      <c r="EM69" s="122"/>
      <c r="EN69" s="122"/>
      <c r="EO69" s="122"/>
      <c r="EP69" s="122"/>
      <c r="EQ69" s="122"/>
      <c r="ER69" s="122"/>
      <c r="ES69" s="122"/>
      <c r="ET69" s="122"/>
      <c r="EU69" s="122"/>
      <c r="EV69" s="122"/>
      <c r="EW69" s="122"/>
      <c r="EX69" s="122"/>
      <c r="EY69" s="122"/>
      <c r="EZ69" s="122"/>
      <c r="FA69" s="122"/>
      <c r="FB69" s="122"/>
      <c r="FC69" s="122"/>
      <c r="FD69" s="122"/>
      <c r="FE69" s="122"/>
      <c r="FF69" s="122"/>
      <c r="FG69" s="122"/>
      <c r="FH69" s="122"/>
      <c r="FI69" s="122"/>
      <c r="FJ69" s="122"/>
      <c r="FK69" s="122"/>
      <c r="FL69" s="122"/>
      <c r="FM69" s="122"/>
      <c r="FN69" s="122"/>
      <c r="FO69" s="122"/>
      <c r="FP69" s="122"/>
      <c r="FQ69" s="122"/>
      <c r="FR69" s="122"/>
      <c r="FS69" s="122"/>
      <c r="FT69" s="122"/>
      <c r="FU69" s="122"/>
      <c r="FV69" s="122"/>
      <c r="FW69" s="122"/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2"/>
      <c r="GI69" s="122"/>
    </row>
    <row r="70" spans="1:191" s="13" customFormat="1" ht="20.25" customHeight="1">
      <c r="A70" s="117"/>
      <c r="B70" s="124"/>
      <c r="C70" s="120"/>
      <c r="D70" s="121"/>
      <c r="E70" s="103"/>
      <c r="F70" s="296"/>
      <c r="G70" s="296"/>
      <c r="H70" s="296"/>
      <c r="I70" s="296"/>
      <c r="J70" s="296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296"/>
      <c r="AV70" s="296"/>
      <c r="AW70" s="296"/>
      <c r="AX70" s="296"/>
      <c r="AY70" s="296"/>
      <c r="AZ70" s="296"/>
      <c r="BA70" s="296"/>
      <c r="BB70" s="296"/>
      <c r="BC70" s="296"/>
      <c r="BD70" s="296"/>
      <c r="BE70" s="296"/>
      <c r="BF70" s="296"/>
      <c r="BG70" s="296"/>
      <c r="BH70" s="296"/>
      <c r="BI70" s="296"/>
      <c r="BJ70" s="296"/>
      <c r="BK70" s="296"/>
      <c r="BL70" s="296"/>
      <c r="BM70" s="296"/>
      <c r="BN70" s="296"/>
      <c r="BO70" s="296"/>
      <c r="BP70" s="296"/>
      <c r="BQ70" s="296"/>
      <c r="BR70" s="296"/>
      <c r="BS70" s="297"/>
      <c r="BT70" s="297"/>
      <c r="BU70" s="296"/>
      <c r="BV70" s="296"/>
      <c r="BW70" s="296"/>
      <c r="BX70" s="296"/>
      <c r="BY70" s="296"/>
      <c r="BZ70" s="296"/>
      <c r="CA70" s="296"/>
      <c r="CB70" s="296"/>
      <c r="CC70" s="296"/>
      <c r="CD70" s="296"/>
      <c r="CE70" s="122"/>
      <c r="CF70" s="122"/>
      <c r="CG70" s="122"/>
      <c r="CH70" s="122"/>
      <c r="CI70" s="122"/>
      <c r="CJ70" s="122"/>
      <c r="CK70" s="122"/>
      <c r="CL70" s="122"/>
      <c r="CM70" s="122"/>
      <c r="CN70" s="122"/>
      <c r="CO70" s="122"/>
      <c r="CP70" s="122"/>
      <c r="CQ70" s="122"/>
      <c r="CR70" s="122"/>
      <c r="CS70" s="122"/>
      <c r="CT70" s="122"/>
      <c r="CU70" s="122"/>
      <c r="CV70" s="122"/>
      <c r="CW70" s="122"/>
      <c r="CX70" s="122"/>
      <c r="CY70" s="122"/>
      <c r="CZ70" s="122"/>
      <c r="DA70" s="122"/>
      <c r="DB70" s="122"/>
      <c r="DC70" s="122"/>
      <c r="DD70" s="122"/>
      <c r="DE70" s="122"/>
      <c r="DF70" s="122"/>
      <c r="DG70" s="122"/>
      <c r="DH70" s="122"/>
      <c r="DI70" s="122"/>
      <c r="DJ70" s="122"/>
      <c r="DK70" s="122"/>
      <c r="DL70" s="122"/>
      <c r="DM70" s="122"/>
      <c r="DN70" s="122"/>
      <c r="DO70" s="122"/>
      <c r="DP70" s="122"/>
      <c r="DQ70" s="122"/>
      <c r="DR70" s="122"/>
      <c r="DS70" s="122"/>
      <c r="DT70" s="122"/>
      <c r="DU70" s="122"/>
      <c r="DV70" s="122"/>
      <c r="DW70" s="122"/>
      <c r="DX70" s="122"/>
      <c r="DY70" s="122"/>
      <c r="DZ70" s="122"/>
      <c r="EA70" s="122"/>
      <c r="EB70" s="122"/>
      <c r="EC70" s="122"/>
      <c r="ED70" s="122"/>
      <c r="EE70" s="122"/>
      <c r="EF70" s="122"/>
      <c r="EG70" s="122"/>
      <c r="EH70" s="122"/>
      <c r="EI70" s="122"/>
      <c r="EJ70" s="122"/>
      <c r="EK70" s="122"/>
      <c r="EL70" s="122"/>
      <c r="EM70" s="122"/>
      <c r="EN70" s="122"/>
      <c r="EO70" s="122"/>
      <c r="EP70" s="122"/>
      <c r="EQ70" s="122"/>
      <c r="ER70" s="122"/>
      <c r="ES70" s="122"/>
      <c r="ET70" s="122"/>
      <c r="EU70" s="122"/>
      <c r="EV70" s="122"/>
      <c r="EW70" s="122"/>
      <c r="EX70" s="122"/>
      <c r="EY70" s="122"/>
      <c r="EZ70" s="122"/>
      <c r="FA70" s="122"/>
      <c r="FB70" s="122"/>
      <c r="FC70" s="122"/>
      <c r="FD70" s="122"/>
      <c r="FE70" s="122"/>
      <c r="FF70" s="122"/>
      <c r="FG70" s="122"/>
      <c r="FH70" s="122"/>
      <c r="FI70" s="122"/>
      <c r="FJ70" s="122"/>
      <c r="FK70" s="122"/>
      <c r="FL70" s="122"/>
      <c r="FM70" s="122"/>
      <c r="FN70" s="122"/>
      <c r="FO70" s="122"/>
      <c r="FP70" s="122"/>
      <c r="FQ70" s="122"/>
      <c r="FR70" s="122"/>
      <c r="FS70" s="122"/>
      <c r="FT70" s="122"/>
      <c r="FU70" s="122"/>
      <c r="FV70" s="122"/>
      <c r="FW70" s="122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2"/>
      <c r="GI70" s="122"/>
    </row>
    <row r="71" spans="1:191" s="13" customFormat="1" ht="20.25" customHeight="1">
      <c r="A71" s="117">
        <v>32</v>
      </c>
      <c r="B71" s="124"/>
      <c r="C71" s="137"/>
      <c r="D71" s="102">
        <f t="shared" ref="D71" si="34">IFERROR(SUMPRODUCT(F71:HE71,$F$6:$HE$6)/100,0)</f>
        <v>0</v>
      </c>
      <c r="E71" s="103"/>
      <c r="F71" s="296"/>
      <c r="G71" s="296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296"/>
      <c r="AV71" s="296"/>
      <c r="AW71" s="296"/>
      <c r="AX71" s="296"/>
      <c r="AY71" s="296"/>
      <c r="AZ71" s="296"/>
      <c r="BA71" s="296"/>
      <c r="BB71" s="296"/>
      <c r="BC71" s="296"/>
      <c r="BD71" s="296"/>
      <c r="BE71" s="296"/>
      <c r="BF71" s="296"/>
      <c r="BG71" s="296"/>
      <c r="BH71" s="296"/>
      <c r="BI71" s="296"/>
      <c r="BJ71" s="296"/>
      <c r="BK71" s="296"/>
      <c r="BL71" s="296"/>
      <c r="BM71" s="296"/>
      <c r="BN71" s="296"/>
      <c r="BO71" s="296"/>
      <c r="BP71" s="296"/>
      <c r="BQ71" s="296"/>
      <c r="BR71" s="296"/>
      <c r="BS71" s="297"/>
      <c r="BT71" s="297"/>
      <c r="BU71" s="296"/>
      <c r="BV71" s="296"/>
      <c r="BW71" s="296"/>
      <c r="BX71" s="296"/>
      <c r="BY71" s="296"/>
      <c r="BZ71" s="296"/>
      <c r="CA71" s="296"/>
      <c r="CB71" s="296"/>
      <c r="CC71" s="296"/>
      <c r="CD71" s="296"/>
      <c r="CE71" s="122"/>
      <c r="CF71" s="122"/>
      <c r="CG71" s="122"/>
      <c r="CH71" s="122"/>
      <c r="CI71" s="122"/>
      <c r="CJ71" s="122"/>
      <c r="CK71" s="122"/>
      <c r="CL71" s="122"/>
      <c r="CM71" s="122"/>
      <c r="CN71" s="122"/>
      <c r="CO71" s="122"/>
      <c r="CP71" s="122"/>
      <c r="CQ71" s="122"/>
      <c r="CR71" s="122"/>
      <c r="CS71" s="122"/>
      <c r="CT71" s="122"/>
      <c r="CU71" s="122"/>
      <c r="CV71" s="122"/>
      <c r="CW71" s="122"/>
      <c r="CX71" s="122"/>
      <c r="CY71" s="122"/>
      <c r="CZ71" s="122"/>
      <c r="DA71" s="122"/>
      <c r="DB71" s="122"/>
      <c r="DC71" s="122"/>
      <c r="DD71" s="122"/>
      <c r="DE71" s="122"/>
      <c r="DF71" s="122"/>
      <c r="DG71" s="122"/>
      <c r="DH71" s="122"/>
      <c r="DI71" s="122"/>
      <c r="DJ71" s="122"/>
      <c r="DK71" s="122"/>
      <c r="DL71" s="122"/>
      <c r="DM71" s="122"/>
      <c r="DN71" s="122"/>
      <c r="DO71" s="122"/>
      <c r="DP71" s="122"/>
      <c r="DQ71" s="122"/>
      <c r="DR71" s="122"/>
      <c r="DS71" s="122"/>
      <c r="DT71" s="122"/>
      <c r="DU71" s="122"/>
      <c r="DV71" s="122"/>
      <c r="DW71" s="122"/>
      <c r="DX71" s="122"/>
      <c r="DY71" s="122"/>
      <c r="DZ71" s="122"/>
      <c r="EA71" s="122"/>
      <c r="EB71" s="122"/>
      <c r="EC71" s="122"/>
      <c r="ED71" s="122"/>
      <c r="EE71" s="122"/>
      <c r="EF71" s="122"/>
      <c r="EG71" s="122"/>
      <c r="EH71" s="122"/>
      <c r="EI71" s="122"/>
      <c r="EJ71" s="122"/>
      <c r="EK71" s="122"/>
      <c r="EL71" s="122"/>
      <c r="EM71" s="122"/>
      <c r="EN71" s="122"/>
      <c r="EO71" s="122"/>
      <c r="EP71" s="122"/>
      <c r="EQ71" s="122"/>
      <c r="ER71" s="122"/>
      <c r="ES71" s="122"/>
      <c r="ET71" s="122"/>
      <c r="EU71" s="122"/>
      <c r="EV71" s="122"/>
      <c r="EW71" s="122"/>
      <c r="EX71" s="122"/>
      <c r="EY71" s="122"/>
      <c r="EZ71" s="122"/>
      <c r="FA71" s="122"/>
      <c r="FB71" s="122"/>
      <c r="FC71" s="122"/>
      <c r="FD71" s="122"/>
      <c r="FE71" s="122"/>
      <c r="FF71" s="122"/>
      <c r="FG71" s="122"/>
      <c r="FH71" s="122"/>
      <c r="FI71" s="122"/>
      <c r="FJ71" s="122"/>
      <c r="FK71" s="122"/>
      <c r="FL71" s="122"/>
      <c r="FM71" s="122"/>
      <c r="FN71" s="122"/>
      <c r="FO71" s="122"/>
      <c r="FP71" s="122"/>
      <c r="FQ71" s="122"/>
      <c r="FR71" s="122"/>
      <c r="FS71" s="122"/>
      <c r="FT71" s="122"/>
      <c r="FU71" s="122"/>
      <c r="FV71" s="122"/>
      <c r="FW71" s="122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2"/>
      <c r="GI71" s="122"/>
    </row>
    <row r="72" spans="1:191" s="13" customFormat="1" ht="20.25" customHeight="1">
      <c r="A72" s="117"/>
      <c r="B72" s="124"/>
      <c r="C72" s="120"/>
      <c r="D72" s="121"/>
      <c r="E72" s="103"/>
      <c r="F72" s="296"/>
      <c r="G72" s="296"/>
      <c r="H72" s="296"/>
      <c r="I72" s="296"/>
      <c r="J72" s="296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6"/>
      <c r="AR72" s="296"/>
      <c r="AS72" s="296"/>
      <c r="AT72" s="296"/>
      <c r="AU72" s="296"/>
      <c r="AV72" s="296"/>
      <c r="AW72" s="296"/>
      <c r="AX72" s="296"/>
      <c r="AY72" s="296"/>
      <c r="AZ72" s="296"/>
      <c r="BA72" s="296"/>
      <c r="BB72" s="296"/>
      <c r="BC72" s="296"/>
      <c r="BD72" s="296"/>
      <c r="BE72" s="296"/>
      <c r="BF72" s="296"/>
      <c r="BG72" s="296"/>
      <c r="BH72" s="296"/>
      <c r="BI72" s="296"/>
      <c r="BJ72" s="296"/>
      <c r="BK72" s="296"/>
      <c r="BL72" s="296"/>
      <c r="BM72" s="296"/>
      <c r="BN72" s="296"/>
      <c r="BO72" s="296"/>
      <c r="BP72" s="296"/>
      <c r="BQ72" s="296"/>
      <c r="BR72" s="296"/>
      <c r="BS72" s="297"/>
      <c r="BT72" s="297"/>
      <c r="BU72" s="296"/>
      <c r="BV72" s="296"/>
      <c r="BW72" s="296"/>
      <c r="BX72" s="296"/>
      <c r="BY72" s="296"/>
      <c r="BZ72" s="296"/>
      <c r="CA72" s="296"/>
      <c r="CB72" s="296"/>
      <c r="CC72" s="296"/>
      <c r="CD72" s="296"/>
      <c r="CE72" s="122"/>
      <c r="CF72" s="122"/>
      <c r="CG72" s="122"/>
      <c r="CH72" s="122"/>
      <c r="CI72" s="122"/>
      <c r="CJ72" s="122"/>
      <c r="CK72" s="122"/>
      <c r="CL72" s="122"/>
      <c r="CM72" s="122"/>
      <c r="CN72" s="122"/>
      <c r="CO72" s="122"/>
      <c r="CP72" s="122"/>
      <c r="CQ72" s="122"/>
      <c r="CR72" s="122"/>
      <c r="CS72" s="122"/>
      <c r="CT72" s="122"/>
      <c r="CU72" s="122"/>
      <c r="CV72" s="122"/>
      <c r="CW72" s="122"/>
      <c r="CX72" s="122"/>
      <c r="CY72" s="122"/>
      <c r="CZ72" s="122"/>
      <c r="DA72" s="122"/>
      <c r="DB72" s="122"/>
      <c r="DC72" s="122"/>
      <c r="DD72" s="122"/>
      <c r="DE72" s="122"/>
      <c r="DF72" s="122"/>
      <c r="DG72" s="122"/>
      <c r="DH72" s="122"/>
      <c r="DI72" s="122"/>
      <c r="DJ72" s="122"/>
      <c r="DK72" s="122"/>
      <c r="DL72" s="122"/>
      <c r="DM72" s="122"/>
      <c r="DN72" s="122"/>
      <c r="DO72" s="122"/>
      <c r="DP72" s="122"/>
      <c r="DQ72" s="122"/>
      <c r="DR72" s="122"/>
      <c r="DS72" s="122"/>
      <c r="DT72" s="122"/>
      <c r="DU72" s="122"/>
      <c r="DV72" s="122"/>
      <c r="DW72" s="122"/>
      <c r="DX72" s="122"/>
      <c r="DY72" s="122"/>
      <c r="DZ72" s="122"/>
      <c r="EA72" s="122"/>
      <c r="EB72" s="122"/>
      <c r="EC72" s="122"/>
      <c r="ED72" s="122"/>
      <c r="EE72" s="122"/>
      <c r="EF72" s="122"/>
      <c r="EG72" s="122"/>
      <c r="EH72" s="122"/>
      <c r="EI72" s="122"/>
      <c r="EJ72" s="122"/>
      <c r="EK72" s="122"/>
      <c r="EL72" s="122"/>
      <c r="EM72" s="122"/>
      <c r="EN72" s="122"/>
      <c r="EO72" s="122"/>
      <c r="EP72" s="122"/>
      <c r="EQ72" s="122"/>
      <c r="ER72" s="122"/>
      <c r="ES72" s="122"/>
      <c r="ET72" s="122"/>
      <c r="EU72" s="122"/>
      <c r="EV72" s="122"/>
      <c r="EW72" s="122"/>
      <c r="EX72" s="122"/>
      <c r="EY72" s="122"/>
      <c r="EZ72" s="122"/>
      <c r="FA72" s="122"/>
      <c r="FB72" s="122"/>
      <c r="FC72" s="122"/>
      <c r="FD72" s="122"/>
      <c r="FE72" s="122"/>
      <c r="FF72" s="122"/>
      <c r="FG72" s="122"/>
      <c r="FH72" s="122"/>
      <c r="FI72" s="122"/>
      <c r="FJ72" s="122"/>
      <c r="FK72" s="122"/>
      <c r="FL72" s="122"/>
      <c r="FM72" s="122"/>
      <c r="FN72" s="122"/>
      <c r="FO72" s="122"/>
      <c r="FP72" s="122"/>
      <c r="FQ72" s="122"/>
      <c r="FR72" s="122"/>
      <c r="FS72" s="122"/>
      <c r="FT72" s="122"/>
      <c r="FU72" s="122"/>
      <c r="FV72" s="122"/>
      <c r="FW72" s="122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2"/>
      <c r="GI72" s="122"/>
    </row>
    <row r="73" spans="1:191" s="13" customFormat="1" ht="20.25" customHeight="1">
      <c r="A73" s="117">
        <v>33</v>
      </c>
      <c r="B73" s="124"/>
      <c r="C73" s="137"/>
      <c r="D73" s="102">
        <f t="shared" ref="D73" si="35">IFERROR(SUMPRODUCT(F73:HE73,$F$6:$HE$6)/100,0)</f>
        <v>0</v>
      </c>
      <c r="E73" s="103"/>
      <c r="F73" s="296"/>
      <c r="G73" s="296"/>
      <c r="H73" s="296"/>
      <c r="I73" s="296"/>
      <c r="J73" s="296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296"/>
      <c r="AB73" s="296"/>
      <c r="AC73" s="296"/>
      <c r="AD73" s="296"/>
      <c r="AE73" s="296"/>
      <c r="AF73" s="296"/>
      <c r="AG73" s="296"/>
      <c r="AH73" s="296"/>
      <c r="AI73" s="296"/>
      <c r="AJ73" s="296"/>
      <c r="AK73" s="296"/>
      <c r="AL73" s="296"/>
      <c r="AM73" s="296"/>
      <c r="AN73" s="296"/>
      <c r="AO73" s="296"/>
      <c r="AP73" s="296"/>
      <c r="AQ73" s="296"/>
      <c r="AR73" s="296"/>
      <c r="AS73" s="296"/>
      <c r="AT73" s="296"/>
      <c r="AU73" s="296"/>
      <c r="AV73" s="296"/>
      <c r="AW73" s="296"/>
      <c r="AX73" s="296"/>
      <c r="AY73" s="296"/>
      <c r="AZ73" s="296"/>
      <c r="BA73" s="296"/>
      <c r="BB73" s="296"/>
      <c r="BC73" s="296"/>
      <c r="BD73" s="296"/>
      <c r="BE73" s="296"/>
      <c r="BF73" s="296"/>
      <c r="BG73" s="296"/>
      <c r="BH73" s="296"/>
      <c r="BI73" s="296"/>
      <c r="BJ73" s="296"/>
      <c r="BK73" s="296"/>
      <c r="BL73" s="296"/>
      <c r="BM73" s="296"/>
      <c r="BN73" s="296"/>
      <c r="BO73" s="296"/>
      <c r="BP73" s="296"/>
      <c r="BQ73" s="296"/>
      <c r="BR73" s="296"/>
      <c r="BS73" s="297"/>
      <c r="BT73" s="297"/>
      <c r="BU73" s="296"/>
      <c r="BV73" s="296"/>
      <c r="BW73" s="296"/>
      <c r="BX73" s="296"/>
      <c r="BY73" s="296"/>
      <c r="BZ73" s="296"/>
      <c r="CA73" s="296"/>
      <c r="CB73" s="296"/>
      <c r="CC73" s="296"/>
      <c r="CD73" s="296"/>
      <c r="CE73" s="122"/>
      <c r="CF73" s="122"/>
      <c r="CG73" s="122"/>
      <c r="CH73" s="122"/>
      <c r="CI73" s="122"/>
      <c r="CJ73" s="122"/>
      <c r="CK73" s="122"/>
      <c r="CL73" s="122"/>
      <c r="CM73" s="122"/>
      <c r="CN73" s="122"/>
      <c r="CO73" s="122"/>
      <c r="CP73" s="122"/>
      <c r="CQ73" s="122"/>
      <c r="CR73" s="122"/>
      <c r="CS73" s="122"/>
      <c r="CT73" s="122"/>
      <c r="CU73" s="122"/>
      <c r="CV73" s="122"/>
      <c r="CW73" s="122"/>
      <c r="CX73" s="122"/>
      <c r="CY73" s="122"/>
      <c r="CZ73" s="122"/>
      <c r="DA73" s="122"/>
      <c r="DB73" s="122"/>
      <c r="DC73" s="122"/>
      <c r="DD73" s="122"/>
      <c r="DE73" s="122"/>
      <c r="DF73" s="122"/>
      <c r="DG73" s="122"/>
      <c r="DH73" s="122"/>
      <c r="DI73" s="122"/>
      <c r="DJ73" s="122"/>
      <c r="DK73" s="122"/>
      <c r="DL73" s="122"/>
      <c r="DM73" s="122"/>
      <c r="DN73" s="122"/>
      <c r="DO73" s="122"/>
      <c r="DP73" s="122"/>
      <c r="DQ73" s="122"/>
      <c r="DR73" s="122"/>
      <c r="DS73" s="122"/>
      <c r="DT73" s="122"/>
      <c r="DU73" s="122"/>
      <c r="DV73" s="122"/>
      <c r="DW73" s="122"/>
      <c r="DX73" s="122"/>
      <c r="DY73" s="122"/>
      <c r="DZ73" s="122"/>
      <c r="EA73" s="122"/>
      <c r="EB73" s="122"/>
      <c r="EC73" s="122"/>
      <c r="ED73" s="122"/>
      <c r="EE73" s="122"/>
      <c r="EF73" s="122"/>
      <c r="EG73" s="122"/>
      <c r="EH73" s="122"/>
      <c r="EI73" s="122"/>
      <c r="EJ73" s="122"/>
      <c r="EK73" s="122"/>
      <c r="EL73" s="122"/>
      <c r="EM73" s="122"/>
      <c r="EN73" s="122"/>
      <c r="EO73" s="122"/>
      <c r="EP73" s="122"/>
      <c r="EQ73" s="122"/>
      <c r="ER73" s="122"/>
      <c r="ES73" s="122"/>
      <c r="ET73" s="122"/>
      <c r="EU73" s="122"/>
      <c r="EV73" s="122"/>
      <c r="EW73" s="122"/>
      <c r="EX73" s="122"/>
      <c r="EY73" s="122"/>
      <c r="EZ73" s="122"/>
      <c r="FA73" s="122"/>
      <c r="FB73" s="122"/>
      <c r="FC73" s="122"/>
      <c r="FD73" s="122"/>
      <c r="FE73" s="122"/>
      <c r="FF73" s="122"/>
      <c r="FG73" s="122"/>
      <c r="FH73" s="122"/>
      <c r="FI73" s="122"/>
      <c r="FJ73" s="122"/>
      <c r="FK73" s="122"/>
      <c r="FL73" s="122"/>
      <c r="FM73" s="122"/>
      <c r="FN73" s="122"/>
      <c r="FO73" s="122"/>
      <c r="FP73" s="122"/>
      <c r="FQ73" s="122"/>
      <c r="FR73" s="122"/>
      <c r="FS73" s="122"/>
      <c r="FT73" s="122"/>
      <c r="FU73" s="122"/>
      <c r="FV73" s="122"/>
      <c r="FW73" s="122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2"/>
      <c r="GI73" s="122"/>
    </row>
    <row r="74" spans="1:191" s="13" customFormat="1" ht="20.25" customHeight="1">
      <c r="A74" s="117"/>
      <c r="B74" s="125"/>
      <c r="C74" s="126"/>
      <c r="D74" s="121"/>
      <c r="E74" s="103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7"/>
      <c r="BT74" s="297"/>
      <c r="BU74" s="296"/>
      <c r="BV74" s="296"/>
      <c r="BW74" s="296"/>
      <c r="BX74" s="296"/>
      <c r="BY74" s="296"/>
      <c r="BZ74" s="296"/>
      <c r="CA74" s="296"/>
      <c r="CB74" s="296"/>
      <c r="CC74" s="296"/>
      <c r="CD74" s="296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122"/>
      <c r="CT74" s="122"/>
      <c r="CU74" s="122"/>
      <c r="CV74" s="122"/>
      <c r="CW74" s="122"/>
      <c r="CX74" s="122"/>
      <c r="CY74" s="122"/>
      <c r="CZ74" s="122"/>
      <c r="DA74" s="122"/>
      <c r="DB74" s="122"/>
      <c r="DC74" s="122"/>
      <c r="DD74" s="122"/>
      <c r="DE74" s="122"/>
      <c r="DF74" s="122"/>
      <c r="DG74" s="122"/>
      <c r="DH74" s="122"/>
      <c r="DI74" s="122"/>
      <c r="DJ74" s="122"/>
      <c r="DK74" s="122"/>
      <c r="DL74" s="122"/>
      <c r="DM74" s="122"/>
      <c r="DN74" s="122"/>
      <c r="DO74" s="122"/>
      <c r="DP74" s="122"/>
      <c r="DQ74" s="122"/>
      <c r="DR74" s="122"/>
      <c r="DS74" s="122"/>
      <c r="DT74" s="122"/>
      <c r="DU74" s="122"/>
      <c r="DV74" s="122"/>
      <c r="DW74" s="122"/>
      <c r="DX74" s="122"/>
      <c r="DY74" s="122"/>
      <c r="DZ74" s="122"/>
      <c r="EA74" s="122"/>
      <c r="EB74" s="122"/>
      <c r="EC74" s="122"/>
      <c r="ED74" s="122"/>
      <c r="EE74" s="122"/>
      <c r="EF74" s="122"/>
      <c r="EG74" s="122"/>
      <c r="EH74" s="122"/>
      <c r="EI74" s="122"/>
      <c r="EJ74" s="122"/>
      <c r="EK74" s="122"/>
      <c r="EL74" s="122"/>
      <c r="EM74" s="122"/>
      <c r="EN74" s="122"/>
      <c r="EO74" s="122"/>
      <c r="EP74" s="122"/>
      <c r="EQ74" s="122"/>
      <c r="ER74" s="122"/>
      <c r="ES74" s="122"/>
      <c r="ET74" s="122"/>
      <c r="EU74" s="122"/>
      <c r="EV74" s="122"/>
      <c r="EW74" s="122"/>
      <c r="EX74" s="122"/>
      <c r="EY74" s="122"/>
      <c r="EZ74" s="122"/>
      <c r="FA74" s="122"/>
      <c r="FB74" s="122"/>
      <c r="FC74" s="122"/>
      <c r="FD74" s="122"/>
      <c r="FE74" s="122"/>
      <c r="FF74" s="122"/>
      <c r="FG74" s="122"/>
      <c r="FH74" s="122"/>
      <c r="FI74" s="122"/>
      <c r="FJ74" s="122"/>
      <c r="FK74" s="122"/>
      <c r="FL74" s="122"/>
      <c r="FM74" s="122"/>
      <c r="FN74" s="122"/>
      <c r="FO74" s="122"/>
      <c r="FP74" s="122"/>
      <c r="FQ74" s="122"/>
      <c r="FR74" s="122"/>
      <c r="FS74" s="122"/>
      <c r="FT74" s="122"/>
      <c r="FU74" s="122"/>
      <c r="FV74" s="122"/>
      <c r="FW74" s="122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2"/>
      <c r="GI74" s="122"/>
    </row>
    <row r="75" spans="1:191" s="13" customFormat="1" ht="20.25" customHeight="1">
      <c r="A75" s="117">
        <v>34</v>
      </c>
      <c r="B75" s="125"/>
      <c r="C75" s="126"/>
      <c r="D75" s="102">
        <f t="shared" ref="D75" si="36">IFERROR(SUMPRODUCT(F75:HE75,$F$6:$HE$6)/100,0)</f>
        <v>0</v>
      </c>
      <c r="E75" s="103"/>
      <c r="F75" s="296"/>
      <c r="G75" s="296"/>
      <c r="H75" s="296"/>
      <c r="I75" s="296"/>
      <c r="J75" s="296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296"/>
      <c r="AC75" s="296"/>
      <c r="AD75" s="296"/>
      <c r="AE75" s="296"/>
      <c r="AF75" s="296"/>
      <c r="AG75" s="296"/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R75" s="296"/>
      <c r="AS75" s="296"/>
      <c r="AT75" s="296"/>
      <c r="AU75" s="296"/>
      <c r="AV75" s="296"/>
      <c r="AW75" s="296"/>
      <c r="AX75" s="296"/>
      <c r="AY75" s="296"/>
      <c r="AZ75" s="296"/>
      <c r="BA75" s="296"/>
      <c r="BB75" s="296"/>
      <c r="BC75" s="296"/>
      <c r="BD75" s="296"/>
      <c r="BE75" s="296"/>
      <c r="BF75" s="296"/>
      <c r="BG75" s="296"/>
      <c r="BH75" s="296"/>
      <c r="BI75" s="296"/>
      <c r="BJ75" s="296"/>
      <c r="BK75" s="296"/>
      <c r="BL75" s="296"/>
      <c r="BM75" s="296"/>
      <c r="BN75" s="296"/>
      <c r="BO75" s="296"/>
      <c r="BP75" s="296"/>
      <c r="BQ75" s="296"/>
      <c r="BR75" s="296"/>
      <c r="BS75" s="297"/>
      <c r="BT75" s="297"/>
      <c r="BU75" s="296"/>
      <c r="BV75" s="296"/>
      <c r="BW75" s="296"/>
      <c r="BX75" s="296"/>
      <c r="BY75" s="296"/>
      <c r="BZ75" s="296"/>
      <c r="CA75" s="296"/>
      <c r="CB75" s="296"/>
      <c r="CC75" s="296"/>
      <c r="CD75" s="296"/>
      <c r="CE75" s="122"/>
      <c r="CF75" s="122"/>
      <c r="CG75" s="122"/>
      <c r="CH75" s="122"/>
      <c r="CI75" s="122"/>
      <c r="CJ75" s="122"/>
      <c r="CK75" s="122"/>
      <c r="CL75" s="122"/>
      <c r="CM75" s="122"/>
      <c r="CN75" s="122"/>
      <c r="CO75" s="122"/>
      <c r="CP75" s="122"/>
      <c r="CQ75" s="122"/>
      <c r="CR75" s="122"/>
      <c r="CS75" s="122"/>
      <c r="CT75" s="122"/>
      <c r="CU75" s="122"/>
      <c r="CV75" s="122"/>
      <c r="CW75" s="122"/>
      <c r="CX75" s="122"/>
      <c r="CY75" s="122"/>
      <c r="CZ75" s="122"/>
      <c r="DA75" s="122"/>
      <c r="DB75" s="122"/>
      <c r="DC75" s="122"/>
      <c r="DD75" s="122"/>
      <c r="DE75" s="122"/>
      <c r="DF75" s="122"/>
      <c r="DG75" s="122"/>
      <c r="DH75" s="122"/>
      <c r="DI75" s="122"/>
      <c r="DJ75" s="122"/>
      <c r="DK75" s="122"/>
      <c r="DL75" s="122"/>
      <c r="DM75" s="122"/>
      <c r="DN75" s="122"/>
      <c r="DO75" s="122"/>
      <c r="DP75" s="122"/>
      <c r="DQ75" s="122"/>
      <c r="DR75" s="122"/>
      <c r="DS75" s="122"/>
      <c r="DT75" s="122"/>
      <c r="DU75" s="122"/>
      <c r="DV75" s="122"/>
      <c r="DW75" s="122"/>
      <c r="DX75" s="122"/>
      <c r="DY75" s="122"/>
      <c r="DZ75" s="122"/>
      <c r="EA75" s="122"/>
      <c r="EB75" s="122"/>
      <c r="EC75" s="122"/>
      <c r="ED75" s="122"/>
      <c r="EE75" s="122"/>
      <c r="EF75" s="122"/>
      <c r="EG75" s="122"/>
      <c r="EH75" s="122"/>
      <c r="EI75" s="122"/>
      <c r="EJ75" s="122"/>
      <c r="EK75" s="122"/>
      <c r="EL75" s="122"/>
      <c r="EM75" s="122"/>
      <c r="EN75" s="122"/>
      <c r="EO75" s="122"/>
      <c r="EP75" s="122"/>
      <c r="EQ75" s="122"/>
      <c r="ER75" s="122"/>
      <c r="ES75" s="122"/>
      <c r="ET75" s="122"/>
      <c r="EU75" s="122"/>
      <c r="EV75" s="122"/>
      <c r="EW75" s="122"/>
      <c r="EX75" s="122"/>
      <c r="EY75" s="122"/>
      <c r="EZ75" s="122"/>
      <c r="FA75" s="122"/>
      <c r="FB75" s="122"/>
      <c r="FC75" s="122"/>
      <c r="FD75" s="122"/>
      <c r="FE75" s="122"/>
      <c r="FF75" s="122"/>
      <c r="FG75" s="122"/>
      <c r="FH75" s="122"/>
      <c r="FI75" s="122"/>
      <c r="FJ75" s="122"/>
      <c r="FK75" s="122"/>
      <c r="FL75" s="122"/>
      <c r="FM75" s="122"/>
      <c r="FN75" s="122"/>
      <c r="FO75" s="122"/>
      <c r="FP75" s="122"/>
      <c r="FQ75" s="122"/>
      <c r="FR75" s="122"/>
      <c r="FS75" s="122"/>
      <c r="FT75" s="122"/>
      <c r="FU75" s="122"/>
      <c r="FV75" s="122"/>
      <c r="FW75" s="122"/>
      <c r="FX75" s="122"/>
      <c r="FY75" s="122"/>
      <c r="FZ75" s="122"/>
      <c r="GA75" s="122"/>
      <c r="GB75" s="122"/>
      <c r="GC75" s="122"/>
      <c r="GD75" s="122"/>
      <c r="GE75" s="122"/>
      <c r="GF75" s="122"/>
      <c r="GG75" s="122"/>
      <c r="GH75" s="122"/>
      <c r="GI75" s="122"/>
    </row>
    <row r="76" spans="1:191" s="13" customFormat="1" ht="20.25" customHeight="1">
      <c r="A76" s="117"/>
      <c r="B76" s="124"/>
      <c r="C76" s="120"/>
      <c r="D76" s="121"/>
      <c r="E76" s="103"/>
      <c r="F76" s="296"/>
      <c r="G76" s="296"/>
      <c r="H76" s="296"/>
      <c r="I76" s="296"/>
      <c r="J76" s="296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296"/>
      <c r="AC76" s="296"/>
      <c r="AD76" s="296"/>
      <c r="AE76" s="296"/>
      <c r="AF76" s="296"/>
      <c r="AG76" s="296"/>
      <c r="AH76" s="296"/>
      <c r="AI76" s="296"/>
      <c r="AJ76" s="296"/>
      <c r="AK76" s="296"/>
      <c r="AL76" s="296"/>
      <c r="AM76" s="296"/>
      <c r="AN76" s="296"/>
      <c r="AO76" s="296"/>
      <c r="AP76" s="296"/>
      <c r="AQ76" s="296"/>
      <c r="AR76" s="296"/>
      <c r="AS76" s="296"/>
      <c r="AT76" s="296"/>
      <c r="AU76" s="296"/>
      <c r="AV76" s="296"/>
      <c r="AW76" s="296"/>
      <c r="AX76" s="296"/>
      <c r="AY76" s="296"/>
      <c r="AZ76" s="296"/>
      <c r="BA76" s="296"/>
      <c r="BB76" s="296"/>
      <c r="BC76" s="296"/>
      <c r="BD76" s="296"/>
      <c r="BE76" s="296"/>
      <c r="BF76" s="296"/>
      <c r="BG76" s="296"/>
      <c r="BH76" s="296"/>
      <c r="BI76" s="296"/>
      <c r="BJ76" s="296"/>
      <c r="BK76" s="296"/>
      <c r="BL76" s="296"/>
      <c r="BM76" s="296"/>
      <c r="BN76" s="296"/>
      <c r="BO76" s="296"/>
      <c r="BP76" s="296"/>
      <c r="BQ76" s="296"/>
      <c r="BR76" s="296"/>
      <c r="BS76" s="297"/>
      <c r="BT76" s="297"/>
      <c r="BU76" s="296"/>
      <c r="BV76" s="296"/>
      <c r="BW76" s="296"/>
      <c r="BX76" s="296"/>
      <c r="BY76" s="296"/>
      <c r="BZ76" s="296"/>
      <c r="CA76" s="296"/>
      <c r="CB76" s="296"/>
      <c r="CC76" s="296"/>
      <c r="CD76" s="296"/>
      <c r="CE76" s="122"/>
      <c r="CF76" s="122"/>
      <c r="CG76" s="122"/>
      <c r="CH76" s="122"/>
      <c r="CI76" s="122"/>
      <c r="CJ76" s="122"/>
      <c r="CK76" s="122"/>
      <c r="CL76" s="122"/>
      <c r="CM76" s="122"/>
      <c r="CN76" s="122"/>
      <c r="CO76" s="122"/>
      <c r="CP76" s="122"/>
      <c r="CQ76" s="122"/>
      <c r="CR76" s="122"/>
      <c r="CS76" s="122"/>
      <c r="CT76" s="122"/>
      <c r="CU76" s="122"/>
      <c r="CV76" s="122"/>
      <c r="CW76" s="122"/>
      <c r="CX76" s="122"/>
      <c r="CY76" s="122"/>
      <c r="CZ76" s="122"/>
      <c r="DA76" s="122"/>
      <c r="DB76" s="122"/>
      <c r="DC76" s="122"/>
      <c r="DD76" s="122"/>
      <c r="DE76" s="122"/>
      <c r="DF76" s="122"/>
      <c r="DG76" s="122"/>
      <c r="DH76" s="122"/>
      <c r="DI76" s="122"/>
      <c r="DJ76" s="122"/>
      <c r="DK76" s="122"/>
      <c r="DL76" s="122"/>
      <c r="DM76" s="122"/>
      <c r="DN76" s="122"/>
      <c r="DO76" s="122"/>
      <c r="DP76" s="122"/>
      <c r="DQ76" s="122"/>
      <c r="DR76" s="122"/>
      <c r="DS76" s="122"/>
      <c r="DT76" s="122"/>
      <c r="DU76" s="122"/>
      <c r="DV76" s="122"/>
      <c r="DW76" s="122"/>
      <c r="DX76" s="122"/>
      <c r="DY76" s="122"/>
      <c r="DZ76" s="122"/>
      <c r="EA76" s="122"/>
      <c r="EB76" s="122"/>
      <c r="EC76" s="122"/>
      <c r="ED76" s="122"/>
      <c r="EE76" s="122"/>
      <c r="EF76" s="122"/>
      <c r="EG76" s="122"/>
      <c r="EH76" s="122"/>
      <c r="EI76" s="122"/>
      <c r="EJ76" s="122"/>
      <c r="EK76" s="122"/>
      <c r="EL76" s="122"/>
      <c r="EM76" s="122"/>
      <c r="EN76" s="122"/>
      <c r="EO76" s="122"/>
      <c r="EP76" s="122"/>
      <c r="EQ76" s="122"/>
      <c r="ER76" s="122"/>
      <c r="ES76" s="122"/>
      <c r="ET76" s="122"/>
      <c r="EU76" s="122"/>
      <c r="EV76" s="122"/>
      <c r="EW76" s="122"/>
      <c r="EX76" s="122"/>
      <c r="EY76" s="122"/>
      <c r="EZ76" s="122"/>
      <c r="FA76" s="122"/>
      <c r="FB76" s="122"/>
      <c r="FC76" s="122"/>
      <c r="FD76" s="122"/>
      <c r="FE76" s="122"/>
      <c r="FF76" s="122"/>
      <c r="FG76" s="122"/>
      <c r="FH76" s="122"/>
      <c r="FI76" s="122"/>
      <c r="FJ76" s="122"/>
      <c r="FK76" s="122"/>
      <c r="FL76" s="122"/>
      <c r="FM76" s="122"/>
      <c r="FN76" s="122"/>
      <c r="FO76" s="122"/>
      <c r="FP76" s="122"/>
      <c r="FQ76" s="122"/>
      <c r="FR76" s="122"/>
      <c r="FS76" s="122"/>
      <c r="FT76" s="122"/>
      <c r="FU76" s="122"/>
      <c r="FV76" s="122"/>
      <c r="FW76" s="122"/>
      <c r="FX76" s="122"/>
      <c r="FY76" s="122"/>
      <c r="FZ76" s="122"/>
      <c r="GA76" s="122"/>
      <c r="GB76" s="122"/>
      <c r="GC76" s="122"/>
      <c r="GD76" s="122"/>
      <c r="GE76" s="122"/>
      <c r="GF76" s="122"/>
      <c r="GG76" s="122"/>
      <c r="GH76" s="122"/>
      <c r="GI76" s="122"/>
    </row>
    <row r="77" spans="1:191" s="13" customFormat="1" ht="20.25" customHeight="1">
      <c r="A77" s="117">
        <v>35</v>
      </c>
      <c r="B77" s="124"/>
      <c r="C77" s="120"/>
      <c r="D77" s="102">
        <f t="shared" ref="D77" si="37">IFERROR(SUMPRODUCT(F77:HE77,$F$6:$HE$6)/100,0)</f>
        <v>0</v>
      </c>
      <c r="E77" s="103"/>
      <c r="F77" s="296"/>
      <c r="G77" s="296"/>
      <c r="H77" s="296"/>
      <c r="I77" s="296"/>
      <c r="J77" s="296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296"/>
      <c r="AC77" s="296"/>
      <c r="AD77" s="296"/>
      <c r="AE77" s="296"/>
      <c r="AF77" s="296"/>
      <c r="AG77" s="296"/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  <c r="AR77" s="296"/>
      <c r="AS77" s="296"/>
      <c r="AT77" s="296"/>
      <c r="AU77" s="296"/>
      <c r="AV77" s="296"/>
      <c r="AW77" s="296"/>
      <c r="AX77" s="296"/>
      <c r="AY77" s="296"/>
      <c r="AZ77" s="296"/>
      <c r="BA77" s="296"/>
      <c r="BB77" s="296"/>
      <c r="BC77" s="296"/>
      <c r="BD77" s="296"/>
      <c r="BE77" s="296"/>
      <c r="BF77" s="296"/>
      <c r="BG77" s="296"/>
      <c r="BH77" s="296"/>
      <c r="BI77" s="296"/>
      <c r="BJ77" s="296"/>
      <c r="BK77" s="296"/>
      <c r="BL77" s="296"/>
      <c r="BM77" s="296"/>
      <c r="BN77" s="296"/>
      <c r="BO77" s="296"/>
      <c r="BP77" s="296"/>
      <c r="BQ77" s="296"/>
      <c r="BR77" s="296"/>
      <c r="BS77" s="297"/>
      <c r="BT77" s="297"/>
      <c r="BU77" s="296"/>
      <c r="BV77" s="296"/>
      <c r="BW77" s="296"/>
      <c r="BX77" s="296"/>
      <c r="BY77" s="296"/>
      <c r="BZ77" s="296"/>
      <c r="CA77" s="296"/>
      <c r="CB77" s="296"/>
      <c r="CC77" s="296"/>
      <c r="CD77" s="296"/>
      <c r="CE77" s="122"/>
      <c r="CF77" s="122"/>
      <c r="CG77" s="122"/>
      <c r="CH77" s="122"/>
      <c r="CI77" s="122"/>
      <c r="CJ77" s="122"/>
      <c r="CK77" s="122"/>
      <c r="CL77" s="122"/>
      <c r="CM77" s="122"/>
      <c r="CN77" s="122"/>
      <c r="CO77" s="122"/>
      <c r="CP77" s="122"/>
      <c r="CQ77" s="122"/>
      <c r="CR77" s="122"/>
      <c r="CS77" s="122"/>
      <c r="CT77" s="122"/>
      <c r="CU77" s="122"/>
      <c r="CV77" s="122"/>
      <c r="CW77" s="122"/>
      <c r="CX77" s="122"/>
      <c r="CY77" s="122"/>
      <c r="CZ77" s="122"/>
      <c r="DA77" s="122"/>
      <c r="DB77" s="122"/>
      <c r="DC77" s="122"/>
      <c r="DD77" s="122"/>
      <c r="DE77" s="122"/>
      <c r="DF77" s="122"/>
      <c r="DG77" s="122"/>
      <c r="DH77" s="122"/>
      <c r="DI77" s="122"/>
      <c r="DJ77" s="122"/>
      <c r="DK77" s="122"/>
      <c r="DL77" s="122"/>
      <c r="DM77" s="122"/>
      <c r="DN77" s="122"/>
      <c r="DO77" s="122"/>
      <c r="DP77" s="122"/>
      <c r="DQ77" s="122"/>
      <c r="DR77" s="122"/>
      <c r="DS77" s="122"/>
      <c r="DT77" s="122"/>
      <c r="DU77" s="122"/>
      <c r="DV77" s="122"/>
      <c r="DW77" s="122"/>
      <c r="DX77" s="122"/>
      <c r="DY77" s="122"/>
      <c r="DZ77" s="122"/>
      <c r="EA77" s="122"/>
      <c r="EB77" s="122"/>
      <c r="EC77" s="122"/>
      <c r="ED77" s="122"/>
      <c r="EE77" s="122"/>
      <c r="EF77" s="122"/>
      <c r="EG77" s="122"/>
      <c r="EH77" s="122"/>
      <c r="EI77" s="122"/>
      <c r="EJ77" s="122"/>
      <c r="EK77" s="122"/>
      <c r="EL77" s="122"/>
      <c r="EM77" s="122"/>
      <c r="EN77" s="122"/>
      <c r="EO77" s="122"/>
      <c r="EP77" s="122"/>
      <c r="EQ77" s="122"/>
      <c r="ER77" s="122"/>
      <c r="ES77" s="122"/>
      <c r="ET77" s="122"/>
      <c r="EU77" s="122"/>
      <c r="EV77" s="122"/>
      <c r="EW77" s="122"/>
      <c r="EX77" s="122"/>
      <c r="EY77" s="122"/>
      <c r="EZ77" s="122"/>
      <c r="FA77" s="122"/>
      <c r="FB77" s="122"/>
      <c r="FC77" s="122"/>
      <c r="FD77" s="122"/>
      <c r="FE77" s="122"/>
      <c r="FF77" s="122"/>
      <c r="FG77" s="122"/>
      <c r="FH77" s="122"/>
      <c r="FI77" s="122"/>
      <c r="FJ77" s="122"/>
      <c r="FK77" s="122"/>
      <c r="FL77" s="122"/>
      <c r="FM77" s="122"/>
      <c r="FN77" s="122"/>
      <c r="FO77" s="122"/>
      <c r="FP77" s="122"/>
      <c r="FQ77" s="122"/>
      <c r="FR77" s="122"/>
      <c r="FS77" s="122"/>
      <c r="FT77" s="122"/>
      <c r="FU77" s="122"/>
      <c r="FV77" s="122"/>
      <c r="FW77" s="122"/>
      <c r="FX77" s="122"/>
      <c r="FY77" s="122"/>
      <c r="FZ77" s="122"/>
      <c r="GA77" s="122"/>
      <c r="GB77" s="122"/>
      <c r="GC77" s="122"/>
      <c r="GD77" s="122"/>
      <c r="GE77" s="122"/>
      <c r="GF77" s="122"/>
      <c r="GG77" s="122"/>
      <c r="GH77" s="122"/>
      <c r="GI77" s="122"/>
    </row>
    <row r="78" spans="1:191" s="13" customFormat="1" ht="20.25" customHeight="1">
      <c r="A78" s="117"/>
      <c r="B78" s="125"/>
      <c r="C78" s="126"/>
      <c r="D78" s="121"/>
      <c r="E78" s="103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7"/>
      <c r="BT78" s="297"/>
      <c r="BU78" s="296"/>
      <c r="BV78" s="296"/>
      <c r="BW78" s="296"/>
      <c r="BX78" s="296"/>
      <c r="BY78" s="296"/>
      <c r="BZ78" s="296"/>
      <c r="CA78" s="296"/>
      <c r="CB78" s="296"/>
      <c r="CC78" s="296"/>
      <c r="CD78" s="296"/>
      <c r="CE78" s="122"/>
      <c r="CF78" s="122"/>
      <c r="CG78" s="122"/>
      <c r="CH78" s="122"/>
      <c r="CI78" s="122"/>
      <c r="CJ78" s="122"/>
      <c r="CK78" s="122"/>
      <c r="CL78" s="122"/>
      <c r="CM78" s="122"/>
      <c r="CN78" s="122"/>
      <c r="CO78" s="122"/>
      <c r="CP78" s="122"/>
      <c r="CQ78" s="122"/>
      <c r="CR78" s="122"/>
      <c r="CS78" s="122"/>
      <c r="CT78" s="122"/>
      <c r="CU78" s="122"/>
      <c r="CV78" s="122"/>
      <c r="CW78" s="122"/>
      <c r="CX78" s="122"/>
      <c r="CY78" s="122"/>
      <c r="CZ78" s="122"/>
      <c r="DA78" s="122"/>
      <c r="DB78" s="122"/>
      <c r="DC78" s="122"/>
      <c r="DD78" s="122"/>
      <c r="DE78" s="122"/>
      <c r="DF78" s="122"/>
      <c r="DG78" s="122"/>
      <c r="DH78" s="122"/>
      <c r="DI78" s="122"/>
      <c r="DJ78" s="122"/>
      <c r="DK78" s="122"/>
      <c r="DL78" s="122"/>
      <c r="DM78" s="122"/>
      <c r="DN78" s="122"/>
      <c r="DO78" s="122"/>
      <c r="DP78" s="122"/>
      <c r="DQ78" s="122"/>
      <c r="DR78" s="122"/>
      <c r="DS78" s="122"/>
      <c r="DT78" s="122"/>
      <c r="DU78" s="122"/>
      <c r="DV78" s="122"/>
      <c r="DW78" s="122"/>
      <c r="DX78" s="122"/>
      <c r="DY78" s="122"/>
      <c r="DZ78" s="122"/>
      <c r="EA78" s="122"/>
      <c r="EB78" s="122"/>
      <c r="EC78" s="122"/>
      <c r="ED78" s="122"/>
      <c r="EE78" s="122"/>
      <c r="EF78" s="122"/>
      <c r="EG78" s="122"/>
      <c r="EH78" s="122"/>
      <c r="EI78" s="122"/>
      <c r="EJ78" s="122"/>
      <c r="EK78" s="122"/>
      <c r="EL78" s="122"/>
      <c r="EM78" s="122"/>
      <c r="EN78" s="122"/>
      <c r="EO78" s="122"/>
      <c r="EP78" s="122"/>
      <c r="EQ78" s="122"/>
      <c r="ER78" s="122"/>
      <c r="ES78" s="122"/>
      <c r="ET78" s="122"/>
      <c r="EU78" s="122"/>
      <c r="EV78" s="122"/>
      <c r="EW78" s="122"/>
      <c r="EX78" s="122"/>
      <c r="EY78" s="122"/>
      <c r="EZ78" s="122"/>
      <c r="FA78" s="122"/>
      <c r="FB78" s="122"/>
      <c r="FC78" s="122"/>
      <c r="FD78" s="122"/>
      <c r="FE78" s="122"/>
      <c r="FF78" s="122"/>
      <c r="FG78" s="122"/>
      <c r="FH78" s="122"/>
      <c r="FI78" s="122"/>
      <c r="FJ78" s="122"/>
      <c r="FK78" s="122"/>
      <c r="FL78" s="122"/>
      <c r="FM78" s="122"/>
      <c r="FN78" s="122"/>
      <c r="FO78" s="122"/>
      <c r="FP78" s="122"/>
      <c r="FQ78" s="122"/>
      <c r="FR78" s="122"/>
      <c r="FS78" s="122"/>
      <c r="FT78" s="122"/>
      <c r="FU78" s="122"/>
      <c r="FV78" s="122"/>
      <c r="FW78" s="122"/>
      <c r="FX78" s="122"/>
      <c r="FY78" s="122"/>
      <c r="FZ78" s="122"/>
      <c r="GA78" s="122"/>
      <c r="GB78" s="122"/>
      <c r="GC78" s="122"/>
      <c r="GD78" s="122"/>
      <c r="GE78" s="122"/>
      <c r="GF78" s="122"/>
      <c r="GG78" s="122"/>
      <c r="GH78" s="122"/>
      <c r="GI78" s="122"/>
    </row>
    <row r="79" spans="1:191" s="13" customFormat="1" ht="20.25" customHeight="1">
      <c r="A79" s="117">
        <v>36</v>
      </c>
      <c r="B79" s="125"/>
      <c r="C79" s="126"/>
      <c r="D79" s="102">
        <f t="shared" ref="D79" si="38">IFERROR(SUMPRODUCT(F79:HE79,$F$6:$HE$6)/100,0)</f>
        <v>0</v>
      </c>
      <c r="E79" s="103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A79" s="296"/>
      <c r="AB79" s="296"/>
      <c r="AC79" s="296"/>
      <c r="AD79" s="296"/>
      <c r="AE79" s="296"/>
      <c r="AF79" s="296"/>
      <c r="AG79" s="296"/>
      <c r="AH79" s="296"/>
      <c r="AI79" s="296"/>
      <c r="AJ79" s="296"/>
      <c r="AK79" s="296"/>
      <c r="AL79" s="296"/>
      <c r="AM79" s="296"/>
      <c r="AN79" s="296"/>
      <c r="AO79" s="296"/>
      <c r="AP79" s="296"/>
      <c r="AQ79" s="296"/>
      <c r="AR79" s="296"/>
      <c r="AS79" s="296"/>
      <c r="AT79" s="296"/>
      <c r="AU79" s="296"/>
      <c r="AV79" s="296"/>
      <c r="AW79" s="296"/>
      <c r="AX79" s="296"/>
      <c r="AY79" s="296"/>
      <c r="AZ79" s="296"/>
      <c r="BA79" s="296"/>
      <c r="BB79" s="296"/>
      <c r="BC79" s="296"/>
      <c r="BD79" s="296"/>
      <c r="BE79" s="296"/>
      <c r="BF79" s="296"/>
      <c r="BG79" s="296"/>
      <c r="BH79" s="296"/>
      <c r="BI79" s="296"/>
      <c r="BJ79" s="296"/>
      <c r="BK79" s="296"/>
      <c r="BL79" s="296"/>
      <c r="BM79" s="296"/>
      <c r="BN79" s="296"/>
      <c r="BO79" s="296"/>
      <c r="BP79" s="296"/>
      <c r="BQ79" s="296"/>
      <c r="BR79" s="296"/>
      <c r="BS79" s="297"/>
      <c r="BT79" s="297"/>
      <c r="BU79" s="296"/>
      <c r="BV79" s="296"/>
      <c r="BW79" s="296"/>
      <c r="BX79" s="296"/>
      <c r="BY79" s="296"/>
      <c r="BZ79" s="296"/>
      <c r="CA79" s="296"/>
      <c r="CB79" s="296"/>
      <c r="CC79" s="296"/>
      <c r="CD79" s="296"/>
      <c r="CE79" s="122"/>
      <c r="CF79" s="122"/>
      <c r="CG79" s="122"/>
      <c r="CH79" s="122"/>
      <c r="CI79" s="122"/>
      <c r="CJ79" s="122"/>
      <c r="CK79" s="122"/>
      <c r="CL79" s="122"/>
      <c r="CM79" s="122"/>
      <c r="CN79" s="122"/>
      <c r="CO79" s="122"/>
      <c r="CP79" s="122"/>
      <c r="CQ79" s="122"/>
      <c r="CR79" s="122"/>
      <c r="CS79" s="122"/>
      <c r="CT79" s="122"/>
      <c r="CU79" s="122"/>
      <c r="CV79" s="122"/>
      <c r="CW79" s="122"/>
      <c r="CX79" s="122"/>
      <c r="CY79" s="122"/>
      <c r="CZ79" s="122"/>
      <c r="DA79" s="122"/>
      <c r="DB79" s="122"/>
      <c r="DC79" s="122"/>
      <c r="DD79" s="122"/>
      <c r="DE79" s="122"/>
      <c r="DF79" s="122"/>
      <c r="DG79" s="122"/>
      <c r="DH79" s="122"/>
      <c r="DI79" s="122"/>
      <c r="DJ79" s="122"/>
      <c r="DK79" s="122"/>
      <c r="DL79" s="122"/>
      <c r="DM79" s="122"/>
      <c r="DN79" s="122"/>
      <c r="DO79" s="122"/>
      <c r="DP79" s="122"/>
      <c r="DQ79" s="122"/>
      <c r="DR79" s="122"/>
      <c r="DS79" s="122"/>
      <c r="DT79" s="122"/>
      <c r="DU79" s="122"/>
      <c r="DV79" s="122"/>
      <c r="DW79" s="122"/>
      <c r="DX79" s="122"/>
      <c r="DY79" s="122"/>
      <c r="DZ79" s="122"/>
      <c r="EA79" s="122"/>
      <c r="EB79" s="122"/>
      <c r="EC79" s="122"/>
      <c r="ED79" s="122"/>
      <c r="EE79" s="122"/>
      <c r="EF79" s="122"/>
      <c r="EG79" s="122"/>
      <c r="EH79" s="122"/>
      <c r="EI79" s="122"/>
      <c r="EJ79" s="122"/>
      <c r="EK79" s="122"/>
      <c r="EL79" s="122"/>
      <c r="EM79" s="122"/>
      <c r="EN79" s="122"/>
      <c r="EO79" s="122"/>
      <c r="EP79" s="122"/>
      <c r="EQ79" s="122"/>
      <c r="ER79" s="122"/>
      <c r="ES79" s="122"/>
      <c r="ET79" s="122"/>
      <c r="EU79" s="122"/>
      <c r="EV79" s="122"/>
      <c r="EW79" s="122"/>
      <c r="EX79" s="122"/>
      <c r="EY79" s="122"/>
      <c r="EZ79" s="122"/>
      <c r="FA79" s="122"/>
      <c r="FB79" s="122"/>
      <c r="FC79" s="122"/>
      <c r="FD79" s="122"/>
      <c r="FE79" s="122"/>
      <c r="FF79" s="122"/>
      <c r="FG79" s="122"/>
      <c r="FH79" s="122"/>
      <c r="FI79" s="122"/>
      <c r="FJ79" s="122"/>
      <c r="FK79" s="122"/>
      <c r="FL79" s="122"/>
      <c r="FM79" s="122"/>
      <c r="FN79" s="122"/>
      <c r="FO79" s="122"/>
      <c r="FP79" s="122"/>
      <c r="FQ79" s="122"/>
      <c r="FR79" s="122"/>
      <c r="FS79" s="122"/>
      <c r="FT79" s="122"/>
      <c r="FU79" s="122"/>
      <c r="FV79" s="122"/>
      <c r="FW79" s="122"/>
      <c r="FX79" s="122"/>
      <c r="FY79" s="122"/>
      <c r="FZ79" s="122"/>
      <c r="GA79" s="122"/>
      <c r="GB79" s="122"/>
      <c r="GC79" s="122"/>
      <c r="GD79" s="122"/>
      <c r="GE79" s="122"/>
      <c r="GF79" s="122"/>
      <c r="GG79" s="122"/>
      <c r="GH79" s="122"/>
      <c r="GI79" s="122"/>
    </row>
    <row r="80" spans="1:191" s="13" customFormat="1" ht="20.25" customHeight="1">
      <c r="A80" s="117"/>
      <c r="B80" s="125"/>
      <c r="C80" s="126"/>
      <c r="D80" s="121"/>
      <c r="E80" s="103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96"/>
      <c r="AB80" s="296"/>
      <c r="AC80" s="296"/>
      <c r="AD80" s="296"/>
      <c r="AE80" s="296"/>
      <c r="AF80" s="296"/>
      <c r="AG80" s="296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  <c r="AT80" s="296"/>
      <c r="AU80" s="296"/>
      <c r="AV80" s="296"/>
      <c r="AW80" s="296"/>
      <c r="AX80" s="296"/>
      <c r="AY80" s="296"/>
      <c r="AZ80" s="296"/>
      <c r="BA80" s="296"/>
      <c r="BB80" s="296"/>
      <c r="BC80" s="296"/>
      <c r="BD80" s="296"/>
      <c r="BE80" s="296"/>
      <c r="BF80" s="296"/>
      <c r="BG80" s="296"/>
      <c r="BH80" s="296"/>
      <c r="BI80" s="296"/>
      <c r="BJ80" s="296"/>
      <c r="BK80" s="296"/>
      <c r="BL80" s="296"/>
      <c r="BM80" s="296"/>
      <c r="BN80" s="296"/>
      <c r="BO80" s="296"/>
      <c r="BP80" s="296"/>
      <c r="BQ80" s="296"/>
      <c r="BR80" s="296"/>
      <c r="BS80" s="297"/>
      <c r="BT80" s="297"/>
      <c r="BU80" s="296"/>
      <c r="BV80" s="296"/>
      <c r="BW80" s="296"/>
      <c r="BX80" s="296"/>
      <c r="BY80" s="296"/>
      <c r="BZ80" s="296"/>
      <c r="CA80" s="296"/>
      <c r="CB80" s="296"/>
      <c r="CC80" s="296"/>
      <c r="CD80" s="296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  <c r="DG80" s="122"/>
      <c r="DH80" s="122"/>
      <c r="DI80" s="122"/>
      <c r="DJ80" s="122"/>
      <c r="DK80" s="122"/>
      <c r="DL80" s="122"/>
      <c r="DM80" s="122"/>
      <c r="DN80" s="122"/>
      <c r="DO80" s="122"/>
      <c r="DP80" s="122"/>
      <c r="DQ80" s="122"/>
      <c r="DR80" s="122"/>
      <c r="DS80" s="122"/>
      <c r="DT80" s="122"/>
      <c r="DU80" s="122"/>
      <c r="DV80" s="122"/>
      <c r="DW80" s="122"/>
      <c r="DX80" s="122"/>
      <c r="DY80" s="122"/>
      <c r="DZ80" s="122"/>
      <c r="EA80" s="122"/>
      <c r="EB80" s="122"/>
      <c r="EC80" s="122"/>
      <c r="ED80" s="122"/>
      <c r="EE80" s="122"/>
      <c r="EF80" s="122"/>
      <c r="EG80" s="122"/>
      <c r="EH80" s="122"/>
      <c r="EI80" s="122"/>
      <c r="EJ80" s="122"/>
      <c r="EK80" s="122"/>
      <c r="EL80" s="122"/>
      <c r="EM80" s="122"/>
      <c r="EN80" s="122"/>
      <c r="EO80" s="122"/>
      <c r="EP80" s="122"/>
      <c r="EQ80" s="122"/>
      <c r="ER80" s="122"/>
      <c r="ES80" s="122"/>
      <c r="ET80" s="122"/>
      <c r="EU80" s="122"/>
      <c r="EV80" s="122"/>
      <c r="EW80" s="122"/>
      <c r="EX80" s="122"/>
      <c r="EY80" s="122"/>
      <c r="EZ80" s="122"/>
      <c r="FA80" s="122"/>
      <c r="FB80" s="122"/>
      <c r="FC80" s="122"/>
      <c r="FD80" s="122"/>
      <c r="FE80" s="122"/>
      <c r="FF80" s="122"/>
      <c r="FG80" s="122"/>
      <c r="FH80" s="122"/>
      <c r="FI80" s="122"/>
      <c r="FJ80" s="122"/>
      <c r="FK80" s="122"/>
      <c r="FL80" s="122"/>
      <c r="FM80" s="122"/>
      <c r="FN80" s="122"/>
      <c r="FO80" s="122"/>
      <c r="FP80" s="122"/>
      <c r="FQ80" s="122"/>
      <c r="FR80" s="122"/>
      <c r="FS80" s="122"/>
      <c r="FT80" s="122"/>
      <c r="FU80" s="122"/>
      <c r="FV80" s="122"/>
      <c r="FW80" s="122"/>
      <c r="FX80" s="122"/>
      <c r="FY80" s="122"/>
      <c r="FZ80" s="122"/>
      <c r="GA80" s="122"/>
      <c r="GB80" s="122"/>
      <c r="GC80" s="122"/>
      <c r="GD80" s="122"/>
      <c r="GE80" s="122"/>
      <c r="GF80" s="122"/>
      <c r="GG80" s="122"/>
      <c r="GH80" s="122"/>
      <c r="GI80" s="122"/>
    </row>
    <row r="81" spans="1:191" s="13" customFormat="1" ht="20.25" customHeight="1">
      <c r="A81" s="117">
        <v>37</v>
      </c>
      <c r="B81" s="125"/>
      <c r="C81" s="126"/>
      <c r="D81" s="102">
        <f t="shared" ref="D81" si="39">IFERROR(SUMPRODUCT(F81:HE81,$F$6:$HE$6)/100,0)</f>
        <v>0</v>
      </c>
      <c r="E81" s="103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296"/>
      <c r="AC81" s="296"/>
      <c r="AD81" s="296"/>
      <c r="AE81" s="296"/>
      <c r="AF81" s="296"/>
      <c r="AG81" s="296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T81" s="296"/>
      <c r="AU81" s="296"/>
      <c r="AV81" s="296"/>
      <c r="AW81" s="296"/>
      <c r="AX81" s="296"/>
      <c r="AY81" s="296"/>
      <c r="AZ81" s="296"/>
      <c r="BA81" s="296"/>
      <c r="BB81" s="296"/>
      <c r="BC81" s="296"/>
      <c r="BD81" s="296"/>
      <c r="BE81" s="296"/>
      <c r="BF81" s="296"/>
      <c r="BG81" s="296"/>
      <c r="BH81" s="296"/>
      <c r="BI81" s="296"/>
      <c r="BJ81" s="296"/>
      <c r="BK81" s="296"/>
      <c r="BL81" s="296"/>
      <c r="BM81" s="296"/>
      <c r="BN81" s="296"/>
      <c r="BO81" s="296"/>
      <c r="BP81" s="296"/>
      <c r="BQ81" s="296"/>
      <c r="BR81" s="296"/>
      <c r="BS81" s="297"/>
      <c r="BT81" s="297"/>
      <c r="BU81" s="296"/>
      <c r="BV81" s="296"/>
      <c r="BW81" s="296"/>
      <c r="BX81" s="296"/>
      <c r="BY81" s="296"/>
      <c r="BZ81" s="296"/>
      <c r="CA81" s="296"/>
      <c r="CB81" s="296"/>
      <c r="CC81" s="296"/>
      <c r="CD81" s="296"/>
      <c r="CE81" s="122"/>
      <c r="CF81" s="122"/>
      <c r="CG81" s="122"/>
      <c r="CH81" s="122"/>
      <c r="CI81" s="122"/>
      <c r="CJ81" s="122"/>
      <c r="CK81" s="122"/>
      <c r="CL81" s="122"/>
      <c r="CM81" s="122"/>
      <c r="CN81" s="122"/>
      <c r="CO81" s="122"/>
      <c r="CP81" s="122"/>
      <c r="CQ81" s="122"/>
      <c r="CR81" s="122"/>
      <c r="CS81" s="122"/>
      <c r="CT81" s="122"/>
      <c r="CU81" s="122"/>
      <c r="CV81" s="122"/>
      <c r="CW81" s="122"/>
      <c r="CX81" s="122"/>
      <c r="CY81" s="122"/>
      <c r="CZ81" s="122"/>
      <c r="DA81" s="122"/>
      <c r="DB81" s="122"/>
      <c r="DC81" s="122"/>
      <c r="DD81" s="122"/>
      <c r="DE81" s="122"/>
      <c r="DF81" s="122"/>
      <c r="DG81" s="122"/>
      <c r="DH81" s="122"/>
      <c r="DI81" s="122"/>
      <c r="DJ81" s="122"/>
      <c r="DK81" s="122"/>
      <c r="DL81" s="122"/>
      <c r="DM81" s="122"/>
      <c r="DN81" s="122"/>
      <c r="DO81" s="122"/>
      <c r="DP81" s="122"/>
      <c r="DQ81" s="122"/>
      <c r="DR81" s="122"/>
      <c r="DS81" s="122"/>
      <c r="DT81" s="122"/>
      <c r="DU81" s="122"/>
      <c r="DV81" s="122"/>
      <c r="DW81" s="122"/>
      <c r="DX81" s="122"/>
      <c r="DY81" s="122"/>
      <c r="DZ81" s="122"/>
      <c r="EA81" s="122"/>
      <c r="EB81" s="122"/>
      <c r="EC81" s="122"/>
      <c r="ED81" s="122"/>
      <c r="EE81" s="122"/>
      <c r="EF81" s="122"/>
      <c r="EG81" s="122"/>
      <c r="EH81" s="122"/>
      <c r="EI81" s="122"/>
      <c r="EJ81" s="122"/>
      <c r="EK81" s="122"/>
      <c r="EL81" s="122"/>
      <c r="EM81" s="122"/>
      <c r="EN81" s="122"/>
      <c r="EO81" s="122"/>
      <c r="EP81" s="122"/>
      <c r="EQ81" s="122"/>
      <c r="ER81" s="122"/>
      <c r="ES81" s="122"/>
      <c r="ET81" s="122"/>
      <c r="EU81" s="122"/>
      <c r="EV81" s="122"/>
      <c r="EW81" s="122"/>
      <c r="EX81" s="122"/>
      <c r="EY81" s="122"/>
      <c r="EZ81" s="122"/>
      <c r="FA81" s="122"/>
      <c r="FB81" s="122"/>
      <c r="FC81" s="122"/>
      <c r="FD81" s="122"/>
      <c r="FE81" s="122"/>
      <c r="FF81" s="122"/>
      <c r="FG81" s="122"/>
      <c r="FH81" s="122"/>
      <c r="FI81" s="122"/>
      <c r="FJ81" s="122"/>
      <c r="FK81" s="122"/>
      <c r="FL81" s="122"/>
      <c r="FM81" s="122"/>
      <c r="FN81" s="122"/>
      <c r="FO81" s="122"/>
      <c r="FP81" s="122"/>
      <c r="FQ81" s="122"/>
      <c r="FR81" s="122"/>
      <c r="FS81" s="122"/>
      <c r="FT81" s="122"/>
      <c r="FU81" s="122"/>
      <c r="FV81" s="122"/>
      <c r="FW81" s="122"/>
      <c r="FX81" s="122"/>
      <c r="FY81" s="122"/>
      <c r="FZ81" s="122"/>
      <c r="GA81" s="122"/>
      <c r="GB81" s="122"/>
      <c r="GC81" s="122"/>
      <c r="GD81" s="122"/>
      <c r="GE81" s="122"/>
      <c r="GF81" s="122"/>
      <c r="GG81" s="122"/>
      <c r="GH81" s="122"/>
      <c r="GI81" s="122"/>
    </row>
    <row r="82" spans="1:191" s="13" customFormat="1" ht="20.25" customHeight="1">
      <c r="A82" s="117"/>
      <c r="B82" s="124"/>
      <c r="C82" s="120"/>
      <c r="D82" s="121"/>
      <c r="E82" s="103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  <c r="AC82" s="296"/>
      <c r="AD82" s="296"/>
      <c r="AE82" s="296"/>
      <c r="AF82" s="296"/>
      <c r="AG82" s="296"/>
      <c r="AH82" s="296"/>
      <c r="AI82" s="296"/>
      <c r="AJ82" s="296"/>
      <c r="AK82" s="296"/>
      <c r="AL82" s="296"/>
      <c r="AM82" s="296"/>
      <c r="AN82" s="296"/>
      <c r="AO82" s="296"/>
      <c r="AP82" s="296"/>
      <c r="AQ82" s="296"/>
      <c r="AR82" s="296"/>
      <c r="AS82" s="296"/>
      <c r="AT82" s="296"/>
      <c r="AU82" s="296"/>
      <c r="AV82" s="296"/>
      <c r="AW82" s="296"/>
      <c r="AX82" s="296"/>
      <c r="AY82" s="296"/>
      <c r="AZ82" s="296"/>
      <c r="BA82" s="296"/>
      <c r="BB82" s="296"/>
      <c r="BC82" s="296"/>
      <c r="BD82" s="296"/>
      <c r="BE82" s="296"/>
      <c r="BF82" s="296"/>
      <c r="BG82" s="296"/>
      <c r="BH82" s="296"/>
      <c r="BI82" s="296"/>
      <c r="BJ82" s="296"/>
      <c r="BK82" s="296"/>
      <c r="BL82" s="296"/>
      <c r="BM82" s="296"/>
      <c r="BN82" s="296"/>
      <c r="BO82" s="296"/>
      <c r="BP82" s="296"/>
      <c r="BQ82" s="296"/>
      <c r="BR82" s="296"/>
      <c r="BS82" s="297"/>
      <c r="BT82" s="297"/>
      <c r="BU82" s="296"/>
      <c r="BV82" s="296"/>
      <c r="BW82" s="296"/>
      <c r="BX82" s="296"/>
      <c r="BY82" s="296"/>
      <c r="BZ82" s="296"/>
      <c r="CA82" s="296"/>
      <c r="CB82" s="296"/>
      <c r="CC82" s="296"/>
      <c r="CD82" s="296"/>
      <c r="CE82" s="122"/>
      <c r="CF82" s="122"/>
      <c r="CG82" s="122"/>
      <c r="CH82" s="122"/>
      <c r="CI82" s="122"/>
      <c r="CJ82" s="122"/>
      <c r="CK82" s="122"/>
      <c r="CL82" s="122"/>
      <c r="CM82" s="122"/>
      <c r="CN82" s="122"/>
      <c r="CO82" s="122"/>
      <c r="CP82" s="122"/>
      <c r="CQ82" s="122"/>
      <c r="CR82" s="122"/>
      <c r="CS82" s="122"/>
      <c r="CT82" s="122"/>
      <c r="CU82" s="122"/>
      <c r="CV82" s="122"/>
      <c r="CW82" s="122"/>
      <c r="CX82" s="122"/>
      <c r="CY82" s="122"/>
      <c r="CZ82" s="122"/>
      <c r="DA82" s="122"/>
      <c r="DB82" s="122"/>
      <c r="DC82" s="122"/>
      <c r="DD82" s="122"/>
      <c r="DE82" s="122"/>
      <c r="DF82" s="122"/>
      <c r="DG82" s="122"/>
      <c r="DH82" s="122"/>
      <c r="DI82" s="122"/>
      <c r="DJ82" s="122"/>
      <c r="DK82" s="122"/>
      <c r="DL82" s="122"/>
      <c r="DM82" s="122"/>
      <c r="DN82" s="122"/>
      <c r="DO82" s="122"/>
      <c r="DP82" s="122"/>
      <c r="DQ82" s="122"/>
      <c r="DR82" s="122"/>
      <c r="DS82" s="122"/>
      <c r="DT82" s="122"/>
      <c r="DU82" s="122"/>
      <c r="DV82" s="122"/>
      <c r="DW82" s="122"/>
      <c r="DX82" s="122"/>
      <c r="DY82" s="122"/>
      <c r="DZ82" s="122"/>
      <c r="EA82" s="122"/>
      <c r="EB82" s="122"/>
      <c r="EC82" s="122"/>
      <c r="ED82" s="122"/>
      <c r="EE82" s="122"/>
      <c r="EF82" s="122"/>
      <c r="EG82" s="122"/>
      <c r="EH82" s="122"/>
      <c r="EI82" s="122"/>
      <c r="EJ82" s="122"/>
      <c r="EK82" s="122"/>
      <c r="EL82" s="122"/>
      <c r="EM82" s="122"/>
      <c r="EN82" s="122"/>
      <c r="EO82" s="122"/>
      <c r="EP82" s="122"/>
      <c r="EQ82" s="122"/>
      <c r="ER82" s="122"/>
      <c r="ES82" s="122"/>
      <c r="ET82" s="122"/>
      <c r="EU82" s="122"/>
      <c r="EV82" s="122"/>
      <c r="EW82" s="122"/>
      <c r="EX82" s="122"/>
      <c r="EY82" s="122"/>
      <c r="EZ82" s="122"/>
      <c r="FA82" s="122"/>
      <c r="FB82" s="122"/>
      <c r="FC82" s="122"/>
      <c r="FD82" s="122"/>
      <c r="FE82" s="122"/>
      <c r="FF82" s="122"/>
      <c r="FG82" s="122"/>
      <c r="FH82" s="122"/>
      <c r="FI82" s="122"/>
      <c r="FJ82" s="122"/>
      <c r="FK82" s="122"/>
      <c r="FL82" s="122"/>
      <c r="FM82" s="122"/>
      <c r="FN82" s="122"/>
      <c r="FO82" s="122"/>
      <c r="FP82" s="122"/>
      <c r="FQ82" s="122"/>
      <c r="FR82" s="122"/>
      <c r="FS82" s="122"/>
      <c r="FT82" s="122"/>
      <c r="FU82" s="122"/>
      <c r="FV82" s="122"/>
      <c r="FW82" s="122"/>
      <c r="FX82" s="122"/>
      <c r="FY82" s="122"/>
      <c r="FZ82" s="122"/>
      <c r="GA82" s="122"/>
      <c r="GB82" s="122"/>
      <c r="GC82" s="122"/>
      <c r="GD82" s="122"/>
      <c r="GE82" s="122"/>
      <c r="GF82" s="122"/>
      <c r="GG82" s="122"/>
      <c r="GH82" s="122"/>
      <c r="GI82" s="122"/>
    </row>
    <row r="83" spans="1:191" s="13" customFormat="1" ht="20.25" customHeight="1">
      <c r="A83" s="117">
        <v>38</v>
      </c>
      <c r="B83" s="124"/>
      <c r="C83" s="120"/>
      <c r="D83" s="102">
        <f t="shared" ref="D83" si="40">IFERROR(SUMPRODUCT(F83:HE83,$F$6:$HE$6)/100,0)</f>
        <v>0</v>
      </c>
      <c r="E83" s="103"/>
      <c r="F83" s="296"/>
      <c r="G83" s="296"/>
      <c r="H83" s="296"/>
      <c r="I83" s="296"/>
      <c r="J83" s="296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296"/>
      <c r="AB83" s="296"/>
      <c r="AC83" s="296"/>
      <c r="AD83" s="296"/>
      <c r="AE83" s="296"/>
      <c r="AF83" s="296"/>
      <c r="AG83" s="296"/>
      <c r="AH83" s="296"/>
      <c r="AI83" s="296"/>
      <c r="AJ83" s="296"/>
      <c r="AK83" s="296"/>
      <c r="AL83" s="296"/>
      <c r="AM83" s="296"/>
      <c r="AN83" s="296"/>
      <c r="AO83" s="296"/>
      <c r="AP83" s="296"/>
      <c r="AQ83" s="296"/>
      <c r="AR83" s="296"/>
      <c r="AS83" s="296"/>
      <c r="AT83" s="296"/>
      <c r="AU83" s="296"/>
      <c r="AV83" s="296"/>
      <c r="AW83" s="296"/>
      <c r="AX83" s="296"/>
      <c r="AY83" s="296"/>
      <c r="AZ83" s="296"/>
      <c r="BA83" s="296"/>
      <c r="BB83" s="296"/>
      <c r="BC83" s="296"/>
      <c r="BD83" s="296"/>
      <c r="BE83" s="296"/>
      <c r="BF83" s="296"/>
      <c r="BG83" s="296"/>
      <c r="BH83" s="296"/>
      <c r="BI83" s="296"/>
      <c r="BJ83" s="296"/>
      <c r="BK83" s="296"/>
      <c r="BL83" s="296"/>
      <c r="BM83" s="296"/>
      <c r="BN83" s="296"/>
      <c r="BO83" s="296"/>
      <c r="BP83" s="296"/>
      <c r="BQ83" s="296"/>
      <c r="BR83" s="296"/>
      <c r="BS83" s="297"/>
      <c r="BT83" s="297"/>
      <c r="BU83" s="296"/>
      <c r="BV83" s="296"/>
      <c r="BW83" s="296"/>
      <c r="BX83" s="296"/>
      <c r="BY83" s="296"/>
      <c r="BZ83" s="296"/>
      <c r="CA83" s="296"/>
      <c r="CB83" s="296"/>
      <c r="CC83" s="296"/>
      <c r="CD83" s="296"/>
      <c r="CE83" s="122"/>
      <c r="CF83" s="122"/>
      <c r="CG83" s="122"/>
      <c r="CH83" s="122"/>
      <c r="CI83" s="122"/>
      <c r="CJ83" s="122"/>
      <c r="CK83" s="122"/>
      <c r="CL83" s="122"/>
      <c r="CM83" s="122"/>
      <c r="CN83" s="122"/>
      <c r="CO83" s="122"/>
      <c r="CP83" s="122"/>
      <c r="CQ83" s="122"/>
      <c r="CR83" s="122"/>
      <c r="CS83" s="122"/>
      <c r="CT83" s="122"/>
      <c r="CU83" s="122"/>
      <c r="CV83" s="122"/>
      <c r="CW83" s="122"/>
      <c r="CX83" s="122"/>
      <c r="CY83" s="122"/>
      <c r="CZ83" s="122"/>
      <c r="DA83" s="122"/>
      <c r="DB83" s="122"/>
      <c r="DC83" s="122"/>
      <c r="DD83" s="122"/>
      <c r="DE83" s="122"/>
      <c r="DF83" s="122"/>
      <c r="DG83" s="122"/>
      <c r="DH83" s="122"/>
      <c r="DI83" s="122"/>
      <c r="DJ83" s="122"/>
      <c r="DK83" s="122"/>
      <c r="DL83" s="122"/>
      <c r="DM83" s="122"/>
      <c r="DN83" s="122"/>
      <c r="DO83" s="122"/>
      <c r="DP83" s="122"/>
      <c r="DQ83" s="122"/>
      <c r="DR83" s="122"/>
      <c r="DS83" s="122"/>
      <c r="DT83" s="122"/>
      <c r="DU83" s="122"/>
      <c r="DV83" s="122"/>
      <c r="DW83" s="122"/>
      <c r="DX83" s="122"/>
      <c r="DY83" s="122"/>
      <c r="DZ83" s="122"/>
      <c r="EA83" s="122"/>
      <c r="EB83" s="122"/>
      <c r="EC83" s="122"/>
      <c r="ED83" s="122"/>
      <c r="EE83" s="122"/>
      <c r="EF83" s="122"/>
      <c r="EG83" s="122"/>
      <c r="EH83" s="122"/>
      <c r="EI83" s="122"/>
      <c r="EJ83" s="122"/>
      <c r="EK83" s="122"/>
      <c r="EL83" s="122"/>
      <c r="EM83" s="122"/>
      <c r="EN83" s="122"/>
      <c r="EO83" s="122"/>
      <c r="EP83" s="122"/>
      <c r="EQ83" s="122"/>
      <c r="ER83" s="122"/>
      <c r="ES83" s="122"/>
      <c r="ET83" s="122"/>
      <c r="EU83" s="122"/>
      <c r="EV83" s="122"/>
      <c r="EW83" s="122"/>
      <c r="EX83" s="122"/>
      <c r="EY83" s="122"/>
      <c r="EZ83" s="122"/>
      <c r="FA83" s="122"/>
      <c r="FB83" s="122"/>
      <c r="FC83" s="122"/>
      <c r="FD83" s="122"/>
      <c r="FE83" s="122"/>
      <c r="FF83" s="122"/>
      <c r="FG83" s="122"/>
      <c r="FH83" s="122"/>
      <c r="FI83" s="122"/>
      <c r="FJ83" s="122"/>
      <c r="FK83" s="122"/>
      <c r="FL83" s="122"/>
      <c r="FM83" s="122"/>
      <c r="FN83" s="122"/>
      <c r="FO83" s="122"/>
      <c r="FP83" s="122"/>
      <c r="FQ83" s="122"/>
      <c r="FR83" s="122"/>
      <c r="FS83" s="122"/>
      <c r="FT83" s="122"/>
      <c r="FU83" s="122"/>
      <c r="FV83" s="122"/>
      <c r="FW83" s="122"/>
      <c r="FX83" s="122"/>
      <c r="FY83" s="122"/>
      <c r="FZ83" s="122"/>
      <c r="GA83" s="122"/>
      <c r="GB83" s="122"/>
      <c r="GC83" s="122"/>
      <c r="GD83" s="122"/>
      <c r="GE83" s="122"/>
      <c r="GF83" s="122"/>
      <c r="GG83" s="122"/>
      <c r="GH83" s="122"/>
      <c r="GI83" s="122"/>
    </row>
    <row r="84" spans="1:191" s="13" customFormat="1" ht="20.25" customHeight="1">
      <c r="A84" s="117"/>
      <c r="B84" s="124"/>
      <c r="C84" s="120"/>
      <c r="D84" s="121"/>
      <c r="E84" s="103"/>
      <c r="F84" s="296"/>
      <c r="G84" s="296"/>
      <c r="H84" s="296"/>
      <c r="I84" s="296"/>
      <c r="J84" s="296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296"/>
      <c r="AB84" s="296"/>
      <c r="AC84" s="296"/>
      <c r="AD84" s="296"/>
      <c r="AE84" s="296"/>
      <c r="AF84" s="296"/>
      <c r="AG84" s="296"/>
      <c r="AH84" s="296"/>
      <c r="AI84" s="296"/>
      <c r="AJ84" s="296"/>
      <c r="AK84" s="296"/>
      <c r="AL84" s="296"/>
      <c r="AM84" s="296"/>
      <c r="AN84" s="296"/>
      <c r="AO84" s="296"/>
      <c r="AP84" s="296"/>
      <c r="AQ84" s="296"/>
      <c r="AR84" s="296"/>
      <c r="AS84" s="296"/>
      <c r="AT84" s="296"/>
      <c r="AU84" s="296"/>
      <c r="AV84" s="296"/>
      <c r="AW84" s="296"/>
      <c r="AX84" s="296"/>
      <c r="AY84" s="296"/>
      <c r="AZ84" s="296"/>
      <c r="BA84" s="296"/>
      <c r="BB84" s="296"/>
      <c r="BC84" s="296"/>
      <c r="BD84" s="296"/>
      <c r="BE84" s="296"/>
      <c r="BF84" s="296"/>
      <c r="BG84" s="296"/>
      <c r="BH84" s="296"/>
      <c r="BI84" s="296"/>
      <c r="BJ84" s="296"/>
      <c r="BK84" s="296"/>
      <c r="BL84" s="296"/>
      <c r="BM84" s="296"/>
      <c r="BN84" s="296"/>
      <c r="BO84" s="296"/>
      <c r="BP84" s="296"/>
      <c r="BQ84" s="296"/>
      <c r="BR84" s="296"/>
      <c r="BS84" s="297"/>
      <c r="BT84" s="297"/>
      <c r="BU84" s="296"/>
      <c r="BV84" s="296"/>
      <c r="BW84" s="296"/>
      <c r="BX84" s="296"/>
      <c r="BY84" s="296"/>
      <c r="BZ84" s="296"/>
      <c r="CA84" s="296"/>
      <c r="CB84" s="296"/>
      <c r="CC84" s="296"/>
      <c r="CD84" s="296"/>
      <c r="CE84" s="122"/>
      <c r="CF84" s="122"/>
      <c r="CG84" s="122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122"/>
      <c r="DD84" s="122"/>
      <c r="DE84" s="122"/>
      <c r="DF84" s="122"/>
      <c r="DG84" s="122"/>
      <c r="DH84" s="122"/>
      <c r="DI84" s="122"/>
      <c r="DJ84" s="122"/>
      <c r="DK84" s="122"/>
      <c r="DL84" s="122"/>
      <c r="DM84" s="122"/>
      <c r="DN84" s="122"/>
      <c r="DO84" s="122"/>
      <c r="DP84" s="122"/>
      <c r="DQ84" s="122"/>
      <c r="DR84" s="122"/>
      <c r="DS84" s="122"/>
      <c r="DT84" s="122"/>
      <c r="DU84" s="122"/>
      <c r="DV84" s="122"/>
      <c r="DW84" s="122"/>
      <c r="DX84" s="122"/>
      <c r="DY84" s="122"/>
      <c r="DZ84" s="122"/>
      <c r="EA84" s="122"/>
      <c r="EB84" s="122"/>
      <c r="EC84" s="122"/>
      <c r="ED84" s="122"/>
      <c r="EE84" s="122"/>
      <c r="EF84" s="122"/>
      <c r="EG84" s="122"/>
      <c r="EH84" s="122"/>
      <c r="EI84" s="122"/>
      <c r="EJ84" s="122"/>
      <c r="EK84" s="122"/>
      <c r="EL84" s="122"/>
      <c r="EM84" s="122"/>
      <c r="EN84" s="122"/>
      <c r="EO84" s="122"/>
      <c r="EP84" s="122"/>
      <c r="EQ84" s="122"/>
      <c r="ER84" s="122"/>
      <c r="ES84" s="122"/>
      <c r="ET84" s="122"/>
      <c r="EU84" s="122"/>
      <c r="EV84" s="122"/>
      <c r="EW84" s="122"/>
      <c r="EX84" s="122"/>
      <c r="EY84" s="122"/>
      <c r="EZ84" s="122"/>
      <c r="FA84" s="122"/>
      <c r="FB84" s="122"/>
      <c r="FC84" s="122"/>
      <c r="FD84" s="122"/>
      <c r="FE84" s="122"/>
      <c r="FF84" s="122"/>
      <c r="FG84" s="122"/>
      <c r="FH84" s="122"/>
      <c r="FI84" s="122"/>
      <c r="FJ84" s="122"/>
      <c r="FK84" s="122"/>
      <c r="FL84" s="122"/>
      <c r="FM84" s="122"/>
      <c r="FN84" s="122"/>
      <c r="FO84" s="122"/>
      <c r="FP84" s="122"/>
      <c r="FQ84" s="122"/>
      <c r="FR84" s="122"/>
      <c r="FS84" s="122"/>
      <c r="FT84" s="122"/>
      <c r="FU84" s="122"/>
      <c r="FV84" s="122"/>
      <c r="FW84" s="122"/>
      <c r="FX84" s="122"/>
      <c r="FY84" s="122"/>
      <c r="FZ84" s="122"/>
      <c r="GA84" s="122"/>
      <c r="GB84" s="122"/>
      <c r="GC84" s="122"/>
      <c r="GD84" s="122"/>
      <c r="GE84" s="122"/>
      <c r="GF84" s="122"/>
      <c r="GG84" s="122"/>
      <c r="GH84" s="122"/>
      <c r="GI84" s="122"/>
    </row>
    <row r="85" spans="1:191" s="13" customFormat="1" ht="20.25" customHeight="1">
      <c r="A85" s="117">
        <v>39</v>
      </c>
      <c r="B85" s="124"/>
      <c r="C85" s="120"/>
      <c r="D85" s="102">
        <f t="shared" ref="D85" si="41">IFERROR(SUMPRODUCT(F85:HE85,$F$6:$HE$6)/100,0)</f>
        <v>0</v>
      </c>
      <c r="E85" s="103"/>
      <c r="F85" s="296"/>
      <c r="G85" s="296"/>
      <c r="H85" s="296"/>
      <c r="I85" s="296"/>
      <c r="J85" s="296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  <c r="Y85" s="296"/>
      <c r="Z85" s="296"/>
      <c r="AA85" s="296"/>
      <c r="AB85" s="296"/>
      <c r="AC85" s="296"/>
      <c r="AD85" s="296"/>
      <c r="AE85" s="296"/>
      <c r="AF85" s="296"/>
      <c r="AG85" s="296"/>
      <c r="AH85" s="296"/>
      <c r="AI85" s="296"/>
      <c r="AJ85" s="296"/>
      <c r="AK85" s="296"/>
      <c r="AL85" s="296"/>
      <c r="AM85" s="296"/>
      <c r="AN85" s="296"/>
      <c r="AO85" s="296"/>
      <c r="AP85" s="296"/>
      <c r="AQ85" s="296"/>
      <c r="AR85" s="296"/>
      <c r="AS85" s="296"/>
      <c r="AT85" s="296"/>
      <c r="AU85" s="296"/>
      <c r="AV85" s="296"/>
      <c r="AW85" s="296"/>
      <c r="AX85" s="296"/>
      <c r="AY85" s="296"/>
      <c r="AZ85" s="296"/>
      <c r="BA85" s="296"/>
      <c r="BB85" s="296"/>
      <c r="BC85" s="296"/>
      <c r="BD85" s="296"/>
      <c r="BE85" s="296"/>
      <c r="BF85" s="296"/>
      <c r="BG85" s="296"/>
      <c r="BH85" s="296"/>
      <c r="BI85" s="296"/>
      <c r="BJ85" s="296"/>
      <c r="BK85" s="296"/>
      <c r="BL85" s="296"/>
      <c r="BM85" s="296"/>
      <c r="BN85" s="296"/>
      <c r="BO85" s="296"/>
      <c r="BP85" s="296"/>
      <c r="BQ85" s="296"/>
      <c r="BR85" s="296"/>
      <c r="BS85" s="296"/>
      <c r="BT85" s="297"/>
      <c r="BU85" s="296"/>
      <c r="BV85" s="296"/>
      <c r="BW85" s="296"/>
      <c r="BX85" s="296"/>
      <c r="BY85" s="296"/>
      <c r="BZ85" s="296"/>
      <c r="CA85" s="296"/>
      <c r="CB85" s="296"/>
      <c r="CC85" s="296"/>
      <c r="CD85" s="296"/>
      <c r="CE85" s="122"/>
      <c r="CF85" s="122"/>
      <c r="CG85" s="122"/>
      <c r="CH85" s="122"/>
      <c r="CI85" s="122"/>
      <c r="CJ85" s="122"/>
      <c r="CK85" s="122"/>
      <c r="CL85" s="122"/>
      <c r="CM85" s="122"/>
      <c r="CN85" s="122"/>
      <c r="CO85" s="122"/>
      <c r="CP85" s="122"/>
      <c r="CQ85" s="122"/>
      <c r="CR85" s="122"/>
      <c r="CS85" s="122"/>
      <c r="CT85" s="122"/>
      <c r="CU85" s="122"/>
      <c r="CV85" s="122"/>
      <c r="CW85" s="122"/>
      <c r="CX85" s="122"/>
      <c r="CY85" s="122"/>
      <c r="CZ85" s="122"/>
      <c r="DA85" s="122"/>
      <c r="DB85" s="122"/>
      <c r="DC85" s="122"/>
      <c r="DD85" s="122"/>
      <c r="DE85" s="122"/>
      <c r="DF85" s="122"/>
      <c r="DG85" s="122"/>
      <c r="DH85" s="122"/>
      <c r="DI85" s="122"/>
      <c r="DJ85" s="122"/>
      <c r="DK85" s="122"/>
      <c r="DL85" s="122"/>
      <c r="DM85" s="122"/>
      <c r="DN85" s="122"/>
      <c r="DO85" s="122"/>
      <c r="DP85" s="122"/>
      <c r="DQ85" s="122"/>
      <c r="DR85" s="122"/>
      <c r="DS85" s="122"/>
      <c r="DT85" s="122"/>
      <c r="DU85" s="122"/>
      <c r="DV85" s="122"/>
      <c r="DW85" s="122"/>
      <c r="DX85" s="122"/>
      <c r="DY85" s="122"/>
      <c r="DZ85" s="122"/>
      <c r="EA85" s="122"/>
      <c r="EB85" s="122"/>
      <c r="EC85" s="122"/>
      <c r="ED85" s="122"/>
      <c r="EE85" s="122"/>
      <c r="EF85" s="122"/>
      <c r="EG85" s="122"/>
      <c r="EH85" s="122"/>
      <c r="EI85" s="122"/>
      <c r="EJ85" s="122"/>
      <c r="EK85" s="122"/>
      <c r="EL85" s="122"/>
      <c r="EM85" s="122"/>
      <c r="EN85" s="122"/>
      <c r="EO85" s="122"/>
      <c r="EP85" s="122"/>
      <c r="EQ85" s="122"/>
      <c r="ER85" s="122"/>
      <c r="ES85" s="122"/>
      <c r="ET85" s="122"/>
      <c r="EU85" s="122"/>
      <c r="EV85" s="122"/>
      <c r="EW85" s="122"/>
      <c r="EX85" s="122"/>
      <c r="EY85" s="122"/>
      <c r="EZ85" s="122"/>
      <c r="FA85" s="122"/>
      <c r="FB85" s="122"/>
      <c r="FC85" s="122"/>
      <c r="FD85" s="122"/>
      <c r="FE85" s="122"/>
      <c r="FF85" s="122"/>
      <c r="FG85" s="122"/>
      <c r="FH85" s="122"/>
      <c r="FI85" s="122"/>
      <c r="FJ85" s="122"/>
      <c r="FK85" s="122"/>
      <c r="FL85" s="122"/>
      <c r="FM85" s="122"/>
      <c r="FN85" s="122"/>
      <c r="FO85" s="122"/>
      <c r="FP85" s="122"/>
      <c r="FQ85" s="122"/>
      <c r="FR85" s="122"/>
      <c r="FS85" s="122"/>
      <c r="FT85" s="122"/>
      <c r="FU85" s="122"/>
      <c r="FV85" s="122"/>
      <c r="FW85" s="122"/>
      <c r="FX85" s="122"/>
      <c r="FY85" s="122"/>
      <c r="FZ85" s="122"/>
      <c r="GA85" s="122"/>
      <c r="GB85" s="122"/>
      <c r="GC85" s="122"/>
      <c r="GD85" s="122"/>
      <c r="GE85" s="122"/>
      <c r="GF85" s="122"/>
      <c r="GG85" s="122"/>
      <c r="GH85" s="122"/>
      <c r="GI85" s="122"/>
    </row>
    <row r="86" spans="1:191" s="13" customFormat="1" ht="20.25" customHeight="1">
      <c r="A86" s="117"/>
      <c r="B86" s="124"/>
      <c r="C86" s="120"/>
      <c r="D86" s="121"/>
      <c r="E86" s="103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7"/>
      <c r="BT86" s="297"/>
      <c r="BU86" s="296"/>
      <c r="BV86" s="296"/>
      <c r="BW86" s="296"/>
      <c r="BX86" s="296"/>
      <c r="BY86" s="296"/>
      <c r="BZ86" s="296"/>
      <c r="CA86" s="296"/>
      <c r="CB86" s="296"/>
      <c r="CC86" s="296"/>
      <c r="CD86" s="296"/>
      <c r="CE86" s="122"/>
      <c r="CF86" s="122"/>
      <c r="CG86" s="122"/>
      <c r="CH86" s="122"/>
      <c r="CI86" s="122"/>
      <c r="CJ86" s="122"/>
      <c r="CK86" s="122"/>
      <c r="CL86" s="122"/>
      <c r="CM86" s="122"/>
      <c r="CN86" s="122"/>
      <c r="CO86" s="122"/>
      <c r="CP86" s="122"/>
      <c r="CQ86" s="122"/>
      <c r="CR86" s="122"/>
      <c r="CS86" s="122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22"/>
      <c r="DI86" s="122"/>
      <c r="DJ86" s="122"/>
      <c r="DK86" s="122"/>
      <c r="DL86" s="122"/>
      <c r="DM86" s="122"/>
      <c r="DN86" s="122"/>
      <c r="DO86" s="122"/>
      <c r="DP86" s="122"/>
      <c r="DQ86" s="122"/>
      <c r="DR86" s="122"/>
      <c r="DS86" s="122"/>
      <c r="DT86" s="122"/>
      <c r="DU86" s="122"/>
      <c r="DV86" s="122"/>
      <c r="DW86" s="122"/>
      <c r="DX86" s="122"/>
      <c r="DY86" s="122"/>
      <c r="DZ86" s="122"/>
      <c r="EA86" s="122"/>
      <c r="EB86" s="122"/>
      <c r="EC86" s="122"/>
      <c r="ED86" s="122"/>
      <c r="EE86" s="122"/>
      <c r="EF86" s="122"/>
      <c r="EG86" s="122"/>
      <c r="EH86" s="122"/>
      <c r="EI86" s="122"/>
      <c r="EJ86" s="122"/>
      <c r="EK86" s="122"/>
      <c r="EL86" s="122"/>
      <c r="EM86" s="122"/>
      <c r="EN86" s="122"/>
      <c r="EO86" s="122"/>
      <c r="EP86" s="122"/>
      <c r="EQ86" s="122"/>
      <c r="ER86" s="122"/>
      <c r="ES86" s="122"/>
      <c r="ET86" s="122"/>
      <c r="EU86" s="122"/>
      <c r="EV86" s="122"/>
      <c r="EW86" s="122"/>
      <c r="EX86" s="122"/>
      <c r="EY86" s="122"/>
      <c r="EZ86" s="122"/>
      <c r="FA86" s="122"/>
      <c r="FB86" s="122"/>
      <c r="FC86" s="122"/>
      <c r="FD86" s="122"/>
      <c r="FE86" s="122"/>
      <c r="FF86" s="122"/>
      <c r="FG86" s="122"/>
      <c r="FH86" s="122"/>
      <c r="FI86" s="122"/>
      <c r="FJ86" s="122"/>
      <c r="FK86" s="122"/>
      <c r="FL86" s="122"/>
      <c r="FM86" s="122"/>
      <c r="FN86" s="122"/>
      <c r="FO86" s="122"/>
      <c r="FP86" s="122"/>
      <c r="FQ86" s="122"/>
      <c r="FR86" s="122"/>
      <c r="FS86" s="122"/>
      <c r="FT86" s="122"/>
      <c r="FU86" s="122"/>
      <c r="FV86" s="122"/>
      <c r="FW86" s="122"/>
      <c r="FX86" s="122"/>
      <c r="FY86" s="122"/>
      <c r="FZ86" s="122"/>
      <c r="GA86" s="122"/>
      <c r="GB86" s="122"/>
      <c r="GC86" s="122"/>
      <c r="GD86" s="122"/>
      <c r="GE86" s="122"/>
      <c r="GF86" s="122"/>
      <c r="GG86" s="122"/>
      <c r="GH86" s="122"/>
      <c r="GI86" s="122"/>
    </row>
    <row r="87" spans="1:191" s="13" customFormat="1" ht="20.25" customHeight="1">
      <c r="A87" s="117">
        <v>40</v>
      </c>
      <c r="B87" s="124"/>
      <c r="C87" s="120"/>
      <c r="D87" s="102">
        <f t="shared" ref="D87" si="42">IFERROR(SUMPRODUCT(F87:HE87,$F$6:$HE$6)/100,0)</f>
        <v>0</v>
      </c>
      <c r="E87" s="103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96"/>
      <c r="AB87" s="296"/>
      <c r="AC87" s="296"/>
      <c r="AD87" s="296"/>
      <c r="AE87" s="296"/>
      <c r="AF87" s="296"/>
      <c r="AG87" s="296"/>
      <c r="AH87" s="296"/>
      <c r="AI87" s="296"/>
      <c r="AJ87" s="296"/>
      <c r="AK87" s="296"/>
      <c r="AL87" s="296"/>
      <c r="AM87" s="296"/>
      <c r="AN87" s="296"/>
      <c r="AO87" s="296"/>
      <c r="AP87" s="296"/>
      <c r="AQ87" s="296"/>
      <c r="AR87" s="296"/>
      <c r="AS87" s="296"/>
      <c r="AT87" s="296"/>
      <c r="AU87" s="296"/>
      <c r="AV87" s="296"/>
      <c r="AW87" s="296"/>
      <c r="AX87" s="296"/>
      <c r="AY87" s="296"/>
      <c r="AZ87" s="296"/>
      <c r="BA87" s="296"/>
      <c r="BB87" s="296"/>
      <c r="BC87" s="296"/>
      <c r="BD87" s="296"/>
      <c r="BE87" s="296"/>
      <c r="BF87" s="296"/>
      <c r="BG87" s="296"/>
      <c r="BH87" s="296"/>
      <c r="BI87" s="296"/>
      <c r="BJ87" s="296"/>
      <c r="BK87" s="296"/>
      <c r="BL87" s="296"/>
      <c r="BM87" s="296"/>
      <c r="BN87" s="296"/>
      <c r="BO87" s="296"/>
      <c r="BP87" s="296"/>
      <c r="BQ87" s="296"/>
      <c r="BR87" s="296"/>
      <c r="BS87" s="297"/>
      <c r="BT87" s="297"/>
      <c r="BU87" s="296"/>
      <c r="BV87" s="296"/>
      <c r="BW87" s="296"/>
      <c r="BX87" s="296"/>
      <c r="BY87" s="296"/>
      <c r="BZ87" s="296"/>
      <c r="CA87" s="296"/>
      <c r="CB87" s="296"/>
      <c r="CC87" s="296"/>
      <c r="CD87" s="296"/>
      <c r="CE87" s="122"/>
      <c r="CF87" s="122"/>
      <c r="CG87" s="122"/>
      <c r="CH87" s="122"/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22"/>
      <c r="CT87" s="122"/>
      <c r="CU87" s="122"/>
      <c r="CV87" s="122"/>
      <c r="CW87" s="122"/>
      <c r="CX87" s="122"/>
      <c r="CY87" s="122"/>
      <c r="CZ87" s="122"/>
      <c r="DA87" s="122"/>
      <c r="DB87" s="122"/>
      <c r="DC87" s="122"/>
      <c r="DD87" s="122"/>
      <c r="DE87" s="122"/>
      <c r="DF87" s="122"/>
      <c r="DG87" s="122"/>
      <c r="DH87" s="122"/>
      <c r="DI87" s="122"/>
      <c r="DJ87" s="122"/>
      <c r="DK87" s="122"/>
      <c r="DL87" s="122"/>
      <c r="DM87" s="122"/>
      <c r="DN87" s="122"/>
      <c r="DO87" s="122"/>
      <c r="DP87" s="122"/>
      <c r="DQ87" s="122"/>
      <c r="DR87" s="122"/>
      <c r="DS87" s="122"/>
      <c r="DT87" s="122"/>
      <c r="DU87" s="122"/>
      <c r="DV87" s="122"/>
      <c r="DW87" s="122"/>
      <c r="DX87" s="122"/>
      <c r="DY87" s="122"/>
      <c r="DZ87" s="122"/>
      <c r="EA87" s="122"/>
      <c r="EB87" s="122"/>
      <c r="EC87" s="122"/>
      <c r="ED87" s="122"/>
      <c r="EE87" s="122"/>
      <c r="EF87" s="122"/>
      <c r="EG87" s="122"/>
      <c r="EH87" s="122"/>
      <c r="EI87" s="122"/>
      <c r="EJ87" s="122"/>
      <c r="EK87" s="122"/>
      <c r="EL87" s="122"/>
      <c r="EM87" s="122"/>
      <c r="EN87" s="122"/>
      <c r="EO87" s="122"/>
      <c r="EP87" s="122"/>
      <c r="EQ87" s="122"/>
      <c r="ER87" s="122"/>
      <c r="ES87" s="122"/>
      <c r="ET87" s="122"/>
      <c r="EU87" s="122"/>
      <c r="EV87" s="122"/>
      <c r="EW87" s="122"/>
      <c r="EX87" s="122"/>
      <c r="EY87" s="122"/>
      <c r="EZ87" s="122"/>
      <c r="FA87" s="122"/>
      <c r="FB87" s="122"/>
      <c r="FC87" s="122"/>
      <c r="FD87" s="122"/>
      <c r="FE87" s="122"/>
      <c r="FF87" s="122"/>
      <c r="FG87" s="122"/>
      <c r="FH87" s="122"/>
      <c r="FI87" s="122"/>
      <c r="FJ87" s="122"/>
      <c r="FK87" s="122"/>
      <c r="FL87" s="122"/>
      <c r="FM87" s="122"/>
      <c r="FN87" s="122"/>
      <c r="FO87" s="122"/>
      <c r="FP87" s="122"/>
      <c r="FQ87" s="122"/>
      <c r="FR87" s="122"/>
      <c r="FS87" s="122"/>
      <c r="FT87" s="122"/>
      <c r="FU87" s="122"/>
      <c r="FV87" s="122"/>
      <c r="FW87" s="122"/>
      <c r="FX87" s="122"/>
      <c r="FY87" s="122"/>
      <c r="FZ87" s="122"/>
      <c r="GA87" s="122"/>
      <c r="GB87" s="122"/>
      <c r="GC87" s="122"/>
      <c r="GD87" s="122"/>
      <c r="GE87" s="122"/>
      <c r="GF87" s="122"/>
      <c r="GG87" s="122"/>
      <c r="GH87" s="122"/>
      <c r="GI87" s="122"/>
    </row>
    <row r="88" spans="1:191" s="13" customFormat="1" ht="20.25" customHeight="1">
      <c r="A88" s="117"/>
      <c r="B88" s="124"/>
      <c r="C88" s="120"/>
      <c r="D88" s="121"/>
      <c r="E88" s="103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7"/>
      <c r="BT88" s="297"/>
      <c r="BU88" s="296"/>
      <c r="BV88" s="296"/>
      <c r="BW88" s="296"/>
      <c r="BX88" s="296"/>
      <c r="BY88" s="296"/>
      <c r="BZ88" s="296"/>
      <c r="CA88" s="296"/>
      <c r="CB88" s="296"/>
      <c r="CC88" s="296"/>
      <c r="CD88" s="296"/>
      <c r="CE88" s="122"/>
      <c r="CF88" s="122"/>
      <c r="CG88" s="122"/>
      <c r="CH88" s="122"/>
      <c r="CI88" s="122"/>
      <c r="CJ88" s="122"/>
      <c r="CK88" s="122"/>
      <c r="CL88" s="122"/>
      <c r="CM88" s="122"/>
      <c r="CN88" s="122"/>
      <c r="CO88" s="122"/>
      <c r="CP88" s="122"/>
      <c r="CQ88" s="122"/>
      <c r="CR88" s="122"/>
      <c r="CS88" s="122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22"/>
      <c r="DI88" s="122"/>
      <c r="DJ88" s="122"/>
      <c r="DK88" s="122"/>
      <c r="DL88" s="122"/>
      <c r="DM88" s="122"/>
      <c r="DN88" s="122"/>
      <c r="DO88" s="122"/>
      <c r="DP88" s="122"/>
      <c r="DQ88" s="122"/>
      <c r="DR88" s="122"/>
      <c r="DS88" s="122"/>
      <c r="DT88" s="122"/>
      <c r="DU88" s="122"/>
      <c r="DV88" s="122"/>
      <c r="DW88" s="122"/>
      <c r="DX88" s="122"/>
      <c r="DY88" s="122"/>
      <c r="DZ88" s="122"/>
      <c r="EA88" s="122"/>
      <c r="EB88" s="122"/>
      <c r="EC88" s="122"/>
      <c r="ED88" s="122"/>
      <c r="EE88" s="122"/>
      <c r="EF88" s="122"/>
      <c r="EG88" s="122"/>
      <c r="EH88" s="122"/>
      <c r="EI88" s="122"/>
      <c r="EJ88" s="122"/>
      <c r="EK88" s="122"/>
      <c r="EL88" s="122"/>
      <c r="EM88" s="122"/>
      <c r="EN88" s="122"/>
      <c r="EO88" s="122"/>
      <c r="EP88" s="122"/>
      <c r="EQ88" s="122"/>
      <c r="ER88" s="122"/>
      <c r="ES88" s="122"/>
      <c r="ET88" s="122"/>
      <c r="EU88" s="122"/>
      <c r="EV88" s="122"/>
      <c r="EW88" s="122"/>
      <c r="EX88" s="122"/>
      <c r="EY88" s="122"/>
      <c r="EZ88" s="122"/>
      <c r="FA88" s="122"/>
      <c r="FB88" s="122"/>
      <c r="FC88" s="122"/>
      <c r="FD88" s="122"/>
      <c r="FE88" s="122"/>
      <c r="FF88" s="122"/>
      <c r="FG88" s="122"/>
      <c r="FH88" s="122"/>
      <c r="FI88" s="122"/>
      <c r="FJ88" s="122"/>
      <c r="FK88" s="122"/>
      <c r="FL88" s="122"/>
      <c r="FM88" s="122"/>
      <c r="FN88" s="122"/>
      <c r="FO88" s="122"/>
      <c r="FP88" s="122"/>
      <c r="FQ88" s="122"/>
      <c r="FR88" s="122"/>
      <c r="FS88" s="122"/>
      <c r="FT88" s="122"/>
      <c r="FU88" s="122"/>
      <c r="FV88" s="122"/>
      <c r="FW88" s="122"/>
      <c r="FX88" s="122"/>
      <c r="FY88" s="122"/>
      <c r="FZ88" s="122"/>
      <c r="GA88" s="122"/>
      <c r="GB88" s="122"/>
      <c r="GC88" s="122"/>
      <c r="GD88" s="122"/>
      <c r="GE88" s="122"/>
      <c r="GF88" s="122"/>
      <c r="GG88" s="122"/>
      <c r="GH88" s="122"/>
      <c r="GI88" s="122"/>
    </row>
    <row r="89" spans="1:191" s="13" customFormat="1" ht="20.25" customHeight="1">
      <c r="A89" s="117">
        <v>41</v>
      </c>
      <c r="B89" s="124"/>
      <c r="C89" s="120"/>
      <c r="D89" s="102">
        <f t="shared" ref="D89" si="43">IFERROR(SUMPRODUCT(F89:HE89,$F$6:$HE$6)/100,0)</f>
        <v>0</v>
      </c>
      <c r="E89" s="103"/>
      <c r="F89" s="296"/>
      <c r="G89" s="296"/>
      <c r="H89" s="296"/>
      <c r="I89" s="296"/>
      <c r="J89" s="296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  <c r="Y89" s="296"/>
      <c r="Z89" s="296"/>
      <c r="AA89" s="296"/>
      <c r="AB89" s="296"/>
      <c r="AC89" s="296"/>
      <c r="AD89" s="296"/>
      <c r="AE89" s="296"/>
      <c r="AF89" s="296"/>
      <c r="AG89" s="296"/>
      <c r="AH89" s="296"/>
      <c r="AI89" s="296"/>
      <c r="AJ89" s="296"/>
      <c r="AK89" s="296"/>
      <c r="AL89" s="296"/>
      <c r="AM89" s="296"/>
      <c r="AN89" s="296"/>
      <c r="AO89" s="296"/>
      <c r="AP89" s="296"/>
      <c r="AQ89" s="296"/>
      <c r="AR89" s="296"/>
      <c r="AS89" s="296"/>
      <c r="AT89" s="296"/>
      <c r="AU89" s="296"/>
      <c r="AV89" s="296"/>
      <c r="AW89" s="296"/>
      <c r="AX89" s="296"/>
      <c r="AY89" s="296"/>
      <c r="AZ89" s="296"/>
      <c r="BA89" s="296"/>
      <c r="BB89" s="296"/>
      <c r="BC89" s="296"/>
      <c r="BD89" s="296"/>
      <c r="BE89" s="296"/>
      <c r="BF89" s="296"/>
      <c r="BG89" s="296"/>
      <c r="BH89" s="296"/>
      <c r="BI89" s="296"/>
      <c r="BJ89" s="296"/>
      <c r="BK89" s="296"/>
      <c r="BL89" s="296"/>
      <c r="BM89" s="296"/>
      <c r="BN89" s="296"/>
      <c r="BO89" s="296"/>
      <c r="BP89" s="296"/>
      <c r="BQ89" s="296"/>
      <c r="BR89" s="296"/>
      <c r="BS89" s="297"/>
      <c r="BT89" s="297"/>
      <c r="BU89" s="296"/>
      <c r="BV89" s="296"/>
      <c r="BW89" s="296"/>
      <c r="BX89" s="296"/>
      <c r="BY89" s="296"/>
      <c r="BZ89" s="296"/>
      <c r="CA89" s="296"/>
      <c r="CB89" s="296"/>
      <c r="CC89" s="296"/>
      <c r="CD89" s="296"/>
      <c r="CE89" s="122"/>
      <c r="CF89" s="122"/>
      <c r="CG89" s="122"/>
      <c r="CH89" s="122"/>
      <c r="CI89" s="122"/>
      <c r="CJ89" s="122"/>
      <c r="CK89" s="122"/>
      <c r="CL89" s="122"/>
      <c r="CM89" s="122"/>
      <c r="CN89" s="122"/>
      <c r="CO89" s="122"/>
      <c r="CP89" s="122"/>
      <c r="CQ89" s="122"/>
      <c r="CR89" s="122"/>
      <c r="CS89" s="122"/>
      <c r="CT89" s="122"/>
      <c r="CU89" s="122"/>
      <c r="CV89" s="122"/>
      <c r="CW89" s="122"/>
      <c r="CX89" s="122"/>
      <c r="CY89" s="122"/>
      <c r="CZ89" s="122"/>
      <c r="DA89" s="122"/>
      <c r="DB89" s="122"/>
      <c r="DC89" s="122"/>
      <c r="DD89" s="122"/>
      <c r="DE89" s="122"/>
      <c r="DF89" s="122"/>
      <c r="DG89" s="122"/>
      <c r="DH89" s="122"/>
      <c r="DI89" s="122"/>
      <c r="DJ89" s="122"/>
      <c r="DK89" s="122"/>
      <c r="DL89" s="122"/>
      <c r="DM89" s="122"/>
      <c r="DN89" s="122"/>
      <c r="DO89" s="122"/>
      <c r="DP89" s="122"/>
      <c r="DQ89" s="122"/>
      <c r="DR89" s="122"/>
      <c r="DS89" s="122"/>
      <c r="DT89" s="122"/>
      <c r="DU89" s="122"/>
      <c r="DV89" s="122"/>
      <c r="DW89" s="122"/>
      <c r="DX89" s="122"/>
      <c r="DY89" s="122"/>
      <c r="DZ89" s="122"/>
      <c r="EA89" s="122"/>
      <c r="EB89" s="122"/>
      <c r="EC89" s="122"/>
      <c r="ED89" s="122"/>
      <c r="EE89" s="122"/>
      <c r="EF89" s="122"/>
      <c r="EG89" s="122"/>
      <c r="EH89" s="122"/>
      <c r="EI89" s="122"/>
      <c r="EJ89" s="122"/>
      <c r="EK89" s="122"/>
      <c r="EL89" s="122"/>
      <c r="EM89" s="122"/>
      <c r="EN89" s="122"/>
      <c r="EO89" s="122"/>
      <c r="EP89" s="122"/>
      <c r="EQ89" s="122"/>
      <c r="ER89" s="122"/>
      <c r="ES89" s="122"/>
      <c r="ET89" s="122"/>
      <c r="EU89" s="122"/>
      <c r="EV89" s="122"/>
      <c r="EW89" s="122"/>
      <c r="EX89" s="122"/>
      <c r="EY89" s="122"/>
      <c r="EZ89" s="122"/>
      <c r="FA89" s="122"/>
      <c r="FB89" s="122"/>
      <c r="FC89" s="122"/>
      <c r="FD89" s="122"/>
      <c r="FE89" s="122"/>
      <c r="FF89" s="122"/>
      <c r="FG89" s="122"/>
      <c r="FH89" s="122"/>
      <c r="FI89" s="122"/>
      <c r="FJ89" s="122"/>
      <c r="FK89" s="122"/>
      <c r="FL89" s="122"/>
      <c r="FM89" s="122"/>
      <c r="FN89" s="122"/>
      <c r="FO89" s="122"/>
      <c r="FP89" s="122"/>
      <c r="FQ89" s="122"/>
      <c r="FR89" s="122"/>
      <c r="FS89" s="122"/>
      <c r="FT89" s="122"/>
      <c r="FU89" s="122"/>
      <c r="FV89" s="122"/>
      <c r="FW89" s="122"/>
      <c r="FX89" s="122"/>
      <c r="FY89" s="122"/>
      <c r="FZ89" s="122"/>
      <c r="GA89" s="122"/>
      <c r="GB89" s="122"/>
      <c r="GC89" s="122"/>
      <c r="GD89" s="122"/>
      <c r="GE89" s="122"/>
      <c r="GF89" s="122"/>
      <c r="GG89" s="122"/>
      <c r="GH89" s="122"/>
      <c r="GI89" s="122"/>
    </row>
    <row r="90" spans="1:191" s="13" customFormat="1" ht="20.25" customHeight="1">
      <c r="A90" s="117"/>
      <c r="B90" s="124"/>
      <c r="C90" s="120"/>
      <c r="D90" s="121"/>
      <c r="E90" s="103"/>
      <c r="F90" s="296"/>
      <c r="G90" s="296"/>
      <c r="H90" s="296"/>
      <c r="I90" s="296"/>
      <c r="J90" s="296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  <c r="AF90" s="296"/>
      <c r="AG90" s="296"/>
      <c r="AH90" s="296"/>
      <c r="AI90" s="296"/>
      <c r="AJ90" s="296"/>
      <c r="AK90" s="296"/>
      <c r="AL90" s="296"/>
      <c r="AM90" s="296"/>
      <c r="AN90" s="296"/>
      <c r="AO90" s="296"/>
      <c r="AP90" s="296"/>
      <c r="AQ90" s="296"/>
      <c r="AR90" s="296"/>
      <c r="AS90" s="296"/>
      <c r="AT90" s="296"/>
      <c r="AU90" s="296"/>
      <c r="AV90" s="296"/>
      <c r="AW90" s="296"/>
      <c r="AX90" s="296"/>
      <c r="AY90" s="296"/>
      <c r="AZ90" s="296"/>
      <c r="BA90" s="296"/>
      <c r="BB90" s="296"/>
      <c r="BC90" s="296"/>
      <c r="BD90" s="296"/>
      <c r="BE90" s="296"/>
      <c r="BF90" s="296"/>
      <c r="BG90" s="296"/>
      <c r="BH90" s="296"/>
      <c r="BI90" s="296"/>
      <c r="BJ90" s="296"/>
      <c r="BK90" s="296"/>
      <c r="BL90" s="296"/>
      <c r="BM90" s="296"/>
      <c r="BN90" s="296"/>
      <c r="BO90" s="296"/>
      <c r="BP90" s="296"/>
      <c r="BQ90" s="296"/>
      <c r="BR90" s="296"/>
      <c r="BS90" s="297"/>
      <c r="BT90" s="297"/>
      <c r="BU90" s="296"/>
      <c r="BV90" s="296"/>
      <c r="BW90" s="296"/>
      <c r="BX90" s="296"/>
      <c r="BY90" s="296"/>
      <c r="BZ90" s="296"/>
      <c r="CA90" s="296"/>
      <c r="CB90" s="296"/>
      <c r="CC90" s="296"/>
      <c r="CD90" s="296"/>
      <c r="CE90" s="122"/>
      <c r="CF90" s="122"/>
      <c r="CG90" s="122"/>
      <c r="CH90" s="122"/>
      <c r="CI90" s="122"/>
      <c r="CJ90" s="122"/>
      <c r="CK90" s="122"/>
      <c r="CL90" s="122"/>
      <c r="CM90" s="122"/>
      <c r="CN90" s="122"/>
      <c r="CO90" s="122"/>
      <c r="CP90" s="122"/>
      <c r="CQ90" s="122"/>
      <c r="CR90" s="122"/>
      <c r="CS90" s="122"/>
      <c r="CT90" s="122"/>
      <c r="CU90" s="122"/>
      <c r="CV90" s="122"/>
      <c r="CW90" s="122"/>
      <c r="CX90" s="122"/>
      <c r="CY90" s="122"/>
      <c r="CZ90" s="122"/>
      <c r="DA90" s="122"/>
      <c r="DB90" s="122"/>
      <c r="DC90" s="122"/>
      <c r="DD90" s="122"/>
      <c r="DE90" s="122"/>
      <c r="DF90" s="122"/>
      <c r="DG90" s="122"/>
      <c r="DH90" s="122"/>
      <c r="DI90" s="122"/>
      <c r="DJ90" s="122"/>
      <c r="DK90" s="122"/>
      <c r="DL90" s="122"/>
      <c r="DM90" s="122"/>
      <c r="DN90" s="122"/>
      <c r="DO90" s="122"/>
      <c r="DP90" s="122"/>
      <c r="DQ90" s="122"/>
      <c r="DR90" s="122"/>
      <c r="DS90" s="122"/>
      <c r="DT90" s="122"/>
      <c r="DU90" s="122"/>
      <c r="DV90" s="122"/>
      <c r="DW90" s="122"/>
      <c r="DX90" s="122"/>
      <c r="DY90" s="122"/>
      <c r="DZ90" s="122"/>
      <c r="EA90" s="122"/>
      <c r="EB90" s="122"/>
      <c r="EC90" s="122"/>
      <c r="ED90" s="122"/>
      <c r="EE90" s="122"/>
      <c r="EF90" s="122"/>
      <c r="EG90" s="122"/>
      <c r="EH90" s="122"/>
      <c r="EI90" s="122"/>
      <c r="EJ90" s="122"/>
      <c r="EK90" s="122"/>
      <c r="EL90" s="122"/>
      <c r="EM90" s="122"/>
      <c r="EN90" s="122"/>
      <c r="EO90" s="122"/>
      <c r="EP90" s="122"/>
      <c r="EQ90" s="122"/>
      <c r="ER90" s="122"/>
      <c r="ES90" s="122"/>
      <c r="ET90" s="122"/>
      <c r="EU90" s="122"/>
      <c r="EV90" s="122"/>
      <c r="EW90" s="122"/>
      <c r="EX90" s="122"/>
      <c r="EY90" s="122"/>
      <c r="EZ90" s="122"/>
      <c r="FA90" s="122"/>
      <c r="FB90" s="122"/>
      <c r="FC90" s="122"/>
      <c r="FD90" s="122"/>
      <c r="FE90" s="122"/>
      <c r="FF90" s="122"/>
      <c r="FG90" s="122"/>
      <c r="FH90" s="122"/>
      <c r="FI90" s="122"/>
      <c r="FJ90" s="122"/>
      <c r="FK90" s="122"/>
      <c r="FL90" s="122"/>
      <c r="FM90" s="122"/>
      <c r="FN90" s="122"/>
      <c r="FO90" s="122"/>
      <c r="FP90" s="122"/>
      <c r="FQ90" s="122"/>
      <c r="FR90" s="122"/>
      <c r="FS90" s="122"/>
      <c r="FT90" s="122"/>
      <c r="FU90" s="122"/>
      <c r="FV90" s="122"/>
      <c r="FW90" s="122"/>
      <c r="FX90" s="122"/>
      <c r="FY90" s="122"/>
      <c r="FZ90" s="122"/>
      <c r="GA90" s="122"/>
      <c r="GB90" s="122"/>
      <c r="GC90" s="122"/>
      <c r="GD90" s="122"/>
      <c r="GE90" s="122"/>
      <c r="GF90" s="122"/>
      <c r="GG90" s="122"/>
      <c r="GH90" s="122"/>
      <c r="GI90" s="122"/>
    </row>
    <row r="91" spans="1:191" s="13" customFormat="1" ht="20.25" customHeight="1">
      <c r="A91" s="117">
        <v>42</v>
      </c>
      <c r="B91" s="124"/>
      <c r="C91" s="130"/>
      <c r="D91" s="102">
        <f t="shared" ref="D91" si="44">IFERROR(SUMPRODUCT(F91:HE91,$F$6:$HE$6)/100,0)</f>
        <v>0</v>
      </c>
      <c r="E91" s="103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96"/>
      <c r="AB91" s="296"/>
      <c r="AC91" s="296"/>
      <c r="AD91" s="296"/>
      <c r="AE91" s="296"/>
      <c r="AF91" s="296"/>
      <c r="AG91" s="296"/>
      <c r="AH91" s="296"/>
      <c r="AI91" s="296"/>
      <c r="AJ91" s="296"/>
      <c r="AK91" s="296"/>
      <c r="AL91" s="296"/>
      <c r="AM91" s="296"/>
      <c r="AN91" s="296"/>
      <c r="AO91" s="296"/>
      <c r="AP91" s="296"/>
      <c r="AQ91" s="296"/>
      <c r="AR91" s="296"/>
      <c r="AS91" s="296"/>
      <c r="AT91" s="296"/>
      <c r="AU91" s="296"/>
      <c r="AV91" s="296"/>
      <c r="AW91" s="296"/>
      <c r="AX91" s="296"/>
      <c r="AY91" s="296"/>
      <c r="AZ91" s="296"/>
      <c r="BA91" s="296"/>
      <c r="BB91" s="296"/>
      <c r="BC91" s="296"/>
      <c r="BD91" s="296"/>
      <c r="BE91" s="296"/>
      <c r="BF91" s="296"/>
      <c r="BG91" s="296"/>
      <c r="BH91" s="296"/>
      <c r="BI91" s="296"/>
      <c r="BJ91" s="296"/>
      <c r="BK91" s="296"/>
      <c r="BL91" s="296"/>
      <c r="BM91" s="296"/>
      <c r="BN91" s="296"/>
      <c r="BO91" s="296"/>
      <c r="BP91" s="296"/>
      <c r="BQ91" s="296"/>
      <c r="BR91" s="296"/>
      <c r="BS91" s="297"/>
      <c r="BT91" s="297"/>
      <c r="BU91" s="296"/>
      <c r="BV91" s="296"/>
      <c r="BW91" s="296"/>
      <c r="BX91" s="296"/>
      <c r="BY91" s="296"/>
      <c r="BZ91" s="296"/>
      <c r="CA91" s="296"/>
      <c r="CB91" s="296"/>
      <c r="CC91" s="296"/>
      <c r="CD91" s="296"/>
      <c r="CE91" s="122"/>
      <c r="CF91" s="122"/>
      <c r="CG91" s="122"/>
      <c r="CH91" s="122"/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22"/>
      <c r="CT91" s="122"/>
      <c r="CU91" s="122"/>
      <c r="CV91" s="122"/>
      <c r="CW91" s="122"/>
      <c r="CX91" s="122"/>
      <c r="CY91" s="122"/>
      <c r="CZ91" s="122"/>
      <c r="DA91" s="122"/>
      <c r="DB91" s="122"/>
      <c r="DC91" s="122"/>
      <c r="DD91" s="122"/>
      <c r="DE91" s="122"/>
      <c r="DF91" s="122"/>
      <c r="DG91" s="122"/>
      <c r="DH91" s="122"/>
      <c r="DI91" s="122"/>
      <c r="DJ91" s="122"/>
      <c r="DK91" s="122"/>
      <c r="DL91" s="122"/>
      <c r="DM91" s="122"/>
      <c r="DN91" s="122"/>
      <c r="DO91" s="122"/>
      <c r="DP91" s="122"/>
      <c r="DQ91" s="122"/>
      <c r="DR91" s="122"/>
      <c r="DS91" s="122"/>
      <c r="DT91" s="122"/>
      <c r="DU91" s="122"/>
      <c r="DV91" s="122"/>
      <c r="DW91" s="122"/>
      <c r="DX91" s="122"/>
      <c r="DY91" s="122"/>
      <c r="DZ91" s="122"/>
      <c r="EA91" s="122"/>
      <c r="EB91" s="122"/>
      <c r="EC91" s="122"/>
      <c r="ED91" s="122"/>
      <c r="EE91" s="122"/>
      <c r="EF91" s="122"/>
      <c r="EG91" s="122"/>
      <c r="EH91" s="122"/>
      <c r="EI91" s="122"/>
      <c r="EJ91" s="122"/>
      <c r="EK91" s="122"/>
      <c r="EL91" s="122"/>
      <c r="EM91" s="122"/>
      <c r="EN91" s="122"/>
      <c r="EO91" s="122"/>
      <c r="EP91" s="122"/>
      <c r="EQ91" s="122"/>
      <c r="ER91" s="122"/>
      <c r="ES91" s="122"/>
      <c r="ET91" s="122"/>
      <c r="EU91" s="122"/>
      <c r="EV91" s="122"/>
      <c r="EW91" s="122"/>
      <c r="EX91" s="122"/>
      <c r="EY91" s="122"/>
      <c r="EZ91" s="122"/>
      <c r="FA91" s="122"/>
      <c r="FB91" s="122"/>
      <c r="FC91" s="122"/>
      <c r="FD91" s="122"/>
      <c r="FE91" s="122"/>
      <c r="FF91" s="122"/>
      <c r="FG91" s="122"/>
      <c r="FH91" s="122"/>
      <c r="FI91" s="122"/>
      <c r="FJ91" s="122"/>
      <c r="FK91" s="122"/>
      <c r="FL91" s="122"/>
      <c r="FM91" s="122"/>
      <c r="FN91" s="122"/>
      <c r="FO91" s="122"/>
      <c r="FP91" s="122"/>
      <c r="FQ91" s="122"/>
      <c r="FR91" s="122"/>
      <c r="FS91" s="122"/>
      <c r="FT91" s="122"/>
      <c r="FU91" s="122"/>
      <c r="FV91" s="122"/>
      <c r="FW91" s="122"/>
      <c r="FX91" s="122"/>
      <c r="FY91" s="122"/>
      <c r="FZ91" s="122"/>
      <c r="GA91" s="122"/>
      <c r="GB91" s="122"/>
      <c r="GC91" s="122"/>
      <c r="GD91" s="122"/>
      <c r="GE91" s="122"/>
      <c r="GF91" s="122"/>
      <c r="GG91" s="122"/>
      <c r="GH91" s="122"/>
      <c r="GI91" s="122"/>
    </row>
    <row r="92" spans="1:191" s="13" customFormat="1" ht="20.25" customHeight="1">
      <c r="A92" s="117"/>
      <c r="B92" s="124"/>
      <c r="C92" s="120"/>
      <c r="D92" s="121"/>
      <c r="E92" s="103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6"/>
      <c r="AR92" s="296"/>
      <c r="AS92" s="296"/>
      <c r="AT92" s="296"/>
      <c r="AU92" s="296"/>
      <c r="AV92" s="296"/>
      <c r="AW92" s="296"/>
      <c r="AX92" s="296"/>
      <c r="AY92" s="296"/>
      <c r="AZ92" s="296"/>
      <c r="BA92" s="296"/>
      <c r="BB92" s="296"/>
      <c r="BC92" s="296"/>
      <c r="BD92" s="296"/>
      <c r="BE92" s="296"/>
      <c r="BF92" s="296"/>
      <c r="BG92" s="296"/>
      <c r="BH92" s="296"/>
      <c r="BI92" s="296"/>
      <c r="BJ92" s="296"/>
      <c r="BK92" s="296"/>
      <c r="BL92" s="296"/>
      <c r="BM92" s="296"/>
      <c r="BN92" s="296"/>
      <c r="BO92" s="296"/>
      <c r="BP92" s="296"/>
      <c r="BQ92" s="296"/>
      <c r="BR92" s="296"/>
      <c r="BS92" s="297"/>
      <c r="BT92" s="297"/>
      <c r="BU92" s="296"/>
      <c r="BV92" s="296"/>
      <c r="BW92" s="296"/>
      <c r="BX92" s="296"/>
      <c r="BY92" s="296"/>
      <c r="BZ92" s="296"/>
      <c r="CA92" s="296"/>
      <c r="CB92" s="296"/>
      <c r="CC92" s="296"/>
      <c r="CD92" s="299"/>
      <c r="CE92" s="122"/>
      <c r="CF92" s="122"/>
      <c r="CG92" s="122"/>
      <c r="CH92" s="122"/>
      <c r="CI92" s="122"/>
      <c r="CJ92" s="122"/>
      <c r="CK92" s="122"/>
      <c r="CL92" s="122"/>
      <c r="CM92" s="122"/>
      <c r="CN92" s="122"/>
      <c r="CO92" s="122"/>
      <c r="CP92" s="122"/>
      <c r="CQ92" s="122"/>
      <c r="CR92" s="122"/>
      <c r="CS92" s="122"/>
      <c r="CT92" s="122"/>
      <c r="CU92" s="122"/>
      <c r="CV92" s="122"/>
      <c r="CW92" s="122"/>
      <c r="CX92" s="122"/>
      <c r="CY92" s="122"/>
      <c r="CZ92" s="122"/>
      <c r="DA92" s="122"/>
      <c r="DB92" s="122"/>
      <c r="DC92" s="122"/>
      <c r="DD92" s="122"/>
      <c r="DE92" s="122"/>
      <c r="DF92" s="122"/>
      <c r="DG92" s="122"/>
      <c r="DH92" s="122"/>
      <c r="DI92" s="122"/>
      <c r="DJ92" s="122"/>
      <c r="DK92" s="122"/>
      <c r="DL92" s="122"/>
      <c r="DM92" s="122"/>
      <c r="DN92" s="122"/>
      <c r="DO92" s="122"/>
      <c r="DP92" s="122"/>
      <c r="DQ92" s="122"/>
      <c r="DR92" s="122"/>
      <c r="DS92" s="122"/>
      <c r="DT92" s="122"/>
      <c r="DU92" s="122"/>
      <c r="DV92" s="122"/>
      <c r="DW92" s="122"/>
      <c r="DX92" s="122"/>
      <c r="DY92" s="122"/>
      <c r="DZ92" s="122"/>
      <c r="EA92" s="122"/>
      <c r="EB92" s="122"/>
      <c r="EC92" s="122"/>
      <c r="ED92" s="122"/>
      <c r="EE92" s="122"/>
      <c r="EF92" s="122"/>
      <c r="EG92" s="122"/>
      <c r="EH92" s="122"/>
      <c r="EI92" s="122"/>
      <c r="EJ92" s="122"/>
      <c r="EK92" s="122"/>
      <c r="EL92" s="122"/>
      <c r="EM92" s="122"/>
      <c r="EN92" s="122"/>
      <c r="EO92" s="122"/>
      <c r="EP92" s="122"/>
      <c r="EQ92" s="122"/>
      <c r="ER92" s="122"/>
      <c r="ES92" s="122"/>
      <c r="ET92" s="122"/>
      <c r="EU92" s="122"/>
      <c r="EV92" s="122"/>
      <c r="EW92" s="122"/>
      <c r="EX92" s="122"/>
      <c r="EY92" s="122"/>
      <c r="EZ92" s="122"/>
      <c r="FA92" s="122"/>
      <c r="FB92" s="122"/>
      <c r="FC92" s="122"/>
      <c r="FD92" s="122"/>
      <c r="FE92" s="122"/>
      <c r="FF92" s="122"/>
      <c r="FG92" s="122"/>
      <c r="FH92" s="122"/>
      <c r="FI92" s="122"/>
      <c r="FJ92" s="122"/>
      <c r="FK92" s="122"/>
      <c r="FL92" s="122"/>
      <c r="FM92" s="122"/>
      <c r="FN92" s="122"/>
      <c r="FO92" s="122"/>
      <c r="FP92" s="122"/>
      <c r="FQ92" s="122"/>
      <c r="FR92" s="122"/>
      <c r="FS92" s="122"/>
      <c r="FT92" s="122"/>
      <c r="FU92" s="122"/>
      <c r="FV92" s="122"/>
      <c r="FW92" s="122"/>
      <c r="FX92" s="122"/>
      <c r="FY92" s="122"/>
      <c r="FZ92" s="122"/>
      <c r="GA92" s="122"/>
      <c r="GB92" s="122"/>
      <c r="GC92" s="122"/>
      <c r="GD92" s="122"/>
      <c r="GE92" s="122"/>
      <c r="GF92" s="122"/>
      <c r="GG92" s="122"/>
      <c r="GH92" s="122"/>
      <c r="GI92" s="122"/>
    </row>
    <row r="93" spans="1:191" s="13" customFormat="1" ht="20.25" customHeight="1">
      <c r="A93" s="117">
        <v>43</v>
      </c>
      <c r="B93" s="124"/>
      <c r="C93" s="130"/>
      <c r="D93" s="102">
        <f t="shared" ref="D93" si="45">IFERROR(SUMPRODUCT(F93:HE93,$F$6:$HE$6)/100,0)</f>
        <v>0</v>
      </c>
      <c r="E93" s="103"/>
      <c r="F93" s="296"/>
      <c r="G93" s="296"/>
      <c r="H93" s="296"/>
      <c r="I93" s="296"/>
      <c r="J93" s="296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6"/>
      <c r="AR93" s="296"/>
      <c r="AS93" s="296"/>
      <c r="AT93" s="296"/>
      <c r="AU93" s="296"/>
      <c r="AV93" s="296"/>
      <c r="AW93" s="296"/>
      <c r="AX93" s="296"/>
      <c r="AY93" s="296"/>
      <c r="AZ93" s="296"/>
      <c r="BA93" s="296"/>
      <c r="BB93" s="296"/>
      <c r="BC93" s="296"/>
      <c r="BD93" s="296"/>
      <c r="BE93" s="296"/>
      <c r="BF93" s="296"/>
      <c r="BG93" s="296"/>
      <c r="BH93" s="296"/>
      <c r="BI93" s="296"/>
      <c r="BJ93" s="296"/>
      <c r="BK93" s="296"/>
      <c r="BL93" s="296"/>
      <c r="BM93" s="296"/>
      <c r="BN93" s="296"/>
      <c r="BO93" s="296"/>
      <c r="BP93" s="296"/>
      <c r="BQ93" s="296"/>
      <c r="BR93" s="296"/>
      <c r="BS93" s="297"/>
      <c r="BT93" s="297"/>
      <c r="BU93" s="297"/>
      <c r="BV93" s="297"/>
      <c r="BW93" s="296"/>
      <c r="BX93" s="296"/>
      <c r="BY93" s="296"/>
      <c r="BZ93" s="296"/>
      <c r="CA93" s="296"/>
      <c r="CB93" s="296"/>
      <c r="CC93" s="296"/>
      <c r="CD93" s="296"/>
      <c r="CE93" s="122"/>
      <c r="CF93" s="122"/>
      <c r="CG93" s="122"/>
      <c r="CH93" s="122"/>
      <c r="CI93" s="122"/>
      <c r="CJ93" s="122"/>
      <c r="CK93" s="122"/>
      <c r="CL93" s="122"/>
      <c r="CM93" s="122"/>
      <c r="CN93" s="122"/>
      <c r="CO93" s="122"/>
      <c r="CP93" s="122"/>
      <c r="CQ93" s="122"/>
      <c r="CR93" s="122"/>
      <c r="CS93" s="122"/>
      <c r="CT93" s="122"/>
      <c r="CU93" s="122"/>
      <c r="CV93" s="122"/>
      <c r="CW93" s="122"/>
      <c r="CX93" s="122"/>
      <c r="CY93" s="122"/>
      <c r="CZ93" s="122"/>
      <c r="DA93" s="122"/>
      <c r="DB93" s="122"/>
      <c r="DC93" s="122"/>
      <c r="DD93" s="122"/>
      <c r="DE93" s="122"/>
      <c r="DF93" s="122"/>
      <c r="DG93" s="122"/>
      <c r="DH93" s="122"/>
      <c r="DI93" s="122"/>
      <c r="DJ93" s="122"/>
      <c r="DK93" s="122"/>
      <c r="DL93" s="122"/>
      <c r="DM93" s="122"/>
      <c r="DN93" s="122"/>
      <c r="DO93" s="122"/>
      <c r="DP93" s="122"/>
      <c r="DQ93" s="122"/>
      <c r="DR93" s="122"/>
      <c r="DS93" s="122"/>
      <c r="DT93" s="122"/>
      <c r="DU93" s="122"/>
      <c r="DV93" s="122"/>
      <c r="DW93" s="122"/>
      <c r="DX93" s="122"/>
      <c r="DY93" s="122"/>
      <c r="DZ93" s="122"/>
      <c r="EA93" s="122"/>
      <c r="EB93" s="122"/>
      <c r="EC93" s="122"/>
      <c r="ED93" s="122"/>
      <c r="EE93" s="122"/>
      <c r="EF93" s="122"/>
      <c r="EG93" s="122"/>
      <c r="EH93" s="122"/>
      <c r="EI93" s="122"/>
      <c r="EJ93" s="122"/>
      <c r="EK93" s="122"/>
      <c r="EL93" s="122"/>
      <c r="EM93" s="122"/>
      <c r="EN93" s="122"/>
      <c r="EO93" s="122"/>
      <c r="EP93" s="122"/>
      <c r="EQ93" s="122"/>
      <c r="ER93" s="122"/>
      <c r="ES93" s="122"/>
      <c r="ET93" s="122"/>
      <c r="EU93" s="122"/>
      <c r="EV93" s="122"/>
      <c r="EW93" s="122"/>
      <c r="EX93" s="122"/>
      <c r="EY93" s="122"/>
      <c r="EZ93" s="122"/>
      <c r="FA93" s="122"/>
      <c r="FB93" s="122"/>
      <c r="FC93" s="122"/>
      <c r="FD93" s="122"/>
      <c r="FE93" s="122"/>
      <c r="FF93" s="122"/>
      <c r="FG93" s="122"/>
      <c r="FH93" s="122"/>
      <c r="FI93" s="122"/>
      <c r="FJ93" s="122"/>
      <c r="FK93" s="122"/>
      <c r="FL93" s="122"/>
      <c r="FM93" s="122"/>
      <c r="FN93" s="122"/>
      <c r="FO93" s="122"/>
      <c r="FP93" s="122"/>
      <c r="FQ93" s="122"/>
      <c r="FR93" s="122"/>
      <c r="FS93" s="122"/>
      <c r="FT93" s="122"/>
      <c r="FU93" s="122"/>
      <c r="FV93" s="122"/>
      <c r="FW93" s="122"/>
      <c r="FX93" s="122"/>
      <c r="FY93" s="122"/>
      <c r="FZ93" s="122"/>
      <c r="GA93" s="122"/>
      <c r="GB93" s="122"/>
      <c r="GC93" s="122"/>
      <c r="GD93" s="122"/>
      <c r="GE93" s="122"/>
      <c r="GF93" s="122"/>
      <c r="GG93" s="122"/>
      <c r="GH93" s="122"/>
      <c r="GI93" s="122"/>
    </row>
    <row r="94" spans="1:191" s="13" customFormat="1" ht="20.25" customHeight="1">
      <c r="A94" s="117"/>
      <c r="B94" s="124"/>
      <c r="C94" s="120"/>
      <c r="D94" s="121"/>
      <c r="E94" s="103"/>
      <c r="F94" s="296"/>
      <c r="G94" s="296"/>
      <c r="H94" s="296"/>
      <c r="I94" s="296"/>
      <c r="J94" s="296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6"/>
      <c r="AR94" s="296"/>
      <c r="AS94" s="296"/>
      <c r="AT94" s="296"/>
      <c r="AU94" s="296"/>
      <c r="AV94" s="296"/>
      <c r="AW94" s="296"/>
      <c r="AX94" s="296"/>
      <c r="AY94" s="296"/>
      <c r="AZ94" s="296"/>
      <c r="BA94" s="296"/>
      <c r="BB94" s="296"/>
      <c r="BC94" s="296"/>
      <c r="BD94" s="296"/>
      <c r="BE94" s="296"/>
      <c r="BF94" s="296"/>
      <c r="BG94" s="296"/>
      <c r="BH94" s="296"/>
      <c r="BI94" s="296"/>
      <c r="BJ94" s="296"/>
      <c r="BK94" s="296"/>
      <c r="BL94" s="296"/>
      <c r="BM94" s="296"/>
      <c r="BN94" s="296"/>
      <c r="BO94" s="296"/>
      <c r="BP94" s="296"/>
      <c r="BQ94" s="296"/>
      <c r="BR94" s="296"/>
      <c r="BS94" s="297"/>
      <c r="BT94" s="297"/>
      <c r="BU94" s="296"/>
      <c r="BV94" s="296"/>
      <c r="BW94" s="296"/>
      <c r="BX94" s="296"/>
      <c r="BY94" s="296"/>
      <c r="BZ94" s="296"/>
      <c r="CA94" s="296"/>
      <c r="CB94" s="296"/>
      <c r="CC94" s="296"/>
      <c r="CD94" s="296"/>
      <c r="CE94" s="122"/>
      <c r="CF94" s="122"/>
      <c r="CG94" s="122"/>
      <c r="CH94" s="122"/>
      <c r="CI94" s="122"/>
      <c r="CJ94" s="122"/>
      <c r="CK94" s="122"/>
      <c r="CL94" s="122"/>
      <c r="CM94" s="122"/>
      <c r="CN94" s="122"/>
      <c r="CO94" s="122"/>
      <c r="CP94" s="122"/>
      <c r="CQ94" s="122"/>
      <c r="CR94" s="122"/>
      <c r="CS94" s="122"/>
      <c r="CT94" s="122"/>
      <c r="CU94" s="122"/>
      <c r="CV94" s="122"/>
      <c r="CW94" s="122"/>
      <c r="CX94" s="122"/>
      <c r="CY94" s="122"/>
      <c r="CZ94" s="122"/>
      <c r="DA94" s="122"/>
      <c r="DB94" s="122"/>
      <c r="DC94" s="122"/>
      <c r="DD94" s="122"/>
      <c r="DE94" s="122"/>
      <c r="DF94" s="122"/>
      <c r="DG94" s="122"/>
      <c r="DH94" s="122"/>
      <c r="DI94" s="122"/>
      <c r="DJ94" s="122"/>
      <c r="DK94" s="122"/>
      <c r="DL94" s="122"/>
      <c r="DM94" s="122"/>
      <c r="DN94" s="122"/>
      <c r="DO94" s="122"/>
      <c r="DP94" s="122"/>
      <c r="DQ94" s="122"/>
      <c r="DR94" s="122"/>
      <c r="DS94" s="122"/>
      <c r="DT94" s="122"/>
      <c r="DU94" s="122"/>
      <c r="DV94" s="122"/>
      <c r="DW94" s="122"/>
      <c r="DX94" s="122"/>
      <c r="DY94" s="122"/>
      <c r="DZ94" s="122"/>
      <c r="EA94" s="122"/>
      <c r="EB94" s="122"/>
      <c r="EC94" s="122"/>
      <c r="ED94" s="122"/>
      <c r="EE94" s="122"/>
      <c r="EF94" s="122"/>
      <c r="EG94" s="122"/>
      <c r="EH94" s="122"/>
      <c r="EI94" s="122"/>
      <c r="EJ94" s="122"/>
      <c r="EK94" s="122"/>
      <c r="EL94" s="122"/>
      <c r="EM94" s="122"/>
      <c r="EN94" s="122"/>
      <c r="EO94" s="122"/>
      <c r="EP94" s="122"/>
      <c r="EQ94" s="122"/>
      <c r="ER94" s="122"/>
      <c r="ES94" s="122"/>
      <c r="ET94" s="122"/>
      <c r="EU94" s="122"/>
      <c r="EV94" s="122"/>
      <c r="EW94" s="122"/>
      <c r="EX94" s="122"/>
      <c r="EY94" s="122"/>
      <c r="EZ94" s="122"/>
      <c r="FA94" s="122"/>
      <c r="FB94" s="122"/>
      <c r="FC94" s="122"/>
      <c r="FD94" s="122"/>
      <c r="FE94" s="122"/>
      <c r="FF94" s="122"/>
      <c r="FG94" s="122"/>
      <c r="FH94" s="122"/>
      <c r="FI94" s="122"/>
      <c r="FJ94" s="122"/>
      <c r="FK94" s="122"/>
      <c r="FL94" s="122"/>
      <c r="FM94" s="122"/>
      <c r="FN94" s="122"/>
      <c r="FO94" s="122"/>
      <c r="FP94" s="122"/>
      <c r="FQ94" s="122"/>
      <c r="FR94" s="122"/>
      <c r="FS94" s="122"/>
      <c r="FT94" s="122"/>
      <c r="FU94" s="122"/>
      <c r="FV94" s="122"/>
      <c r="FW94" s="122"/>
      <c r="FX94" s="122"/>
      <c r="FY94" s="122"/>
      <c r="FZ94" s="122"/>
      <c r="GA94" s="122"/>
      <c r="GB94" s="122"/>
      <c r="GC94" s="122"/>
      <c r="GD94" s="122"/>
      <c r="GE94" s="122"/>
      <c r="GF94" s="122"/>
      <c r="GG94" s="122"/>
      <c r="GH94" s="122"/>
      <c r="GI94" s="122"/>
    </row>
    <row r="95" spans="1:191" s="13" customFormat="1" ht="20.25" customHeight="1">
      <c r="A95" s="117">
        <v>44</v>
      </c>
      <c r="B95" s="124"/>
      <c r="C95" s="130"/>
      <c r="D95" s="102">
        <f t="shared" ref="D95" si="46">IFERROR(SUMPRODUCT(F95:HE95,$F$6:$HE$6)/100,0)</f>
        <v>0</v>
      </c>
      <c r="E95" s="103"/>
      <c r="F95" s="296"/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6"/>
      <c r="AR95" s="296"/>
      <c r="AS95" s="296"/>
      <c r="AT95" s="296"/>
      <c r="AU95" s="296"/>
      <c r="AV95" s="296"/>
      <c r="AW95" s="296"/>
      <c r="AX95" s="296"/>
      <c r="AY95" s="296"/>
      <c r="AZ95" s="296"/>
      <c r="BA95" s="296"/>
      <c r="BB95" s="296"/>
      <c r="BC95" s="296"/>
      <c r="BD95" s="296"/>
      <c r="BE95" s="296"/>
      <c r="BF95" s="296"/>
      <c r="BG95" s="296"/>
      <c r="BH95" s="296"/>
      <c r="BI95" s="296"/>
      <c r="BJ95" s="296"/>
      <c r="BK95" s="296"/>
      <c r="BL95" s="296"/>
      <c r="BM95" s="296"/>
      <c r="BN95" s="296"/>
      <c r="BO95" s="296"/>
      <c r="BP95" s="296"/>
      <c r="BQ95" s="296"/>
      <c r="BR95" s="296"/>
      <c r="BS95" s="297"/>
      <c r="BT95" s="297"/>
      <c r="BU95" s="296"/>
      <c r="BV95" s="296"/>
      <c r="BW95" s="296"/>
      <c r="BX95" s="296"/>
      <c r="BY95" s="296"/>
      <c r="BZ95" s="296"/>
      <c r="CA95" s="296"/>
      <c r="CB95" s="296"/>
      <c r="CC95" s="296"/>
      <c r="CD95" s="296"/>
      <c r="CE95" s="122"/>
      <c r="CF95" s="122"/>
      <c r="CG95" s="122"/>
      <c r="CH95" s="122"/>
      <c r="CI95" s="122"/>
      <c r="CJ95" s="122"/>
      <c r="CK95" s="122"/>
      <c r="CL95" s="122"/>
      <c r="CM95" s="122"/>
      <c r="CN95" s="122"/>
      <c r="CO95" s="122"/>
      <c r="CP95" s="122"/>
      <c r="CQ95" s="122"/>
      <c r="CR95" s="122"/>
      <c r="CS95" s="122"/>
      <c r="CT95" s="122"/>
      <c r="CU95" s="122"/>
      <c r="CV95" s="122"/>
      <c r="CW95" s="122"/>
      <c r="CX95" s="122"/>
      <c r="CY95" s="122"/>
      <c r="CZ95" s="122"/>
      <c r="DA95" s="122"/>
      <c r="DB95" s="122"/>
      <c r="DC95" s="122"/>
      <c r="DD95" s="122"/>
      <c r="DE95" s="122"/>
      <c r="DF95" s="122"/>
      <c r="DG95" s="122"/>
      <c r="DH95" s="122"/>
      <c r="DI95" s="122"/>
      <c r="DJ95" s="122"/>
      <c r="DK95" s="122"/>
      <c r="DL95" s="122"/>
      <c r="DM95" s="122"/>
      <c r="DN95" s="122"/>
      <c r="DO95" s="122"/>
      <c r="DP95" s="122"/>
      <c r="DQ95" s="122"/>
      <c r="DR95" s="122"/>
      <c r="DS95" s="122"/>
      <c r="DT95" s="122"/>
      <c r="DU95" s="122"/>
      <c r="DV95" s="122"/>
      <c r="DW95" s="122"/>
      <c r="DX95" s="122"/>
      <c r="DY95" s="122"/>
      <c r="DZ95" s="122"/>
      <c r="EA95" s="122"/>
      <c r="EB95" s="122"/>
      <c r="EC95" s="122"/>
      <c r="ED95" s="122"/>
      <c r="EE95" s="122"/>
      <c r="EF95" s="122"/>
      <c r="EG95" s="122"/>
      <c r="EH95" s="122"/>
      <c r="EI95" s="122"/>
      <c r="EJ95" s="122"/>
      <c r="EK95" s="122"/>
      <c r="EL95" s="122"/>
      <c r="EM95" s="122"/>
      <c r="EN95" s="122"/>
      <c r="EO95" s="122"/>
      <c r="EP95" s="122"/>
      <c r="EQ95" s="122"/>
      <c r="ER95" s="122"/>
      <c r="ES95" s="122"/>
      <c r="ET95" s="122"/>
      <c r="EU95" s="122"/>
      <c r="EV95" s="122"/>
      <c r="EW95" s="122"/>
      <c r="EX95" s="122"/>
      <c r="EY95" s="122"/>
      <c r="EZ95" s="122"/>
      <c r="FA95" s="122"/>
      <c r="FB95" s="122"/>
      <c r="FC95" s="122"/>
      <c r="FD95" s="122"/>
      <c r="FE95" s="122"/>
      <c r="FF95" s="122"/>
      <c r="FG95" s="122"/>
      <c r="FH95" s="122"/>
      <c r="FI95" s="122"/>
      <c r="FJ95" s="122"/>
      <c r="FK95" s="122"/>
      <c r="FL95" s="122"/>
      <c r="FM95" s="122"/>
      <c r="FN95" s="122"/>
      <c r="FO95" s="122"/>
      <c r="FP95" s="122"/>
      <c r="FQ95" s="122"/>
      <c r="FR95" s="122"/>
      <c r="FS95" s="122"/>
      <c r="FT95" s="122"/>
      <c r="FU95" s="122"/>
      <c r="FV95" s="122"/>
      <c r="FW95" s="122"/>
      <c r="FX95" s="122"/>
      <c r="FY95" s="122"/>
      <c r="FZ95" s="122"/>
      <c r="GA95" s="122"/>
      <c r="GB95" s="122"/>
      <c r="GC95" s="122"/>
      <c r="GD95" s="122"/>
      <c r="GE95" s="122"/>
      <c r="GF95" s="122"/>
      <c r="GG95" s="122"/>
      <c r="GH95" s="122"/>
      <c r="GI95" s="122"/>
    </row>
    <row r="96" spans="1:191" s="13" customFormat="1" ht="20.25" customHeight="1">
      <c r="A96" s="117"/>
      <c r="B96" s="124"/>
      <c r="C96" s="120"/>
      <c r="D96" s="121"/>
      <c r="E96" s="103"/>
      <c r="F96" s="296"/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9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6"/>
      <c r="AR96" s="296"/>
      <c r="AS96" s="296"/>
      <c r="AT96" s="296"/>
      <c r="AU96" s="296"/>
      <c r="AV96" s="296"/>
      <c r="AW96" s="296"/>
      <c r="AX96" s="296"/>
      <c r="AY96" s="296"/>
      <c r="AZ96" s="296"/>
      <c r="BA96" s="296"/>
      <c r="BB96" s="296"/>
      <c r="BC96" s="296"/>
      <c r="BD96" s="296"/>
      <c r="BE96" s="296"/>
      <c r="BF96" s="296"/>
      <c r="BG96" s="296"/>
      <c r="BH96" s="296"/>
      <c r="BI96" s="296"/>
      <c r="BJ96" s="296"/>
      <c r="BK96" s="296"/>
      <c r="BL96" s="296"/>
      <c r="BM96" s="296"/>
      <c r="BN96" s="296"/>
      <c r="BO96" s="296"/>
      <c r="BP96" s="296"/>
      <c r="BQ96" s="296"/>
      <c r="BR96" s="296"/>
      <c r="BS96" s="297"/>
      <c r="BT96" s="297"/>
      <c r="BU96" s="296"/>
      <c r="BV96" s="296"/>
      <c r="BW96" s="296"/>
      <c r="BX96" s="296"/>
      <c r="BY96" s="296"/>
      <c r="BZ96" s="296"/>
      <c r="CA96" s="296"/>
      <c r="CB96" s="296"/>
      <c r="CC96" s="296"/>
      <c r="CD96" s="296"/>
      <c r="CE96" s="122"/>
      <c r="CF96" s="122"/>
      <c r="CG96" s="122"/>
      <c r="CH96" s="122"/>
      <c r="CI96" s="122"/>
      <c r="CJ96" s="122"/>
      <c r="CK96" s="122"/>
      <c r="CL96" s="122"/>
      <c r="CM96" s="122"/>
      <c r="CN96" s="122"/>
      <c r="CO96" s="122"/>
      <c r="CP96" s="122"/>
      <c r="CQ96" s="122"/>
      <c r="CR96" s="122"/>
      <c r="CS96" s="122"/>
      <c r="CT96" s="122"/>
      <c r="CU96" s="122"/>
      <c r="CV96" s="122"/>
      <c r="CW96" s="122"/>
      <c r="CX96" s="122"/>
      <c r="CY96" s="122"/>
      <c r="CZ96" s="122"/>
      <c r="DA96" s="122"/>
      <c r="DB96" s="122"/>
      <c r="DC96" s="122"/>
      <c r="DD96" s="122"/>
      <c r="DE96" s="122"/>
      <c r="DF96" s="122"/>
      <c r="DG96" s="122"/>
      <c r="DH96" s="122"/>
      <c r="DI96" s="122"/>
      <c r="DJ96" s="122"/>
      <c r="DK96" s="122"/>
      <c r="DL96" s="122"/>
      <c r="DM96" s="122"/>
      <c r="DN96" s="122"/>
      <c r="DO96" s="122"/>
      <c r="DP96" s="122"/>
      <c r="DQ96" s="122"/>
      <c r="DR96" s="122"/>
      <c r="DS96" s="122"/>
      <c r="DT96" s="122"/>
      <c r="DU96" s="122"/>
      <c r="DV96" s="122"/>
      <c r="DW96" s="122"/>
      <c r="DX96" s="122"/>
      <c r="DY96" s="122"/>
      <c r="DZ96" s="122"/>
      <c r="EA96" s="122"/>
      <c r="EB96" s="122"/>
      <c r="EC96" s="122"/>
      <c r="ED96" s="122"/>
      <c r="EE96" s="122"/>
      <c r="EF96" s="122"/>
      <c r="EG96" s="122"/>
      <c r="EH96" s="122"/>
      <c r="EI96" s="122"/>
      <c r="EJ96" s="122"/>
      <c r="EK96" s="122"/>
      <c r="EL96" s="122"/>
      <c r="EM96" s="122"/>
      <c r="EN96" s="122"/>
      <c r="EO96" s="122"/>
      <c r="EP96" s="122"/>
      <c r="EQ96" s="122"/>
      <c r="ER96" s="122"/>
      <c r="ES96" s="122"/>
      <c r="ET96" s="122"/>
      <c r="EU96" s="122"/>
      <c r="EV96" s="122"/>
      <c r="EW96" s="122"/>
      <c r="EX96" s="122"/>
      <c r="EY96" s="122"/>
      <c r="EZ96" s="122"/>
      <c r="FA96" s="122"/>
      <c r="FB96" s="122"/>
      <c r="FC96" s="122"/>
      <c r="FD96" s="122"/>
      <c r="FE96" s="122"/>
      <c r="FF96" s="122"/>
      <c r="FG96" s="122"/>
      <c r="FH96" s="122"/>
      <c r="FI96" s="122"/>
      <c r="FJ96" s="122"/>
      <c r="FK96" s="122"/>
      <c r="FL96" s="122"/>
      <c r="FM96" s="122"/>
      <c r="FN96" s="122"/>
      <c r="FO96" s="122"/>
      <c r="FP96" s="122"/>
      <c r="FQ96" s="122"/>
      <c r="FR96" s="122"/>
      <c r="FS96" s="122"/>
      <c r="FT96" s="122"/>
      <c r="FU96" s="122"/>
      <c r="FV96" s="122"/>
      <c r="FW96" s="122"/>
      <c r="FX96" s="122"/>
      <c r="FY96" s="122"/>
      <c r="FZ96" s="122"/>
      <c r="GA96" s="122"/>
      <c r="GB96" s="122"/>
      <c r="GC96" s="122"/>
      <c r="GD96" s="122"/>
      <c r="GE96" s="122"/>
      <c r="GF96" s="122"/>
      <c r="GG96" s="122"/>
      <c r="GH96" s="122"/>
      <c r="GI96" s="122"/>
    </row>
    <row r="97" spans="1:191" s="13" customFormat="1" ht="20.25" customHeight="1">
      <c r="A97" s="117">
        <v>45</v>
      </c>
      <c r="B97" s="124"/>
      <c r="C97" s="140"/>
      <c r="D97" s="102">
        <f t="shared" ref="D97" si="47">IFERROR(SUMPRODUCT(F97:HE97,$F$6:$HE$6)/100,0)</f>
        <v>0</v>
      </c>
      <c r="E97" s="103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6"/>
      <c r="AR97" s="296"/>
      <c r="AS97" s="296"/>
      <c r="AT97" s="296"/>
      <c r="AU97" s="296"/>
      <c r="AV97" s="296"/>
      <c r="AW97" s="296"/>
      <c r="AX97" s="296"/>
      <c r="AY97" s="296"/>
      <c r="AZ97" s="296"/>
      <c r="BA97" s="296"/>
      <c r="BB97" s="296"/>
      <c r="BC97" s="296"/>
      <c r="BD97" s="296"/>
      <c r="BE97" s="296"/>
      <c r="BF97" s="296"/>
      <c r="BG97" s="296"/>
      <c r="BH97" s="296"/>
      <c r="BI97" s="296"/>
      <c r="BJ97" s="296"/>
      <c r="BK97" s="296"/>
      <c r="BL97" s="296"/>
      <c r="BM97" s="296"/>
      <c r="BN97" s="296"/>
      <c r="BO97" s="296"/>
      <c r="BP97" s="296"/>
      <c r="BQ97" s="296"/>
      <c r="BR97" s="296"/>
      <c r="BS97" s="297"/>
      <c r="BT97" s="297"/>
      <c r="BU97" s="296"/>
      <c r="BV97" s="296"/>
      <c r="BW97" s="296"/>
      <c r="BX97" s="296"/>
      <c r="BY97" s="296"/>
      <c r="BZ97" s="296"/>
      <c r="CA97" s="296"/>
      <c r="CB97" s="296"/>
      <c r="CC97" s="296"/>
      <c r="CD97" s="296"/>
      <c r="CE97" s="122"/>
      <c r="CF97" s="122"/>
      <c r="CG97" s="122"/>
      <c r="CH97" s="122"/>
      <c r="CI97" s="122"/>
      <c r="CJ97" s="122"/>
      <c r="CK97" s="122"/>
      <c r="CL97" s="122"/>
      <c r="CM97" s="122"/>
      <c r="CN97" s="122"/>
      <c r="CO97" s="122"/>
      <c r="CP97" s="122"/>
      <c r="CQ97" s="122"/>
      <c r="CR97" s="122"/>
      <c r="CS97" s="122"/>
      <c r="CT97" s="122"/>
      <c r="CU97" s="122"/>
      <c r="CV97" s="122"/>
      <c r="CW97" s="122"/>
      <c r="CX97" s="122"/>
      <c r="CY97" s="122"/>
      <c r="CZ97" s="122"/>
      <c r="DA97" s="122"/>
      <c r="DB97" s="122"/>
      <c r="DC97" s="122"/>
      <c r="DD97" s="122"/>
      <c r="DE97" s="122"/>
      <c r="DF97" s="122"/>
      <c r="DG97" s="122"/>
      <c r="DH97" s="122"/>
      <c r="DI97" s="122"/>
      <c r="DJ97" s="122"/>
      <c r="DK97" s="122"/>
      <c r="DL97" s="122"/>
      <c r="DM97" s="122"/>
      <c r="DN97" s="122"/>
      <c r="DO97" s="122"/>
      <c r="DP97" s="122"/>
      <c r="DQ97" s="122"/>
      <c r="DR97" s="122"/>
      <c r="DS97" s="122"/>
      <c r="DT97" s="122"/>
      <c r="DU97" s="122"/>
      <c r="DV97" s="122"/>
      <c r="DW97" s="122"/>
      <c r="DX97" s="122"/>
      <c r="DY97" s="122"/>
      <c r="DZ97" s="122"/>
      <c r="EA97" s="122"/>
      <c r="EB97" s="122"/>
      <c r="EC97" s="122"/>
      <c r="ED97" s="122"/>
      <c r="EE97" s="122"/>
      <c r="EF97" s="122"/>
      <c r="EG97" s="122"/>
      <c r="EH97" s="122"/>
      <c r="EI97" s="122"/>
      <c r="EJ97" s="122"/>
      <c r="EK97" s="122"/>
      <c r="EL97" s="122"/>
      <c r="EM97" s="122"/>
      <c r="EN97" s="122"/>
      <c r="EO97" s="122"/>
      <c r="EP97" s="122"/>
      <c r="EQ97" s="122"/>
      <c r="ER97" s="122"/>
      <c r="ES97" s="122"/>
      <c r="ET97" s="122"/>
      <c r="EU97" s="122"/>
      <c r="EV97" s="122"/>
      <c r="EW97" s="122"/>
      <c r="EX97" s="122"/>
      <c r="EY97" s="122"/>
      <c r="EZ97" s="122"/>
      <c r="FA97" s="122"/>
      <c r="FB97" s="122"/>
      <c r="FC97" s="122"/>
      <c r="FD97" s="122"/>
      <c r="FE97" s="122"/>
      <c r="FF97" s="122"/>
      <c r="FG97" s="122"/>
      <c r="FH97" s="122"/>
      <c r="FI97" s="122"/>
      <c r="FJ97" s="122"/>
      <c r="FK97" s="122"/>
      <c r="FL97" s="122"/>
      <c r="FM97" s="122"/>
      <c r="FN97" s="122"/>
      <c r="FO97" s="122"/>
      <c r="FP97" s="122"/>
      <c r="FQ97" s="122"/>
      <c r="FR97" s="122"/>
      <c r="FS97" s="122"/>
      <c r="FT97" s="122"/>
      <c r="FU97" s="122"/>
      <c r="FV97" s="122"/>
      <c r="FW97" s="122"/>
      <c r="FX97" s="122"/>
      <c r="FY97" s="122"/>
      <c r="FZ97" s="122"/>
      <c r="GA97" s="122"/>
      <c r="GB97" s="122"/>
      <c r="GC97" s="122"/>
      <c r="GD97" s="122"/>
      <c r="GE97" s="122"/>
      <c r="GF97" s="122"/>
      <c r="GG97" s="122"/>
      <c r="GH97" s="122"/>
      <c r="GI97" s="122"/>
    </row>
    <row r="98" spans="1:191" s="13" customFormat="1" ht="20.25" customHeight="1">
      <c r="A98" s="117"/>
      <c r="B98" s="125"/>
      <c r="C98" s="132"/>
      <c r="D98" s="121"/>
      <c r="E98" s="103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296"/>
      <c r="AC98" s="296"/>
      <c r="AD98" s="296"/>
      <c r="AE98" s="296"/>
      <c r="AF98" s="296"/>
      <c r="AG98" s="296"/>
      <c r="AH98" s="296"/>
      <c r="AI98" s="296"/>
      <c r="AJ98" s="296"/>
      <c r="AK98" s="296"/>
      <c r="AL98" s="296"/>
      <c r="AM98" s="296"/>
      <c r="AN98" s="296"/>
      <c r="AO98" s="296"/>
      <c r="AP98" s="296"/>
      <c r="AQ98" s="296"/>
      <c r="AR98" s="296"/>
      <c r="AS98" s="296"/>
      <c r="AT98" s="296"/>
      <c r="AU98" s="296"/>
      <c r="AV98" s="296"/>
      <c r="AW98" s="296"/>
      <c r="AX98" s="296"/>
      <c r="AY98" s="296"/>
      <c r="AZ98" s="296"/>
      <c r="BA98" s="296"/>
      <c r="BB98" s="296"/>
      <c r="BC98" s="296"/>
      <c r="BD98" s="296"/>
      <c r="BE98" s="296"/>
      <c r="BF98" s="296"/>
      <c r="BG98" s="296"/>
      <c r="BH98" s="296"/>
      <c r="BI98" s="296"/>
      <c r="BJ98" s="296"/>
      <c r="BK98" s="296"/>
      <c r="BL98" s="296"/>
      <c r="BM98" s="296"/>
      <c r="BN98" s="296"/>
      <c r="BO98" s="296"/>
      <c r="BP98" s="296"/>
      <c r="BQ98" s="296"/>
      <c r="BR98" s="296"/>
      <c r="BS98" s="297"/>
      <c r="BT98" s="297"/>
      <c r="BU98" s="296"/>
      <c r="BV98" s="296"/>
      <c r="BW98" s="296"/>
      <c r="BX98" s="296"/>
      <c r="BY98" s="296"/>
      <c r="BZ98" s="296"/>
      <c r="CA98" s="296"/>
      <c r="CB98" s="296"/>
      <c r="CC98" s="296"/>
      <c r="CD98" s="296"/>
      <c r="CE98" s="122"/>
      <c r="CF98" s="122"/>
      <c r="CG98" s="122"/>
      <c r="CH98" s="122"/>
      <c r="CI98" s="122"/>
      <c r="CJ98" s="122"/>
      <c r="CK98" s="122"/>
      <c r="CL98" s="122"/>
      <c r="CM98" s="122"/>
      <c r="CN98" s="122"/>
      <c r="CO98" s="122"/>
      <c r="CP98" s="122"/>
      <c r="CQ98" s="122"/>
      <c r="CR98" s="122"/>
      <c r="CS98" s="122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122"/>
      <c r="DJ98" s="122"/>
      <c r="DK98" s="122"/>
      <c r="DL98" s="122"/>
      <c r="DM98" s="122"/>
      <c r="DN98" s="122"/>
      <c r="DO98" s="122"/>
      <c r="DP98" s="122"/>
      <c r="DQ98" s="122"/>
      <c r="DR98" s="122"/>
      <c r="DS98" s="122"/>
      <c r="DT98" s="122"/>
      <c r="DU98" s="122"/>
      <c r="DV98" s="122"/>
      <c r="DW98" s="122"/>
      <c r="DX98" s="122"/>
      <c r="DY98" s="122"/>
      <c r="DZ98" s="122"/>
      <c r="EA98" s="122"/>
      <c r="EB98" s="122"/>
      <c r="EC98" s="122"/>
      <c r="ED98" s="122"/>
      <c r="EE98" s="122"/>
      <c r="EF98" s="122"/>
      <c r="EG98" s="122"/>
      <c r="EH98" s="122"/>
      <c r="EI98" s="122"/>
      <c r="EJ98" s="122"/>
      <c r="EK98" s="122"/>
      <c r="EL98" s="122"/>
      <c r="EM98" s="122"/>
      <c r="EN98" s="122"/>
      <c r="EO98" s="122"/>
      <c r="EP98" s="122"/>
      <c r="EQ98" s="122"/>
      <c r="ER98" s="122"/>
      <c r="ES98" s="122"/>
      <c r="ET98" s="122"/>
      <c r="EU98" s="122"/>
      <c r="EV98" s="122"/>
      <c r="EW98" s="122"/>
      <c r="EX98" s="122"/>
      <c r="EY98" s="122"/>
      <c r="EZ98" s="122"/>
      <c r="FA98" s="122"/>
      <c r="FB98" s="122"/>
      <c r="FC98" s="122"/>
      <c r="FD98" s="122"/>
      <c r="FE98" s="122"/>
      <c r="FF98" s="122"/>
      <c r="FG98" s="122"/>
      <c r="FH98" s="122"/>
      <c r="FI98" s="122"/>
      <c r="FJ98" s="122"/>
      <c r="FK98" s="122"/>
      <c r="FL98" s="122"/>
      <c r="FM98" s="122"/>
      <c r="FN98" s="122"/>
      <c r="FO98" s="122"/>
      <c r="FP98" s="122"/>
      <c r="FQ98" s="122"/>
      <c r="FR98" s="122"/>
      <c r="FS98" s="122"/>
      <c r="FT98" s="122"/>
      <c r="FU98" s="122"/>
      <c r="FV98" s="122"/>
      <c r="FW98" s="122"/>
      <c r="FX98" s="122"/>
      <c r="FY98" s="122"/>
      <c r="FZ98" s="122"/>
      <c r="GA98" s="122"/>
      <c r="GB98" s="122"/>
      <c r="GC98" s="122"/>
      <c r="GD98" s="122"/>
      <c r="GE98" s="122"/>
      <c r="GF98" s="122"/>
      <c r="GG98" s="122"/>
      <c r="GH98" s="122"/>
      <c r="GI98" s="122"/>
    </row>
    <row r="99" spans="1:191" s="13" customFormat="1" ht="20.25" customHeight="1">
      <c r="A99" s="117">
        <v>46</v>
      </c>
      <c r="B99" s="125"/>
      <c r="C99" s="132"/>
      <c r="D99" s="102">
        <f t="shared" ref="D99" si="48">IFERROR(SUMPRODUCT(F99:HE99,$F$6:$HE$6)/100,0)</f>
        <v>0</v>
      </c>
      <c r="E99" s="103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296"/>
      <c r="AC99" s="296"/>
      <c r="AD99" s="296"/>
      <c r="AE99" s="296"/>
      <c r="AF99" s="296"/>
      <c r="AG99" s="296"/>
      <c r="AH99" s="296"/>
      <c r="AI99" s="296"/>
      <c r="AJ99" s="296"/>
      <c r="AK99" s="296"/>
      <c r="AL99" s="296"/>
      <c r="AM99" s="296"/>
      <c r="AN99" s="296"/>
      <c r="AO99" s="296"/>
      <c r="AP99" s="296"/>
      <c r="AQ99" s="296"/>
      <c r="AR99" s="296"/>
      <c r="AS99" s="296"/>
      <c r="AT99" s="296"/>
      <c r="AU99" s="296"/>
      <c r="AV99" s="296"/>
      <c r="AW99" s="296"/>
      <c r="AX99" s="296"/>
      <c r="AY99" s="296"/>
      <c r="AZ99" s="296"/>
      <c r="BA99" s="296"/>
      <c r="BB99" s="296"/>
      <c r="BC99" s="296"/>
      <c r="BD99" s="296"/>
      <c r="BE99" s="296"/>
      <c r="BF99" s="296"/>
      <c r="BG99" s="296"/>
      <c r="BH99" s="296"/>
      <c r="BI99" s="296"/>
      <c r="BJ99" s="296"/>
      <c r="BK99" s="296"/>
      <c r="BL99" s="296"/>
      <c r="BM99" s="296"/>
      <c r="BN99" s="296"/>
      <c r="BO99" s="296"/>
      <c r="BP99" s="296"/>
      <c r="BQ99" s="296"/>
      <c r="BR99" s="296"/>
      <c r="BS99" s="297"/>
      <c r="BT99" s="297"/>
      <c r="BU99" s="297"/>
      <c r="BV99" s="297"/>
      <c r="BW99" s="296"/>
      <c r="BX99" s="296"/>
      <c r="BY99" s="296"/>
      <c r="BZ99" s="296"/>
      <c r="CA99" s="296"/>
      <c r="CB99" s="296"/>
      <c r="CC99" s="296"/>
      <c r="CD99" s="296"/>
      <c r="CE99" s="122"/>
      <c r="CF99" s="122"/>
      <c r="CG99" s="122"/>
      <c r="CH99" s="122"/>
      <c r="CI99" s="122"/>
      <c r="CJ99" s="122"/>
      <c r="CK99" s="122"/>
      <c r="CL99" s="122"/>
      <c r="CM99" s="122"/>
      <c r="CN99" s="122"/>
      <c r="CO99" s="122"/>
      <c r="CP99" s="122"/>
      <c r="CQ99" s="122"/>
      <c r="CR99" s="122"/>
      <c r="CS99" s="122"/>
      <c r="CT99" s="122"/>
      <c r="CU99" s="122"/>
      <c r="CV99" s="122"/>
      <c r="CW99" s="122"/>
      <c r="CX99" s="122"/>
      <c r="CY99" s="122"/>
      <c r="CZ99" s="122"/>
      <c r="DA99" s="122"/>
      <c r="DB99" s="122"/>
      <c r="DC99" s="122"/>
      <c r="DD99" s="122"/>
      <c r="DE99" s="122"/>
      <c r="DF99" s="122"/>
      <c r="DG99" s="122"/>
      <c r="DH99" s="122"/>
      <c r="DI99" s="122"/>
      <c r="DJ99" s="122"/>
      <c r="DK99" s="122"/>
      <c r="DL99" s="122"/>
      <c r="DM99" s="122"/>
      <c r="DN99" s="122"/>
      <c r="DO99" s="122"/>
      <c r="DP99" s="122"/>
      <c r="DQ99" s="122"/>
      <c r="DR99" s="122"/>
      <c r="DS99" s="122"/>
      <c r="DT99" s="122"/>
      <c r="DU99" s="122"/>
      <c r="DV99" s="122"/>
      <c r="DW99" s="122"/>
      <c r="DX99" s="122"/>
      <c r="DY99" s="122"/>
      <c r="DZ99" s="122"/>
      <c r="EA99" s="122"/>
      <c r="EB99" s="122"/>
      <c r="EC99" s="122"/>
      <c r="ED99" s="122"/>
      <c r="EE99" s="122"/>
      <c r="EF99" s="122"/>
      <c r="EG99" s="122"/>
      <c r="EH99" s="122"/>
      <c r="EI99" s="122"/>
      <c r="EJ99" s="122"/>
      <c r="EK99" s="122"/>
      <c r="EL99" s="122"/>
      <c r="EM99" s="122"/>
      <c r="EN99" s="122"/>
      <c r="EO99" s="122"/>
      <c r="EP99" s="122"/>
      <c r="EQ99" s="122"/>
      <c r="ER99" s="122"/>
      <c r="ES99" s="122"/>
      <c r="ET99" s="122"/>
      <c r="EU99" s="122"/>
      <c r="EV99" s="122"/>
      <c r="EW99" s="122"/>
      <c r="EX99" s="122"/>
      <c r="EY99" s="122"/>
      <c r="EZ99" s="122"/>
      <c r="FA99" s="122"/>
      <c r="FB99" s="122"/>
      <c r="FC99" s="122"/>
      <c r="FD99" s="122"/>
      <c r="FE99" s="122"/>
      <c r="FF99" s="122"/>
      <c r="FG99" s="122"/>
      <c r="FH99" s="122"/>
      <c r="FI99" s="122"/>
      <c r="FJ99" s="122"/>
      <c r="FK99" s="122"/>
      <c r="FL99" s="122"/>
      <c r="FM99" s="122"/>
      <c r="FN99" s="122"/>
      <c r="FO99" s="122"/>
      <c r="FP99" s="122"/>
      <c r="FQ99" s="122"/>
      <c r="FR99" s="122"/>
      <c r="FS99" s="122"/>
      <c r="FT99" s="122"/>
      <c r="FU99" s="122"/>
      <c r="FV99" s="122"/>
      <c r="FW99" s="122"/>
      <c r="FX99" s="122"/>
      <c r="FY99" s="122"/>
      <c r="FZ99" s="122"/>
      <c r="GA99" s="122"/>
      <c r="GB99" s="122"/>
      <c r="GC99" s="122"/>
      <c r="GD99" s="122"/>
      <c r="GE99" s="122"/>
      <c r="GF99" s="122"/>
      <c r="GG99" s="122"/>
      <c r="GH99" s="122"/>
      <c r="GI99" s="122"/>
    </row>
    <row r="100" spans="1:191" s="13" customFormat="1" ht="20.25" customHeight="1">
      <c r="A100" s="117"/>
      <c r="B100" s="125"/>
      <c r="C100" s="120"/>
      <c r="D100" s="121"/>
      <c r="E100" s="103"/>
      <c r="F100" s="296"/>
      <c r="G100" s="296"/>
      <c r="H100" s="296"/>
      <c r="I100" s="296"/>
      <c r="J100" s="296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296"/>
      <c r="AC100" s="296"/>
      <c r="AD100" s="296"/>
      <c r="AE100" s="296"/>
      <c r="AF100" s="296"/>
      <c r="AG100" s="296"/>
      <c r="AH100" s="296"/>
      <c r="AI100" s="296"/>
      <c r="AJ100" s="296"/>
      <c r="AK100" s="296"/>
      <c r="AL100" s="296"/>
      <c r="AM100" s="296"/>
      <c r="AN100" s="296"/>
      <c r="AO100" s="296"/>
      <c r="AP100" s="296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296"/>
      <c r="BA100" s="296"/>
      <c r="BB100" s="296"/>
      <c r="BC100" s="296"/>
      <c r="BD100" s="296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6"/>
      <c r="BS100" s="297"/>
      <c r="BT100" s="297"/>
      <c r="BU100" s="296"/>
      <c r="BV100" s="296"/>
      <c r="BW100" s="296"/>
      <c r="BX100" s="296"/>
      <c r="BY100" s="296"/>
      <c r="BZ100" s="296"/>
      <c r="CA100" s="296"/>
      <c r="CB100" s="296"/>
      <c r="CC100" s="296"/>
      <c r="CD100" s="296"/>
      <c r="CE100" s="122"/>
      <c r="CF100" s="122"/>
      <c r="CG100" s="122"/>
      <c r="CH100" s="122"/>
      <c r="CI100" s="122"/>
      <c r="CJ100" s="122"/>
      <c r="CK100" s="122"/>
      <c r="CL100" s="122"/>
      <c r="CM100" s="122"/>
      <c r="CN100" s="122"/>
      <c r="CO100" s="122"/>
      <c r="CP100" s="122"/>
      <c r="CQ100" s="122"/>
      <c r="CR100" s="122"/>
      <c r="CS100" s="122"/>
      <c r="CT100" s="122"/>
      <c r="CU100" s="122"/>
      <c r="CV100" s="122"/>
      <c r="CW100" s="122"/>
      <c r="CX100" s="122"/>
      <c r="CY100" s="122"/>
      <c r="CZ100" s="122"/>
      <c r="DA100" s="122"/>
      <c r="DB100" s="122"/>
      <c r="DC100" s="122"/>
      <c r="DD100" s="122"/>
      <c r="DE100" s="122"/>
      <c r="DF100" s="122"/>
      <c r="DG100" s="122"/>
      <c r="DH100" s="122"/>
      <c r="DI100" s="122"/>
      <c r="DJ100" s="122"/>
      <c r="DK100" s="122"/>
      <c r="DL100" s="122"/>
      <c r="DM100" s="122"/>
      <c r="DN100" s="122"/>
      <c r="DO100" s="122"/>
      <c r="DP100" s="122"/>
      <c r="DQ100" s="122"/>
      <c r="DR100" s="122"/>
      <c r="DS100" s="122"/>
      <c r="DT100" s="122"/>
      <c r="DU100" s="122"/>
      <c r="DV100" s="122"/>
      <c r="DW100" s="122"/>
      <c r="DX100" s="122"/>
      <c r="DY100" s="122"/>
      <c r="DZ100" s="122"/>
      <c r="EA100" s="122"/>
      <c r="EB100" s="122"/>
      <c r="EC100" s="122"/>
      <c r="ED100" s="122"/>
      <c r="EE100" s="122"/>
      <c r="EF100" s="122"/>
      <c r="EG100" s="122"/>
      <c r="EH100" s="122"/>
      <c r="EI100" s="122"/>
      <c r="EJ100" s="122"/>
      <c r="EK100" s="122"/>
      <c r="EL100" s="122"/>
      <c r="EM100" s="122"/>
      <c r="EN100" s="122"/>
      <c r="EO100" s="122"/>
      <c r="EP100" s="122"/>
      <c r="EQ100" s="122"/>
      <c r="ER100" s="122"/>
      <c r="ES100" s="122"/>
      <c r="ET100" s="122"/>
      <c r="EU100" s="122"/>
      <c r="EV100" s="122"/>
      <c r="EW100" s="122"/>
      <c r="EX100" s="122"/>
      <c r="EY100" s="122"/>
      <c r="EZ100" s="122"/>
      <c r="FA100" s="122"/>
      <c r="FB100" s="122"/>
      <c r="FC100" s="122"/>
      <c r="FD100" s="122"/>
      <c r="FE100" s="122"/>
      <c r="FF100" s="122"/>
      <c r="FG100" s="122"/>
      <c r="FH100" s="122"/>
      <c r="FI100" s="122"/>
      <c r="FJ100" s="122"/>
      <c r="FK100" s="122"/>
      <c r="FL100" s="122"/>
      <c r="FM100" s="122"/>
      <c r="FN100" s="122"/>
      <c r="FO100" s="122"/>
      <c r="FP100" s="122"/>
      <c r="FQ100" s="122"/>
      <c r="FR100" s="122"/>
      <c r="FS100" s="122"/>
      <c r="FT100" s="122"/>
      <c r="FU100" s="122"/>
      <c r="FV100" s="122"/>
      <c r="FW100" s="122"/>
      <c r="FX100" s="122"/>
      <c r="FY100" s="122"/>
      <c r="FZ100" s="122"/>
      <c r="GA100" s="122"/>
      <c r="GB100" s="122"/>
      <c r="GC100" s="122"/>
      <c r="GD100" s="122"/>
      <c r="GE100" s="122"/>
      <c r="GF100" s="122"/>
      <c r="GG100" s="122"/>
      <c r="GH100" s="122"/>
      <c r="GI100" s="122"/>
    </row>
    <row r="101" spans="1:191" s="13" customFormat="1" ht="20.25" customHeight="1">
      <c r="A101" s="117">
        <v>47</v>
      </c>
      <c r="B101" s="125"/>
      <c r="C101" s="120"/>
      <c r="D101" s="102">
        <f t="shared" ref="D101" si="49">IFERROR(SUMPRODUCT(F101:HE101,$F$6:$HE$6)/100,0)</f>
        <v>0</v>
      </c>
      <c r="E101" s="103"/>
      <c r="F101" s="296"/>
      <c r="G101" s="296"/>
      <c r="H101" s="296"/>
      <c r="I101" s="296"/>
      <c r="J101" s="296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7"/>
      <c r="BT101" s="297"/>
      <c r="BU101" s="296"/>
      <c r="BV101" s="296"/>
      <c r="BW101" s="296"/>
      <c r="BX101" s="296"/>
      <c r="BY101" s="296"/>
      <c r="BZ101" s="296"/>
      <c r="CA101" s="296"/>
      <c r="CB101" s="296"/>
      <c r="CC101" s="296"/>
      <c r="CD101" s="296"/>
      <c r="CE101" s="122"/>
      <c r="CF101" s="122"/>
      <c r="CG101" s="122"/>
      <c r="CH101" s="122"/>
      <c r="CI101" s="122"/>
      <c r="CJ101" s="122"/>
      <c r="CK101" s="122"/>
      <c r="CL101" s="122"/>
      <c r="CM101" s="122"/>
      <c r="CN101" s="122"/>
      <c r="CO101" s="122"/>
      <c r="CP101" s="122"/>
      <c r="CQ101" s="122"/>
      <c r="CR101" s="122"/>
      <c r="CS101" s="122"/>
      <c r="CT101" s="122"/>
      <c r="CU101" s="122"/>
      <c r="CV101" s="122"/>
      <c r="CW101" s="122"/>
      <c r="CX101" s="122"/>
      <c r="CY101" s="122"/>
      <c r="CZ101" s="122"/>
      <c r="DA101" s="122"/>
      <c r="DB101" s="122"/>
      <c r="DC101" s="122"/>
      <c r="DD101" s="122"/>
      <c r="DE101" s="122"/>
      <c r="DF101" s="122"/>
      <c r="DG101" s="122"/>
      <c r="DH101" s="122"/>
      <c r="DI101" s="122"/>
      <c r="DJ101" s="122"/>
      <c r="DK101" s="122"/>
      <c r="DL101" s="122"/>
      <c r="DM101" s="122"/>
      <c r="DN101" s="122"/>
      <c r="DO101" s="122"/>
      <c r="DP101" s="122"/>
      <c r="DQ101" s="122"/>
      <c r="DR101" s="122"/>
      <c r="DS101" s="122"/>
      <c r="DT101" s="122"/>
      <c r="DU101" s="122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122"/>
      <c r="EF101" s="122"/>
      <c r="EG101" s="122"/>
      <c r="EH101" s="122"/>
      <c r="EI101" s="122"/>
      <c r="EJ101" s="122"/>
      <c r="EK101" s="122"/>
      <c r="EL101" s="122"/>
      <c r="EM101" s="122"/>
      <c r="EN101" s="122"/>
      <c r="EO101" s="122"/>
      <c r="EP101" s="122"/>
      <c r="EQ101" s="122"/>
      <c r="ER101" s="122"/>
      <c r="ES101" s="122"/>
      <c r="ET101" s="122"/>
      <c r="EU101" s="122"/>
      <c r="EV101" s="122"/>
      <c r="EW101" s="122"/>
      <c r="EX101" s="122"/>
      <c r="EY101" s="122"/>
      <c r="EZ101" s="122"/>
      <c r="FA101" s="122"/>
      <c r="FB101" s="122"/>
      <c r="FC101" s="122"/>
      <c r="FD101" s="122"/>
      <c r="FE101" s="122"/>
      <c r="FF101" s="122"/>
      <c r="FG101" s="122"/>
      <c r="FH101" s="122"/>
      <c r="FI101" s="122"/>
      <c r="FJ101" s="122"/>
      <c r="FK101" s="122"/>
      <c r="FL101" s="122"/>
      <c r="FM101" s="122"/>
      <c r="FN101" s="122"/>
      <c r="FO101" s="122"/>
      <c r="FP101" s="122"/>
      <c r="FQ101" s="122"/>
      <c r="FR101" s="122"/>
      <c r="FS101" s="122"/>
      <c r="FT101" s="122"/>
      <c r="FU101" s="122"/>
      <c r="FV101" s="122"/>
      <c r="FW101" s="122"/>
      <c r="FX101" s="122"/>
      <c r="FY101" s="122"/>
      <c r="FZ101" s="122"/>
      <c r="GA101" s="122"/>
      <c r="GB101" s="122"/>
      <c r="GC101" s="122"/>
      <c r="GD101" s="122"/>
      <c r="GE101" s="122"/>
      <c r="GF101" s="122"/>
      <c r="GG101" s="122"/>
      <c r="GH101" s="122"/>
      <c r="GI101" s="122"/>
    </row>
    <row r="102" spans="1:191" s="13" customFormat="1" ht="20.25" customHeight="1">
      <c r="A102" s="117"/>
      <c r="B102" s="125"/>
      <c r="C102" s="120"/>
      <c r="D102" s="121"/>
      <c r="E102" s="103"/>
      <c r="F102" s="296"/>
      <c r="G102" s="296"/>
      <c r="H102" s="296"/>
      <c r="I102" s="296"/>
      <c r="J102" s="296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  <c r="Y102" s="296"/>
      <c r="Z102" s="296"/>
      <c r="AA102" s="296"/>
      <c r="AB102" s="296"/>
      <c r="AC102" s="296"/>
      <c r="AD102" s="296"/>
      <c r="AE102" s="296"/>
      <c r="AF102" s="296"/>
      <c r="AG102" s="296"/>
      <c r="AH102" s="296"/>
      <c r="AI102" s="296"/>
      <c r="AJ102" s="296"/>
      <c r="AK102" s="296"/>
      <c r="AL102" s="296"/>
      <c r="AM102" s="296"/>
      <c r="AN102" s="296"/>
      <c r="AO102" s="296"/>
      <c r="AP102" s="296"/>
      <c r="AQ102" s="296"/>
      <c r="AR102" s="296"/>
      <c r="AS102" s="296"/>
      <c r="AT102" s="296"/>
      <c r="AU102" s="296"/>
      <c r="AV102" s="296"/>
      <c r="AW102" s="296"/>
      <c r="AX102" s="296"/>
      <c r="AY102" s="296"/>
      <c r="AZ102" s="296"/>
      <c r="BA102" s="296"/>
      <c r="BB102" s="296"/>
      <c r="BC102" s="296"/>
      <c r="BD102" s="296"/>
      <c r="BE102" s="296"/>
      <c r="BF102" s="296"/>
      <c r="BG102" s="296"/>
      <c r="BH102" s="296"/>
      <c r="BI102" s="296"/>
      <c r="BJ102" s="296"/>
      <c r="BK102" s="296"/>
      <c r="BL102" s="296"/>
      <c r="BM102" s="296"/>
      <c r="BN102" s="296"/>
      <c r="BO102" s="296"/>
      <c r="BP102" s="296"/>
      <c r="BQ102" s="296"/>
      <c r="BR102" s="296"/>
      <c r="BS102" s="297"/>
      <c r="BT102" s="297"/>
      <c r="BU102" s="296"/>
      <c r="BV102" s="296"/>
      <c r="BW102" s="296"/>
      <c r="BX102" s="296"/>
      <c r="BY102" s="296"/>
      <c r="BZ102" s="296"/>
      <c r="CA102" s="296"/>
      <c r="CB102" s="296"/>
      <c r="CC102" s="296"/>
      <c r="CD102" s="296"/>
      <c r="CE102" s="122"/>
      <c r="CF102" s="122"/>
      <c r="CG102" s="122"/>
      <c r="CH102" s="122"/>
      <c r="CI102" s="122"/>
      <c r="CJ102" s="122"/>
      <c r="CK102" s="122"/>
      <c r="CL102" s="122"/>
      <c r="CM102" s="122"/>
      <c r="CN102" s="122"/>
      <c r="CO102" s="122"/>
      <c r="CP102" s="122"/>
      <c r="CQ102" s="122"/>
      <c r="CR102" s="122"/>
      <c r="CS102" s="122"/>
      <c r="CT102" s="122"/>
      <c r="CU102" s="122"/>
      <c r="CV102" s="122"/>
      <c r="CW102" s="122"/>
      <c r="CX102" s="122"/>
      <c r="CY102" s="122"/>
      <c r="CZ102" s="122"/>
      <c r="DA102" s="122"/>
      <c r="DB102" s="122"/>
      <c r="DC102" s="122"/>
      <c r="DD102" s="122"/>
      <c r="DE102" s="122"/>
      <c r="DF102" s="122"/>
      <c r="DG102" s="122"/>
      <c r="DH102" s="122"/>
      <c r="DI102" s="122"/>
      <c r="DJ102" s="122"/>
      <c r="DK102" s="122"/>
      <c r="DL102" s="122"/>
      <c r="DM102" s="122"/>
      <c r="DN102" s="122"/>
      <c r="DO102" s="122"/>
      <c r="DP102" s="122"/>
      <c r="DQ102" s="122"/>
      <c r="DR102" s="122"/>
      <c r="DS102" s="122"/>
      <c r="DT102" s="122"/>
      <c r="DU102" s="122"/>
      <c r="DV102" s="122"/>
      <c r="DW102" s="122"/>
      <c r="DX102" s="122"/>
      <c r="DY102" s="122"/>
      <c r="DZ102" s="122"/>
      <c r="EA102" s="122"/>
      <c r="EB102" s="122"/>
      <c r="EC102" s="122"/>
      <c r="ED102" s="122"/>
      <c r="EE102" s="122"/>
      <c r="EF102" s="122"/>
      <c r="EG102" s="122"/>
      <c r="EH102" s="122"/>
      <c r="EI102" s="122"/>
      <c r="EJ102" s="122"/>
      <c r="EK102" s="122"/>
      <c r="EL102" s="122"/>
      <c r="EM102" s="122"/>
      <c r="EN102" s="122"/>
      <c r="EO102" s="122"/>
      <c r="EP102" s="122"/>
      <c r="EQ102" s="122"/>
      <c r="ER102" s="122"/>
      <c r="ES102" s="122"/>
      <c r="ET102" s="122"/>
      <c r="EU102" s="122"/>
      <c r="EV102" s="122"/>
      <c r="EW102" s="122"/>
      <c r="EX102" s="122"/>
      <c r="EY102" s="122"/>
      <c r="EZ102" s="122"/>
      <c r="FA102" s="122"/>
      <c r="FB102" s="122"/>
      <c r="FC102" s="122"/>
      <c r="FD102" s="122"/>
      <c r="FE102" s="122"/>
      <c r="FF102" s="122"/>
      <c r="FG102" s="122"/>
      <c r="FH102" s="122"/>
      <c r="FI102" s="122"/>
      <c r="FJ102" s="122"/>
      <c r="FK102" s="122"/>
      <c r="FL102" s="122"/>
      <c r="FM102" s="122"/>
      <c r="FN102" s="122"/>
      <c r="FO102" s="122"/>
      <c r="FP102" s="122"/>
      <c r="FQ102" s="122"/>
      <c r="FR102" s="122"/>
      <c r="FS102" s="122"/>
      <c r="FT102" s="122"/>
      <c r="FU102" s="122"/>
      <c r="FV102" s="122"/>
      <c r="FW102" s="122"/>
      <c r="FX102" s="122"/>
      <c r="FY102" s="122"/>
      <c r="FZ102" s="122"/>
      <c r="GA102" s="122"/>
      <c r="GB102" s="122"/>
      <c r="GC102" s="122"/>
      <c r="GD102" s="122"/>
      <c r="GE102" s="122"/>
      <c r="GF102" s="122"/>
      <c r="GG102" s="122"/>
      <c r="GH102" s="122"/>
      <c r="GI102" s="122"/>
    </row>
    <row r="103" spans="1:191" s="13" customFormat="1" ht="20.25" customHeight="1">
      <c r="A103" s="117">
        <v>48</v>
      </c>
      <c r="B103" s="125"/>
      <c r="C103" s="120"/>
      <c r="D103" s="102">
        <f t="shared" ref="D103" si="50">IFERROR(SUMPRODUCT(F103:HE103,$F$6:$HE$6)/100,0)</f>
        <v>0</v>
      </c>
      <c r="E103" s="103"/>
      <c r="F103" s="296"/>
      <c r="G103" s="296"/>
      <c r="H103" s="296"/>
      <c r="I103" s="296"/>
      <c r="J103" s="296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  <c r="Y103" s="296"/>
      <c r="Z103" s="296"/>
      <c r="AA103" s="296"/>
      <c r="AB103" s="296"/>
      <c r="AC103" s="296"/>
      <c r="AD103" s="296"/>
      <c r="AE103" s="296"/>
      <c r="AF103" s="296"/>
      <c r="AG103" s="296"/>
      <c r="AH103" s="296"/>
      <c r="AI103" s="296"/>
      <c r="AJ103" s="296"/>
      <c r="AK103" s="296"/>
      <c r="AL103" s="296"/>
      <c r="AM103" s="296"/>
      <c r="AN103" s="296"/>
      <c r="AO103" s="296"/>
      <c r="AP103" s="296"/>
      <c r="AQ103" s="296"/>
      <c r="AR103" s="296"/>
      <c r="AS103" s="296"/>
      <c r="AT103" s="296"/>
      <c r="AU103" s="296"/>
      <c r="AV103" s="296"/>
      <c r="AW103" s="296"/>
      <c r="AX103" s="296"/>
      <c r="AY103" s="296"/>
      <c r="AZ103" s="296"/>
      <c r="BA103" s="296"/>
      <c r="BB103" s="296"/>
      <c r="BC103" s="296"/>
      <c r="BD103" s="296"/>
      <c r="BE103" s="296"/>
      <c r="BF103" s="296"/>
      <c r="BG103" s="296"/>
      <c r="BH103" s="296"/>
      <c r="BI103" s="296"/>
      <c r="BJ103" s="296"/>
      <c r="BK103" s="296"/>
      <c r="BL103" s="296"/>
      <c r="BM103" s="296"/>
      <c r="BN103" s="296"/>
      <c r="BO103" s="296"/>
      <c r="BP103" s="296"/>
      <c r="BQ103" s="296"/>
      <c r="BR103" s="296"/>
      <c r="BS103" s="297"/>
      <c r="BT103" s="297"/>
      <c r="BU103" s="296"/>
      <c r="BV103" s="296"/>
      <c r="BW103" s="296"/>
      <c r="BX103" s="296"/>
      <c r="BY103" s="296"/>
      <c r="BZ103" s="296"/>
      <c r="CA103" s="296"/>
      <c r="CB103" s="296"/>
      <c r="CC103" s="296"/>
      <c r="CD103" s="296"/>
      <c r="CE103" s="122"/>
      <c r="CF103" s="122"/>
      <c r="CG103" s="122"/>
      <c r="CH103" s="122"/>
      <c r="CI103" s="122"/>
      <c r="CJ103" s="122"/>
      <c r="CK103" s="122"/>
      <c r="CL103" s="122"/>
      <c r="CM103" s="122"/>
      <c r="CN103" s="122"/>
      <c r="CO103" s="122"/>
      <c r="CP103" s="122"/>
      <c r="CQ103" s="122"/>
      <c r="CR103" s="122"/>
      <c r="CS103" s="122"/>
      <c r="CT103" s="122"/>
      <c r="CU103" s="122"/>
      <c r="CV103" s="122"/>
      <c r="CW103" s="122"/>
      <c r="CX103" s="122"/>
      <c r="CY103" s="122"/>
      <c r="CZ103" s="122"/>
      <c r="DA103" s="122"/>
      <c r="DB103" s="122"/>
      <c r="DC103" s="122"/>
      <c r="DD103" s="122"/>
      <c r="DE103" s="122"/>
      <c r="DF103" s="122"/>
      <c r="DG103" s="122"/>
      <c r="DH103" s="122"/>
      <c r="DI103" s="122"/>
      <c r="DJ103" s="122"/>
      <c r="DK103" s="122"/>
      <c r="DL103" s="122"/>
      <c r="DM103" s="122"/>
      <c r="DN103" s="122"/>
      <c r="DO103" s="122"/>
      <c r="DP103" s="122"/>
      <c r="DQ103" s="122"/>
      <c r="DR103" s="122"/>
      <c r="DS103" s="122"/>
      <c r="DT103" s="122"/>
      <c r="DU103" s="122"/>
      <c r="DV103" s="122"/>
      <c r="DW103" s="122"/>
      <c r="DX103" s="122"/>
      <c r="DY103" s="122"/>
      <c r="DZ103" s="122"/>
      <c r="EA103" s="122"/>
      <c r="EB103" s="122"/>
      <c r="EC103" s="122"/>
      <c r="ED103" s="122"/>
      <c r="EE103" s="122"/>
      <c r="EF103" s="122"/>
      <c r="EG103" s="122"/>
      <c r="EH103" s="122"/>
      <c r="EI103" s="122"/>
      <c r="EJ103" s="122"/>
      <c r="EK103" s="122"/>
      <c r="EL103" s="122"/>
      <c r="EM103" s="122"/>
      <c r="EN103" s="122"/>
      <c r="EO103" s="122"/>
      <c r="EP103" s="122"/>
      <c r="EQ103" s="122"/>
      <c r="ER103" s="122"/>
      <c r="ES103" s="122"/>
      <c r="ET103" s="122"/>
      <c r="EU103" s="122"/>
      <c r="EV103" s="122"/>
      <c r="EW103" s="122"/>
      <c r="EX103" s="122"/>
      <c r="EY103" s="122"/>
      <c r="EZ103" s="122"/>
      <c r="FA103" s="122"/>
      <c r="FB103" s="122"/>
      <c r="FC103" s="122"/>
      <c r="FD103" s="122"/>
      <c r="FE103" s="122"/>
      <c r="FF103" s="122"/>
      <c r="FG103" s="122"/>
      <c r="FH103" s="122"/>
      <c r="FI103" s="122"/>
      <c r="FJ103" s="122"/>
      <c r="FK103" s="122"/>
      <c r="FL103" s="122"/>
      <c r="FM103" s="122"/>
      <c r="FN103" s="122"/>
      <c r="FO103" s="122"/>
      <c r="FP103" s="122"/>
      <c r="FQ103" s="122"/>
      <c r="FR103" s="122"/>
      <c r="FS103" s="122"/>
      <c r="FT103" s="122"/>
      <c r="FU103" s="122"/>
      <c r="FV103" s="122"/>
      <c r="FW103" s="122"/>
      <c r="FX103" s="122"/>
      <c r="FY103" s="122"/>
      <c r="FZ103" s="122"/>
      <c r="GA103" s="122"/>
      <c r="GB103" s="122"/>
      <c r="GC103" s="122"/>
      <c r="GD103" s="122"/>
      <c r="GE103" s="122"/>
      <c r="GF103" s="122"/>
      <c r="GG103" s="122"/>
      <c r="GH103" s="122"/>
      <c r="GI103" s="122"/>
    </row>
    <row r="104" spans="1:191" s="13" customFormat="1" ht="20.25" customHeight="1">
      <c r="A104" s="117"/>
      <c r="B104" s="125"/>
      <c r="C104" s="144"/>
      <c r="D104" s="121"/>
      <c r="E104" s="103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  <c r="AC104" s="296"/>
      <c r="AD104" s="296"/>
      <c r="AE104" s="296"/>
      <c r="AF104" s="296"/>
      <c r="AG104" s="296"/>
      <c r="AH104" s="296"/>
      <c r="AI104" s="296"/>
      <c r="AJ104" s="296"/>
      <c r="AK104" s="296"/>
      <c r="AL104" s="296"/>
      <c r="AM104" s="296"/>
      <c r="AN104" s="296"/>
      <c r="AO104" s="296"/>
      <c r="AP104" s="296"/>
      <c r="AQ104" s="296"/>
      <c r="AR104" s="296"/>
      <c r="AS104" s="296"/>
      <c r="AT104" s="296"/>
      <c r="AU104" s="296"/>
      <c r="AV104" s="296"/>
      <c r="AW104" s="296"/>
      <c r="AX104" s="296"/>
      <c r="AY104" s="296"/>
      <c r="AZ104" s="296"/>
      <c r="BA104" s="296"/>
      <c r="BB104" s="296"/>
      <c r="BC104" s="296"/>
      <c r="BD104" s="296"/>
      <c r="BE104" s="296"/>
      <c r="BF104" s="296"/>
      <c r="BG104" s="296"/>
      <c r="BH104" s="296"/>
      <c r="BI104" s="296"/>
      <c r="BJ104" s="296"/>
      <c r="BK104" s="296"/>
      <c r="BL104" s="296"/>
      <c r="BM104" s="296"/>
      <c r="BN104" s="296"/>
      <c r="BO104" s="296"/>
      <c r="BP104" s="296"/>
      <c r="BQ104" s="296"/>
      <c r="BR104" s="296"/>
      <c r="BS104" s="297"/>
      <c r="BT104" s="297"/>
      <c r="BU104" s="296"/>
      <c r="BV104" s="296"/>
      <c r="BW104" s="296"/>
      <c r="BX104" s="296"/>
      <c r="BY104" s="296"/>
      <c r="BZ104" s="296"/>
      <c r="CA104" s="296"/>
      <c r="CB104" s="296"/>
      <c r="CC104" s="296"/>
      <c r="CD104" s="296"/>
      <c r="CE104" s="122"/>
      <c r="CF104" s="122"/>
      <c r="CG104" s="122"/>
      <c r="CH104" s="122"/>
      <c r="CI104" s="122"/>
      <c r="CJ104" s="122"/>
      <c r="CK104" s="122"/>
      <c r="CL104" s="122"/>
      <c r="CM104" s="122"/>
      <c r="CN104" s="122"/>
      <c r="CO104" s="122"/>
      <c r="CP104" s="122"/>
      <c r="CQ104" s="122"/>
      <c r="CR104" s="122"/>
      <c r="CS104" s="122"/>
      <c r="CT104" s="122"/>
      <c r="CU104" s="122"/>
      <c r="CV104" s="122"/>
      <c r="CW104" s="122"/>
      <c r="CX104" s="122"/>
      <c r="CY104" s="122"/>
      <c r="CZ104" s="122"/>
      <c r="DA104" s="122"/>
      <c r="DB104" s="122"/>
      <c r="DC104" s="122"/>
      <c r="DD104" s="122"/>
      <c r="DE104" s="122"/>
      <c r="DF104" s="122"/>
      <c r="DG104" s="122"/>
      <c r="DH104" s="122"/>
      <c r="DI104" s="122"/>
      <c r="DJ104" s="122"/>
      <c r="DK104" s="122"/>
      <c r="DL104" s="122"/>
      <c r="DM104" s="122"/>
      <c r="DN104" s="122"/>
      <c r="DO104" s="122"/>
      <c r="DP104" s="122"/>
      <c r="DQ104" s="122"/>
      <c r="DR104" s="122"/>
      <c r="DS104" s="122"/>
      <c r="DT104" s="122"/>
      <c r="DU104" s="122"/>
      <c r="DV104" s="122"/>
      <c r="DW104" s="122"/>
      <c r="DX104" s="122"/>
      <c r="DY104" s="122"/>
      <c r="DZ104" s="122"/>
      <c r="EA104" s="122"/>
      <c r="EB104" s="122"/>
      <c r="EC104" s="122"/>
      <c r="ED104" s="122"/>
      <c r="EE104" s="122"/>
      <c r="EF104" s="122"/>
      <c r="EG104" s="122"/>
      <c r="EH104" s="122"/>
      <c r="EI104" s="122"/>
      <c r="EJ104" s="122"/>
      <c r="EK104" s="122"/>
      <c r="EL104" s="122"/>
      <c r="EM104" s="122"/>
      <c r="EN104" s="122"/>
      <c r="EO104" s="122"/>
      <c r="EP104" s="122"/>
      <c r="EQ104" s="122"/>
      <c r="ER104" s="122"/>
      <c r="ES104" s="122"/>
      <c r="ET104" s="122"/>
      <c r="EU104" s="122"/>
      <c r="EV104" s="122"/>
      <c r="EW104" s="122"/>
      <c r="EX104" s="122"/>
      <c r="EY104" s="122"/>
      <c r="EZ104" s="122"/>
      <c r="FA104" s="122"/>
      <c r="FB104" s="122"/>
      <c r="FC104" s="122"/>
      <c r="FD104" s="122"/>
      <c r="FE104" s="122"/>
      <c r="FF104" s="122"/>
      <c r="FG104" s="122"/>
      <c r="FH104" s="122"/>
      <c r="FI104" s="122"/>
      <c r="FJ104" s="122"/>
      <c r="FK104" s="122"/>
      <c r="FL104" s="122"/>
      <c r="FM104" s="122"/>
      <c r="FN104" s="122"/>
      <c r="FO104" s="122"/>
      <c r="FP104" s="122"/>
      <c r="FQ104" s="122"/>
      <c r="FR104" s="122"/>
      <c r="FS104" s="122"/>
      <c r="FT104" s="122"/>
      <c r="FU104" s="122"/>
      <c r="FV104" s="122"/>
      <c r="FW104" s="122"/>
      <c r="FX104" s="122"/>
      <c r="FY104" s="122"/>
      <c r="FZ104" s="122"/>
      <c r="GA104" s="122"/>
      <c r="GB104" s="122"/>
      <c r="GC104" s="122"/>
      <c r="GD104" s="122"/>
      <c r="GE104" s="122"/>
      <c r="GF104" s="122"/>
      <c r="GG104" s="122"/>
      <c r="GH104" s="122"/>
      <c r="GI104" s="122"/>
    </row>
    <row r="105" spans="1:191" s="13" customFormat="1" ht="20.25" customHeight="1">
      <c r="A105" s="117">
        <v>49</v>
      </c>
      <c r="B105" s="125"/>
      <c r="C105" s="144"/>
      <c r="D105" s="102">
        <f t="shared" ref="D105" si="51">IFERROR(SUMPRODUCT(F105:HE105,$F$6:$HE$6)/100,0)</f>
        <v>0</v>
      </c>
      <c r="E105" s="103"/>
      <c r="F105" s="296"/>
      <c r="G105" s="296"/>
      <c r="H105" s="296"/>
      <c r="I105" s="296"/>
      <c r="J105" s="296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296"/>
      <c r="AB105" s="296"/>
      <c r="AC105" s="296"/>
      <c r="AD105" s="296"/>
      <c r="AE105" s="296"/>
      <c r="AF105" s="296"/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6"/>
      <c r="AQ105" s="296"/>
      <c r="AR105" s="296"/>
      <c r="AS105" s="296"/>
      <c r="AT105" s="296"/>
      <c r="AU105" s="296"/>
      <c r="AV105" s="296"/>
      <c r="AW105" s="296"/>
      <c r="AX105" s="296"/>
      <c r="AY105" s="296"/>
      <c r="AZ105" s="296"/>
      <c r="BA105" s="296"/>
      <c r="BB105" s="296"/>
      <c r="BC105" s="296"/>
      <c r="BD105" s="296"/>
      <c r="BE105" s="296"/>
      <c r="BF105" s="296"/>
      <c r="BG105" s="296"/>
      <c r="BH105" s="296"/>
      <c r="BI105" s="296"/>
      <c r="BJ105" s="296"/>
      <c r="BK105" s="296"/>
      <c r="BL105" s="296"/>
      <c r="BM105" s="296"/>
      <c r="BN105" s="296"/>
      <c r="BO105" s="296"/>
      <c r="BP105" s="296"/>
      <c r="BQ105" s="296"/>
      <c r="BR105" s="296"/>
      <c r="BS105" s="297"/>
      <c r="BT105" s="297"/>
      <c r="BU105" s="296"/>
      <c r="BV105" s="296"/>
      <c r="BW105" s="296"/>
      <c r="BX105" s="296"/>
      <c r="BY105" s="296"/>
      <c r="BZ105" s="296"/>
      <c r="CA105" s="296"/>
      <c r="CB105" s="296"/>
      <c r="CC105" s="296"/>
      <c r="CD105" s="296"/>
      <c r="CE105" s="122"/>
      <c r="CF105" s="122"/>
      <c r="CG105" s="122"/>
      <c r="CH105" s="122"/>
      <c r="CI105" s="122"/>
      <c r="CJ105" s="122"/>
      <c r="CK105" s="122"/>
      <c r="CL105" s="122"/>
      <c r="CM105" s="122"/>
      <c r="CN105" s="122"/>
      <c r="CO105" s="122"/>
      <c r="CP105" s="122"/>
      <c r="CQ105" s="122"/>
      <c r="CR105" s="122"/>
      <c r="CS105" s="122"/>
      <c r="CT105" s="122"/>
      <c r="CU105" s="122"/>
      <c r="CV105" s="122"/>
      <c r="CW105" s="122"/>
      <c r="CX105" s="122"/>
      <c r="CY105" s="122"/>
      <c r="CZ105" s="122"/>
      <c r="DA105" s="122"/>
      <c r="DB105" s="122"/>
      <c r="DC105" s="122"/>
      <c r="DD105" s="122"/>
      <c r="DE105" s="122"/>
      <c r="DF105" s="122"/>
      <c r="DG105" s="122"/>
      <c r="DH105" s="122"/>
      <c r="DI105" s="122"/>
      <c r="DJ105" s="122"/>
      <c r="DK105" s="122"/>
      <c r="DL105" s="122"/>
      <c r="DM105" s="122"/>
      <c r="DN105" s="122"/>
      <c r="DO105" s="122"/>
      <c r="DP105" s="122"/>
      <c r="DQ105" s="122"/>
      <c r="DR105" s="122"/>
      <c r="DS105" s="122"/>
      <c r="DT105" s="122"/>
      <c r="DU105" s="122"/>
      <c r="DV105" s="122"/>
      <c r="DW105" s="122"/>
      <c r="DX105" s="122"/>
      <c r="DY105" s="122"/>
      <c r="DZ105" s="122"/>
      <c r="EA105" s="122"/>
      <c r="EB105" s="122"/>
      <c r="EC105" s="122"/>
      <c r="ED105" s="122"/>
      <c r="EE105" s="122"/>
      <c r="EF105" s="122"/>
      <c r="EG105" s="122"/>
      <c r="EH105" s="122"/>
      <c r="EI105" s="122"/>
      <c r="EJ105" s="122"/>
      <c r="EK105" s="122"/>
      <c r="EL105" s="122"/>
      <c r="EM105" s="122"/>
      <c r="EN105" s="122"/>
      <c r="EO105" s="122"/>
      <c r="EP105" s="122"/>
      <c r="EQ105" s="122"/>
      <c r="ER105" s="122"/>
      <c r="ES105" s="122"/>
      <c r="ET105" s="122"/>
      <c r="EU105" s="122"/>
      <c r="EV105" s="122"/>
      <c r="EW105" s="122"/>
      <c r="EX105" s="122"/>
      <c r="EY105" s="122"/>
      <c r="EZ105" s="122"/>
      <c r="FA105" s="122"/>
      <c r="FB105" s="122"/>
      <c r="FC105" s="122"/>
      <c r="FD105" s="122"/>
      <c r="FE105" s="122"/>
      <c r="FF105" s="122"/>
      <c r="FG105" s="122"/>
      <c r="FH105" s="122"/>
      <c r="FI105" s="122"/>
      <c r="FJ105" s="122"/>
      <c r="FK105" s="122"/>
      <c r="FL105" s="122"/>
      <c r="FM105" s="122"/>
      <c r="FN105" s="122"/>
      <c r="FO105" s="122"/>
      <c r="FP105" s="122"/>
      <c r="FQ105" s="122"/>
      <c r="FR105" s="122"/>
      <c r="FS105" s="122"/>
      <c r="FT105" s="122"/>
      <c r="FU105" s="122"/>
      <c r="FV105" s="122"/>
      <c r="FW105" s="122"/>
      <c r="FX105" s="122"/>
      <c r="FY105" s="122"/>
      <c r="FZ105" s="122"/>
      <c r="GA105" s="122"/>
      <c r="GB105" s="122"/>
      <c r="GC105" s="122"/>
      <c r="GD105" s="122"/>
      <c r="GE105" s="122"/>
      <c r="GF105" s="122"/>
      <c r="GG105" s="122"/>
      <c r="GH105" s="122"/>
      <c r="GI105" s="122"/>
    </row>
    <row r="106" spans="1:191" s="13" customFormat="1" ht="20.25" customHeight="1">
      <c r="A106" s="117"/>
      <c r="B106" s="125"/>
      <c r="C106" s="145"/>
      <c r="D106" s="121"/>
      <c r="E106" s="103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296"/>
      <c r="AB106" s="296"/>
      <c r="AC106" s="296"/>
      <c r="AD106" s="296"/>
      <c r="AE106" s="296"/>
      <c r="AF106" s="296"/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6"/>
      <c r="AQ106" s="296"/>
      <c r="AR106" s="296"/>
      <c r="AS106" s="296"/>
      <c r="AT106" s="296"/>
      <c r="AU106" s="296"/>
      <c r="AV106" s="296"/>
      <c r="AW106" s="296"/>
      <c r="AX106" s="296"/>
      <c r="AY106" s="296"/>
      <c r="AZ106" s="296"/>
      <c r="BA106" s="296"/>
      <c r="BB106" s="296"/>
      <c r="BC106" s="296"/>
      <c r="BD106" s="296"/>
      <c r="BE106" s="296"/>
      <c r="BF106" s="296"/>
      <c r="BG106" s="296"/>
      <c r="BH106" s="296"/>
      <c r="BI106" s="296"/>
      <c r="BJ106" s="296"/>
      <c r="BK106" s="296"/>
      <c r="BL106" s="296"/>
      <c r="BM106" s="296"/>
      <c r="BN106" s="296"/>
      <c r="BO106" s="296"/>
      <c r="BP106" s="296"/>
      <c r="BQ106" s="296"/>
      <c r="BR106" s="296"/>
      <c r="BS106" s="297"/>
      <c r="BT106" s="297"/>
      <c r="BU106" s="296"/>
      <c r="BV106" s="296"/>
      <c r="BW106" s="296"/>
      <c r="BX106" s="296"/>
      <c r="BY106" s="296"/>
      <c r="BZ106" s="296"/>
      <c r="CA106" s="296"/>
      <c r="CB106" s="296"/>
      <c r="CC106" s="296"/>
      <c r="CD106" s="296"/>
      <c r="CE106" s="122"/>
      <c r="CF106" s="122"/>
      <c r="CG106" s="122"/>
      <c r="CH106" s="122"/>
      <c r="CI106" s="122"/>
      <c r="CJ106" s="122"/>
      <c r="CK106" s="122"/>
      <c r="CL106" s="122"/>
      <c r="CM106" s="122"/>
      <c r="CN106" s="122"/>
      <c r="CO106" s="122"/>
      <c r="CP106" s="122"/>
      <c r="CQ106" s="122"/>
      <c r="CR106" s="122"/>
      <c r="CS106" s="122"/>
      <c r="CT106" s="122"/>
      <c r="CU106" s="122"/>
      <c r="CV106" s="122"/>
      <c r="CW106" s="122"/>
      <c r="CX106" s="122"/>
      <c r="CY106" s="122"/>
      <c r="CZ106" s="122"/>
      <c r="DA106" s="122"/>
      <c r="DB106" s="122"/>
      <c r="DC106" s="122"/>
      <c r="DD106" s="122"/>
      <c r="DE106" s="122"/>
      <c r="DF106" s="122"/>
      <c r="DG106" s="122"/>
      <c r="DH106" s="122"/>
      <c r="DI106" s="122"/>
      <c r="DJ106" s="122"/>
      <c r="DK106" s="122"/>
      <c r="DL106" s="122"/>
      <c r="DM106" s="122"/>
      <c r="DN106" s="122"/>
      <c r="DO106" s="122"/>
      <c r="DP106" s="122"/>
      <c r="DQ106" s="122"/>
      <c r="DR106" s="122"/>
      <c r="DS106" s="122"/>
      <c r="DT106" s="122"/>
      <c r="DU106" s="122"/>
      <c r="DV106" s="122"/>
      <c r="DW106" s="122"/>
      <c r="DX106" s="122"/>
      <c r="DY106" s="122"/>
      <c r="DZ106" s="122"/>
      <c r="EA106" s="122"/>
      <c r="EB106" s="122"/>
      <c r="EC106" s="122"/>
      <c r="ED106" s="122"/>
      <c r="EE106" s="122"/>
      <c r="EF106" s="122"/>
      <c r="EG106" s="122"/>
      <c r="EH106" s="122"/>
      <c r="EI106" s="122"/>
      <c r="EJ106" s="122"/>
      <c r="EK106" s="122"/>
      <c r="EL106" s="122"/>
      <c r="EM106" s="122"/>
      <c r="EN106" s="122"/>
      <c r="EO106" s="122"/>
      <c r="EP106" s="122"/>
      <c r="EQ106" s="122"/>
      <c r="ER106" s="122"/>
      <c r="ES106" s="122"/>
      <c r="ET106" s="122"/>
      <c r="EU106" s="122"/>
      <c r="EV106" s="122"/>
      <c r="EW106" s="122"/>
      <c r="EX106" s="122"/>
      <c r="EY106" s="122"/>
      <c r="EZ106" s="122"/>
      <c r="FA106" s="122"/>
      <c r="FB106" s="122"/>
      <c r="FC106" s="122"/>
      <c r="FD106" s="122"/>
      <c r="FE106" s="122"/>
      <c r="FF106" s="122"/>
      <c r="FG106" s="122"/>
      <c r="FH106" s="122"/>
      <c r="FI106" s="122"/>
      <c r="FJ106" s="122"/>
      <c r="FK106" s="122"/>
      <c r="FL106" s="122"/>
      <c r="FM106" s="122"/>
      <c r="FN106" s="122"/>
      <c r="FO106" s="122"/>
      <c r="FP106" s="122"/>
      <c r="FQ106" s="122"/>
      <c r="FR106" s="122"/>
      <c r="FS106" s="122"/>
      <c r="FT106" s="122"/>
      <c r="FU106" s="122"/>
      <c r="FV106" s="122"/>
      <c r="FW106" s="122"/>
      <c r="FX106" s="122"/>
      <c r="FY106" s="122"/>
      <c r="FZ106" s="122"/>
      <c r="GA106" s="122"/>
      <c r="GB106" s="122"/>
      <c r="GC106" s="122"/>
      <c r="GD106" s="122"/>
      <c r="GE106" s="122"/>
      <c r="GF106" s="122"/>
      <c r="GG106" s="122"/>
      <c r="GH106" s="122"/>
      <c r="GI106" s="122"/>
    </row>
    <row r="107" spans="1:191" s="13" customFormat="1" ht="20.25" customHeight="1">
      <c r="A107" s="117">
        <v>50</v>
      </c>
      <c r="B107" s="125"/>
      <c r="C107" s="126"/>
      <c r="D107" s="102">
        <f t="shared" ref="D107" si="52">IFERROR(SUMPRODUCT(F107:HE107,$F$6:$HE$6)/100,0)</f>
        <v>0</v>
      </c>
      <c r="E107" s="103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96"/>
      <c r="AB107" s="296"/>
      <c r="AC107" s="296"/>
      <c r="AD107" s="296"/>
      <c r="AE107" s="296"/>
      <c r="AF107" s="296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6"/>
      <c r="AQ107" s="296"/>
      <c r="AR107" s="296"/>
      <c r="AS107" s="296"/>
      <c r="AT107" s="296"/>
      <c r="AU107" s="296"/>
      <c r="AV107" s="296"/>
      <c r="AW107" s="296"/>
      <c r="AX107" s="296"/>
      <c r="AY107" s="296"/>
      <c r="AZ107" s="296"/>
      <c r="BA107" s="296"/>
      <c r="BB107" s="296"/>
      <c r="BC107" s="296"/>
      <c r="BD107" s="296"/>
      <c r="BE107" s="296"/>
      <c r="BF107" s="296"/>
      <c r="BG107" s="296"/>
      <c r="BH107" s="296"/>
      <c r="BI107" s="296"/>
      <c r="BJ107" s="296"/>
      <c r="BK107" s="296"/>
      <c r="BL107" s="296"/>
      <c r="BM107" s="296"/>
      <c r="BN107" s="296"/>
      <c r="BO107" s="296"/>
      <c r="BP107" s="296"/>
      <c r="BQ107" s="296"/>
      <c r="BR107" s="296"/>
      <c r="BS107" s="297"/>
      <c r="BT107" s="297"/>
      <c r="BU107" s="296"/>
      <c r="BV107" s="296"/>
      <c r="BW107" s="296"/>
      <c r="BX107" s="296"/>
      <c r="BY107" s="296"/>
      <c r="BZ107" s="296"/>
      <c r="CA107" s="296"/>
      <c r="CB107" s="296"/>
      <c r="CC107" s="296"/>
      <c r="CD107" s="296"/>
      <c r="CE107" s="122"/>
      <c r="CF107" s="122"/>
      <c r="CG107" s="122"/>
      <c r="CH107" s="122"/>
      <c r="CI107" s="122"/>
      <c r="CJ107" s="122"/>
      <c r="CK107" s="122"/>
      <c r="CL107" s="122"/>
      <c r="CM107" s="122"/>
      <c r="CN107" s="122"/>
      <c r="CO107" s="122"/>
      <c r="CP107" s="122"/>
      <c r="CQ107" s="122"/>
      <c r="CR107" s="122"/>
      <c r="CS107" s="122"/>
      <c r="CT107" s="122"/>
      <c r="CU107" s="122"/>
      <c r="CV107" s="122"/>
      <c r="CW107" s="122"/>
      <c r="CX107" s="122"/>
      <c r="CY107" s="122"/>
      <c r="CZ107" s="122"/>
      <c r="DA107" s="122"/>
      <c r="DB107" s="122"/>
      <c r="DC107" s="122"/>
      <c r="DD107" s="122"/>
      <c r="DE107" s="122"/>
      <c r="DF107" s="122"/>
      <c r="DG107" s="122"/>
      <c r="DH107" s="122"/>
      <c r="DI107" s="122"/>
      <c r="DJ107" s="122"/>
      <c r="DK107" s="122"/>
      <c r="DL107" s="122"/>
      <c r="DM107" s="122"/>
      <c r="DN107" s="122"/>
      <c r="DO107" s="122"/>
      <c r="DP107" s="122"/>
      <c r="DQ107" s="122"/>
      <c r="DR107" s="122"/>
      <c r="DS107" s="122"/>
      <c r="DT107" s="122"/>
      <c r="DU107" s="122"/>
      <c r="DV107" s="122"/>
      <c r="DW107" s="122"/>
      <c r="DX107" s="122"/>
      <c r="DY107" s="122"/>
      <c r="DZ107" s="122"/>
      <c r="EA107" s="122"/>
      <c r="EB107" s="122"/>
      <c r="EC107" s="122"/>
      <c r="ED107" s="122"/>
      <c r="EE107" s="122"/>
      <c r="EF107" s="122"/>
      <c r="EG107" s="122"/>
      <c r="EH107" s="122"/>
      <c r="EI107" s="122"/>
      <c r="EJ107" s="122"/>
      <c r="EK107" s="122"/>
      <c r="EL107" s="122"/>
      <c r="EM107" s="122"/>
      <c r="EN107" s="122"/>
      <c r="EO107" s="122"/>
      <c r="EP107" s="122"/>
      <c r="EQ107" s="122"/>
      <c r="ER107" s="122"/>
      <c r="ES107" s="122"/>
      <c r="ET107" s="122"/>
      <c r="EU107" s="122"/>
      <c r="EV107" s="122"/>
      <c r="EW107" s="122"/>
      <c r="EX107" s="122"/>
      <c r="EY107" s="122"/>
      <c r="EZ107" s="122"/>
      <c r="FA107" s="122"/>
      <c r="FB107" s="122"/>
      <c r="FC107" s="122"/>
      <c r="FD107" s="122"/>
      <c r="FE107" s="122"/>
      <c r="FF107" s="122"/>
      <c r="FG107" s="122"/>
      <c r="FH107" s="122"/>
      <c r="FI107" s="122"/>
      <c r="FJ107" s="122"/>
      <c r="FK107" s="122"/>
      <c r="FL107" s="122"/>
      <c r="FM107" s="122"/>
      <c r="FN107" s="122"/>
      <c r="FO107" s="122"/>
      <c r="FP107" s="122"/>
      <c r="FQ107" s="122"/>
      <c r="FR107" s="122"/>
      <c r="FS107" s="122"/>
      <c r="FT107" s="122"/>
      <c r="FU107" s="122"/>
      <c r="FV107" s="122"/>
      <c r="FW107" s="122"/>
      <c r="FX107" s="122"/>
      <c r="FY107" s="122"/>
      <c r="FZ107" s="122"/>
      <c r="GA107" s="122"/>
      <c r="GB107" s="122"/>
      <c r="GC107" s="122"/>
      <c r="GD107" s="122"/>
      <c r="GE107" s="122"/>
      <c r="GF107" s="122"/>
      <c r="GG107" s="122"/>
      <c r="GH107" s="122"/>
      <c r="GI107" s="122"/>
    </row>
    <row r="108" spans="1:191" s="122" customFormat="1" ht="20.25" customHeight="1">
      <c r="A108" s="117"/>
      <c r="B108" s="125"/>
      <c r="C108" s="144"/>
      <c r="D108" s="121"/>
      <c r="E108" s="103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96"/>
      <c r="AB108" s="296"/>
      <c r="AC108" s="296"/>
      <c r="AD108" s="296"/>
      <c r="AE108" s="296"/>
      <c r="AF108" s="296"/>
      <c r="AG108" s="296"/>
      <c r="AH108" s="296"/>
      <c r="AI108" s="296"/>
      <c r="AJ108" s="296"/>
      <c r="AK108" s="296"/>
      <c r="AL108" s="296"/>
      <c r="AM108" s="296"/>
      <c r="AN108" s="296"/>
      <c r="AO108" s="296"/>
      <c r="AP108" s="296"/>
      <c r="AQ108" s="296"/>
      <c r="AR108" s="296"/>
      <c r="AS108" s="296"/>
      <c r="AT108" s="296"/>
      <c r="AU108" s="296"/>
      <c r="AV108" s="296"/>
      <c r="AW108" s="296"/>
      <c r="AX108" s="296"/>
      <c r="AY108" s="296"/>
      <c r="AZ108" s="296"/>
      <c r="BA108" s="296"/>
      <c r="BB108" s="296"/>
      <c r="BC108" s="296"/>
      <c r="BD108" s="296"/>
      <c r="BE108" s="296"/>
      <c r="BF108" s="296"/>
      <c r="BG108" s="296"/>
      <c r="BH108" s="296"/>
      <c r="BI108" s="296"/>
      <c r="BJ108" s="296"/>
      <c r="BK108" s="296"/>
      <c r="BL108" s="296"/>
      <c r="BM108" s="296"/>
      <c r="BN108" s="296"/>
      <c r="BO108" s="296"/>
      <c r="BP108" s="296"/>
      <c r="BQ108" s="296"/>
      <c r="BR108" s="296"/>
      <c r="BS108" s="296"/>
      <c r="BT108" s="296"/>
      <c r="BU108" s="296"/>
      <c r="BV108" s="296"/>
      <c r="BW108" s="296"/>
      <c r="BX108" s="296"/>
      <c r="BY108" s="296"/>
      <c r="BZ108" s="296"/>
      <c r="CA108" s="296"/>
      <c r="CB108" s="296"/>
      <c r="CC108" s="296"/>
      <c r="CD108" s="296"/>
    </row>
    <row r="109" spans="1:191" s="13" customFormat="1" ht="20.25" customHeight="1">
      <c r="A109" s="117">
        <v>51</v>
      </c>
      <c r="B109" s="125"/>
      <c r="C109" s="120"/>
      <c r="D109" s="102">
        <f t="shared" ref="D109" si="53">IFERROR(SUMPRODUCT(F109:HE109,$F$6:$HE$6)/100,0)</f>
        <v>0</v>
      </c>
      <c r="E109" s="103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  <c r="AA109" s="298"/>
      <c r="AB109" s="298"/>
      <c r="AC109" s="298"/>
      <c r="AD109" s="298"/>
      <c r="AE109" s="298"/>
      <c r="AF109" s="298"/>
      <c r="AG109" s="298"/>
      <c r="AH109" s="298"/>
      <c r="AI109" s="298"/>
      <c r="AJ109" s="298"/>
      <c r="AK109" s="298"/>
      <c r="AL109" s="298"/>
      <c r="AM109" s="298"/>
      <c r="AN109" s="298"/>
      <c r="AO109" s="298"/>
      <c r="AP109" s="298"/>
      <c r="AQ109" s="298"/>
      <c r="AR109" s="298"/>
      <c r="AS109" s="298"/>
      <c r="AT109" s="298"/>
      <c r="AU109" s="298"/>
      <c r="AV109" s="298"/>
      <c r="AW109" s="298"/>
      <c r="AX109" s="298"/>
      <c r="AY109" s="298"/>
      <c r="AZ109" s="298"/>
      <c r="BA109" s="298"/>
      <c r="BB109" s="298"/>
      <c r="BC109" s="298"/>
      <c r="BD109" s="298"/>
      <c r="BE109" s="298"/>
      <c r="BF109" s="298"/>
      <c r="BG109" s="298"/>
      <c r="BH109" s="298"/>
      <c r="BI109" s="298"/>
      <c r="BJ109" s="298"/>
      <c r="BK109" s="298"/>
      <c r="BL109" s="298"/>
      <c r="BM109" s="298"/>
      <c r="BN109" s="298"/>
      <c r="BO109" s="298"/>
      <c r="BP109" s="298"/>
      <c r="BQ109" s="298"/>
      <c r="BR109" s="298"/>
      <c r="BS109" s="302"/>
      <c r="BT109" s="302"/>
      <c r="BU109" s="298"/>
      <c r="BV109" s="298"/>
      <c r="BW109" s="296"/>
      <c r="BX109" s="296"/>
      <c r="BY109" s="298"/>
      <c r="BZ109" s="298"/>
      <c r="CA109" s="298"/>
      <c r="CB109" s="298"/>
      <c r="CC109" s="298"/>
      <c r="CD109" s="298"/>
      <c r="CE109" s="129"/>
      <c r="CF109" s="129"/>
      <c r="CG109" s="129"/>
      <c r="CH109" s="129"/>
      <c r="CI109" s="129"/>
      <c r="CJ109" s="129"/>
      <c r="CK109" s="129"/>
      <c r="CL109" s="129"/>
      <c r="CM109" s="129"/>
      <c r="CN109" s="129"/>
      <c r="CO109" s="129"/>
      <c r="CP109" s="129"/>
      <c r="CQ109" s="122"/>
      <c r="CR109" s="122"/>
      <c r="CS109" s="129"/>
      <c r="CT109" s="129"/>
      <c r="CU109" s="129"/>
      <c r="CV109" s="129"/>
      <c r="CW109" s="129"/>
      <c r="CX109" s="129"/>
      <c r="CY109" s="129"/>
      <c r="CZ109" s="129"/>
      <c r="DA109" s="129"/>
      <c r="DB109" s="129"/>
      <c r="DC109" s="129"/>
      <c r="DD109" s="129"/>
      <c r="DE109" s="129"/>
      <c r="DF109" s="129"/>
      <c r="DG109" s="129"/>
      <c r="DH109" s="129"/>
      <c r="DI109" s="129"/>
      <c r="DJ109" s="129"/>
      <c r="DK109" s="129"/>
      <c r="DL109" s="129"/>
      <c r="DM109" s="129"/>
      <c r="DN109" s="129"/>
      <c r="DO109" s="129"/>
      <c r="DP109" s="129"/>
      <c r="DQ109" s="129"/>
      <c r="DR109" s="129"/>
      <c r="DS109" s="129"/>
      <c r="DT109" s="129"/>
      <c r="DU109" s="129"/>
      <c r="DV109" s="129"/>
      <c r="DW109" s="129"/>
      <c r="DX109" s="129"/>
      <c r="DY109" s="129"/>
      <c r="DZ109" s="129"/>
      <c r="EA109" s="129"/>
      <c r="EB109" s="129"/>
      <c r="EC109" s="129"/>
      <c r="ED109" s="129"/>
      <c r="EE109" s="129"/>
      <c r="EF109" s="129"/>
      <c r="EG109" s="129"/>
      <c r="EH109" s="129"/>
      <c r="EI109" s="129"/>
      <c r="EJ109" s="129"/>
      <c r="EK109" s="129"/>
      <c r="EL109" s="129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129"/>
      <c r="EX109" s="129"/>
      <c r="EY109" s="129"/>
      <c r="EZ109" s="129"/>
      <c r="FA109" s="129"/>
      <c r="FB109" s="129"/>
      <c r="FC109" s="129"/>
      <c r="FD109" s="129"/>
      <c r="FE109" s="129"/>
      <c r="FF109" s="129"/>
      <c r="FG109" s="129"/>
      <c r="FH109" s="129"/>
      <c r="FI109" s="129"/>
      <c r="FJ109" s="129"/>
      <c r="FK109" s="129"/>
      <c r="FL109" s="129"/>
      <c r="FM109" s="129"/>
      <c r="FN109" s="129"/>
      <c r="FO109" s="129"/>
      <c r="FP109" s="129"/>
      <c r="FQ109" s="129"/>
      <c r="FR109" s="129"/>
      <c r="FS109" s="129"/>
      <c r="FT109" s="129"/>
      <c r="FU109" s="129"/>
      <c r="FV109" s="129"/>
      <c r="FW109" s="129"/>
      <c r="FX109" s="129"/>
      <c r="FY109" s="129"/>
      <c r="FZ109" s="129"/>
      <c r="GA109" s="129"/>
      <c r="GB109" s="129"/>
      <c r="GC109" s="129"/>
      <c r="GD109" s="129"/>
      <c r="GE109" s="129"/>
      <c r="GF109" s="129"/>
      <c r="GG109" s="129"/>
      <c r="GH109" s="129"/>
      <c r="GI109" s="129"/>
    </row>
    <row r="110" spans="1:191" s="13" customFormat="1" ht="20.25" customHeight="1">
      <c r="A110" s="117"/>
      <c r="B110" s="125"/>
      <c r="C110" s="145"/>
      <c r="D110" s="121"/>
      <c r="E110" s="103"/>
      <c r="F110" s="296"/>
      <c r="G110" s="296"/>
      <c r="H110" s="296"/>
      <c r="I110" s="296"/>
      <c r="J110" s="296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/>
      <c r="AA110" s="296"/>
      <c r="AB110" s="296"/>
      <c r="AC110" s="296"/>
      <c r="AD110" s="296"/>
      <c r="AE110" s="296"/>
      <c r="AF110" s="296"/>
      <c r="AG110" s="296"/>
      <c r="AH110" s="296"/>
      <c r="AI110" s="296"/>
      <c r="AJ110" s="296"/>
      <c r="AK110" s="296"/>
      <c r="AL110" s="296"/>
      <c r="AM110" s="296"/>
      <c r="AN110" s="296"/>
      <c r="AO110" s="296"/>
      <c r="AP110" s="296"/>
      <c r="AQ110" s="296"/>
      <c r="AR110" s="296"/>
      <c r="AS110" s="296"/>
      <c r="AT110" s="296"/>
      <c r="AU110" s="296"/>
      <c r="AV110" s="296"/>
      <c r="AW110" s="296"/>
      <c r="AX110" s="296"/>
      <c r="AY110" s="296"/>
      <c r="AZ110" s="296"/>
      <c r="BA110" s="296"/>
      <c r="BB110" s="296"/>
      <c r="BC110" s="296"/>
      <c r="BD110" s="296"/>
      <c r="BE110" s="296"/>
      <c r="BF110" s="296"/>
      <c r="BG110" s="296"/>
      <c r="BH110" s="296"/>
      <c r="BI110" s="296"/>
      <c r="BJ110" s="296"/>
      <c r="BK110" s="296"/>
      <c r="BL110" s="296"/>
      <c r="BM110" s="296"/>
      <c r="BN110" s="296"/>
      <c r="BO110" s="296"/>
      <c r="BP110" s="296"/>
      <c r="BQ110" s="296"/>
      <c r="BR110" s="296"/>
      <c r="BS110" s="297"/>
      <c r="BT110" s="297"/>
      <c r="BU110" s="296"/>
      <c r="BV110" s="296"/>
      <c r="BW110" s="296"/>
      <c r="BX110" s="296"/>
      <c r="BY110" s="296"/>
      <c r="BZ110" s="296"/>
      <c r="CA110" s="296"/>
      <c r="CB110" s="296"/>
      <c r="CC110" s="296"/>
      <c r="CD110" s="296"/>
      <c r="CE110" s="122"/>
      <c r="CF110" s="122"/>
      <c r="CG110" s="122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22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122"/>
      <c r="DD110" s="122"/>
      <c r="DE110" s="122"/>
      <c r="DF110" s="122"/>
      <c r="DG110" s="122"/>
      <c r="DH110" s="122"/>
      <c r="DI110" s="122"/>
      <c r="DJ110" s="122"/>
      <c r="DK110" s="122"/>
      <c r="DL110" s="122"/>
      <c r="DM110" s="122"/>
      <c r="DN110" s="122"/>
      <c r="DO110" s="122"/>
      <c r="DP110" s="122"/>
      <c r="DQ110" s="122"/>
      <c r="DR110" s="122"/>
      <c r="DS110" s="122"/>
      <c r="DT110" s="122"/>
      <c r="DU110" s="122"/>
      <c r="DV110" s="122"/>
      <c r="DW110" s="122"/>
      <c r="DX110" s="122"/>
      <c r="DY110" s="122"/>
      <c r="DZ110" s="122"/>
      <c r="EA110" s="122"/>
      <c r="EB110" s="122"/>
      <c r="EC110" s="122"/>
      <c r="ED110" s="122"/>
      <c r="EE110" s="122"/>
      <c r="EF110" s="122"/>
      <c r="EG110" s="122"/>
      <c r="EH110" s="122"/>
      <c r="EI110" s="122"/>
      <c r="EJ110" s="122"/>
      <c r="EK110" s="122"/>
      <c r="EL110" s="122"/>
      <c r="EM110" s="122"/>
      <c r="EN110" s="122"/>
      <c r="EO110" s="122"/>
      <c r="EP110" s="122"/>
      <c r="EQ110" s="122"/>
      <c r="ER110" s="122"/>
      <c r="ES110" s="122"/>
      <c r="ET110" s="122"/>
      <c r="EU110" s="122"/>
      <c r="EV110" s="122"/>
      <c r="EW110" s="122"/>
      <c r="EX110" s="122"/>
      <c r="EY110" s="122"/>
      <c r="EZ110" s="122"/>
      <c r="FA110" s="122"/>
      <c r="FB110" s="122"/>
      <c r="FC110" s="122"/>
      <c r="FD110" s="122"/>
      <c r="FE110" s="122"/>
      <c r="FF110" s="122"/>
      <c r="FG110" s="122"/>
      <c r="FH110" s="122"/>
      <c r="FI110" s="122"/>
      <c r="FJ110" s="122"/>
      <c r="FK110" s="122"/>
      <c r="FL110" s="122"/>
      <c r="FM110" s="122"/>
      <c r="FN110" s="122"/>
      <c r="FO110" s="122"/>
      <c r="FP110" s="122"/>
      <c r="FQ110" s="122"/>
      <c r="FR110" s="122"/>
      <c r="FS110" s="122"/>
      <c r="FT110" s="122"/>
      <c r="FU110" s="122"/>
      <c r="FV110" s="122"/>
      <c r="FW110" s="122"/>
      <c r="FX110" s="122"/>
      <c r="FY110" s="122"/>
      <c r="FZ110" s="122"/>
      <c r="GA110" s="122"/>
      <c r="GB110" s="122"/>
      <c r="GC110" s="122"/>
      <c r="GD110" s="122"/>
      <c r="GE110" s="122"/>
      <c r="GF110" s="122"/>
      <c r="GG110" s="122"/>
      <c r="GH110" s="122"/>
      <c r="GI110" s="122"/>
    </row>
    <row r="111" spans="1:191" s="13" customFormat="1" ht="20.25" customHeight="1">
      <c r="A111" s="117">
        <v>52</v>
      </c>
      <c r="B111" s="125"/>
      <c r="C111" s="126"/>
      <c r="D111" s="102">
        <f t="shared" ref="D111" si="54">IFERROR(SUMPRODUCT(F111:HE111,$F$6:$HE$6)/100,0)</f>
        <v>0</v>
      </c>
      <c r="E111" s="103"/>
      <c r="F111" s="296"/>
      <c r="G111" s="296"/>
      <c r="H111" s="296"/>
      <c r="I111" s="296"/>
      <c r="J111" s="296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  <c r="Y111" s="296"/>
      <c r="Z111" s="296"/>
      <c r="AA111" s="296"/>
      <c r="AB111" s="296"/>
      <c r="AC111" s="296"/>
      <c r="AD111" s="296"/>
      <c r="AE111" s="296"/>
      <c r="AF111" s="296"/>
      <c r="AG111" s="296"/>
      <c r="AH111" s="296"/>
      <c r="AI111" s="296"/>
      <c r="AJ111" s="296"/>
      <c r="AK111" s="296"/>
      <c r="AL111" s="296"/>
      <c r="AM111" s="296"/>
      <c r="AN111" s="296"/>
      <c r="AO111" s="296"/>
      <c r="AP111" s="296"/>
      <c r="AQ111" s="296"/>
      <c r="AR111" s="296"/>
      <c r="AS111" s="296"/>
      <c r="AT111" s="296"/>
      <c r="AU111" s="296"/>
      <c r="AV111" s="296"/>
      <c r="AW111" s="296"/>
      <c r="AX111" s="296"/>
      <c r="AY111" s="296"/>
      <c r="AZ111" s="296"/>
      <c r="BA111" s="296"/>
      <c r="BB111" s="296"/>
      <c r="BC111" s="296"/>
      <c r="BD111" s="296"/>
      <c r="BE111" s="296"/>
      <c r="BF111" s="296"/>
      <c r="BG111" s="296"/>
      <c r="BH111" s="296"/>
      <c r="BI111" s="296"/>
      <c r="BJ111" s="296"/>
      <c r="BK111" s="296"/>
      <c r="BL111" s="296"/>
      <c r="BM111" s="296"/>
      <c r="BN111" s="296"/>
      <c r="BO111" s="296"/>
      <c r="BP111" s="296"/>
      <c r="BQ111" s="296"/>
      <c r="BR111" s="296"/>
      <c r="BS111" s="297"/>
      <c r="BT111" s="297"/>
      <c r="BU111" s="296"/>
      <c r="BV111" s="296"/>
      <c r="BW111" s="296"/>
      <c r="BX111" s="296"/>
      <c r="BY111" s="296"/>
      <c r="BZ111" s="296"/>
      <c r="CA111" s="296"/>
      <c r="CB111" s="296"/>
      <c r="CC111" s="296"/>
      <c r="CD111" s="296"/>
      <c r="CE111" s="122"/>
      <c r="CF111" s="122"/>
      <c r="CG111" s="122"/>
      <c r="CH111" s="122"/>
      <c r="CI111" s="122"/>
      <c r="CJ111" s="122"/>
      <c r="CK111" s="122"/>
      <c r="CL111" s="122"/>
      <c r="CM111" s="122"/>
      <c r="CN111" s="122"/>
      <c r="CO111" s="122"/>
      <c r="CP111" s="122"/>
      <c r="CQ111" s="122"/>
      <c r="CR111" s="122"/>
      <c r="CS111" s="122"/>
      <c r="CT111" s="122"/>
      <c r="CU111" s="122"/>
      <c r="CV111" s="122"/>
      <c r="CW111" s="122"/>
      <c r="CX111" s="122"/>
      <c r="CY111" s="122"/>
      <c r="CZ111" s="122"/>
      <c r="DA111" s="122"/>
      <c r="DB111" s="122"/>
      <c r="DC111" s="122"/>
      <c r="DD111" s="122"/>
      <c r="DE111" s="122"/>
      <c r="DF111" s="122"/>
      <c r="DG111" s="122"/>
      <c r="DH111" s="122"/>
      <c r="DI111" s="122"/>
      <c r="DJ111" s="122"/>
      <c r="DK111" s="122"/>
      <c r="DL111" s="122"/>
      <c r="DM111" s="122"/>
      <c r="DN111" s="122"/>
      <c r="DO111" s="122"/>
      <c r="DP111" s="122"/>
      <c r="DQ111" s="122"/>
      <c r="DR111" s="122"/>
      <c r="DS111" s="122"/>
      <c r="DT111" s="122"/>
      <c r="DU111" s="122"/>
      <c r="DV111" s="122"/>
      <c r="DW111" s="122"/>
      <c r="DX111" s="122"/>
      <c r="DY111" s="122"/>
      <c r="DZ111" s="122"/>
      <c r="EA111" s="122"/>
      <c r="EB111" s="122"/>
      <c r="EC111" s="122"/>
      <c r="ED111" s="122"/>
      <c r="EE111" s="122"/>
      <c r="EF111" s="122"/>
      <c r="EG111" s="122"/>
      <c r="EH111" s="122"/>
      <c r="EI111" s="122"/>
      <c r="EJ111" s="122"/>
      <c r="EK111" s="122"/>
      <c r="EL111" s="122"/>
      <c r="EM111" s="122"/>
      <c r="EN111" s="122"/>
      <c r="EO111" s="122"/>
      <c r="EP111" s="122"/>
      <c r="EQ111" s="122"/>
      <c r="ER111" s="122"/>
      <c r="ES111" s="122"/>
      <c r="ET111" s="122"/>
      <c r="EU111" s="122"/>
      <c r="EV111" s="122"/>
      <c r="EW111" s="122"/>
      <c r="EX111" s="122"/>
      <c r="EY111" s="122"/>
      <c r="EZ111" s="122"/>
      <c r="FA111" s="122"/>
      <c r="FB111" s="122"/>
      <c r="FC111" s="122"/>
      <c r="FD111" s="122"/>
      <c r="FE111" s="122"/>
      <c r="FF111" s="122"/>
      <c r="FG111" s="122"/>
      <c r="FH111" s="122"/>
      <c r="FI111" s="122"/>
      <c r="FJ111" s="122"/>
      <c r="FK111" s="122"/>
      <c r="FL111" s="122"/>
      <c r="FM111" s="122"/>
      <c r="FN111" s="122"/>
      <c r="FO111" s="122"/>
      <c r="FP111" s="122"/>
      <c r="FQ111" s="122"/>
      <c r="FR111" s="122"/>
      <c r="FS111" s="122"/>
      <c r="FT111" s="122"/>
      <c r="FU111" s="122"/>
      <c r="FV111" s="122"/>
      <c r="FW111" s="122"/>
      <c r="FX111" s="122"/>
      <c r="FY111" s="122"/>
      <c r="FZ111" s="122"/>
      <c r="GA111" s="122"/>
      <c r="GB111" s="122"/>
      <c r="GC111" s="122"/>
      <c r="GD111" s="122"/>
      <c r="GE111" s="122"/>
      <c r="GF111" s="122"/>
      <c r="GG111" s="122"/>
      <c r="GH111" s="122"/>
      <c r="GI111" s="122"/>
    </row>
    <row r="112" spans="1:191" s="13" customFormat="1" ht="20.25" customHeight="1">
      <c r="A112" s="117"/>
      <c r="B112" s="125"/>
      <c r="C112" s="144"/>
      <c r="D112" s="121"/>
      <c r="E112" s="103"/>
      <c r="F112" s="296"/>
      <c r="G112" s="296"/>
      <c r="H112" s="296"/>
      <c r="I112" s="296"/>
      <c r="J112" s="296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  <c r="Y112" s="296"/>
      <c r="Z112" s="296"/>
      <c r="AA112" s="296"/>
      <c r="AB112" s="296"/>
      <c r="AC112" s="296"/>
      <c r="AD112" s="296"/>
      <c r="AE112" s="296"/>
      <c r="AF112" s="296"/>
      <c r="AG112" s="296"/>
      <c r="AH112" s="296"/>
      <c r="AI112" s="296"/>
      <c r="AJ112" s="296"/>
      <c r="AK112" s="296"/>
      <c r="AL112" s="296"/>
      <c r="AM112" s="296"/>
      <c r="AN112" s="296"/>
      <c r="AO112" s="296"/>
      <c r="AP112" s="296"/>
      <c r="AQ112" s="296"/>
      <c r="AR112" s="296"/>
      <c r="AS112" s="296"/>
      <c r="AT112" s="296"/>
      <c r="AU112" s="296"/>
      <c r="AV112" s="296"/>
      <c r="AW112" s="296"/>
      <c r="AX112" s="296"/>
      <c r="AY112" s="296"/>
      <c r="AZ112" s="296"/>
      <c r="BA112" s="296"/>
      <c r="BB112" s="296"/>
      <c r="BC112" s="296"/>
      <c r="BD112" s="296"/>
      <c r="BE112" s="296"/>
      <c r="BF112" s="296"/>
      <c r="BG112" s="296"/>
      <c r="BH112" s="296"/>
      <c r="BI112" s="296"/>
      <c r="BJ112" s="296"/>
      <c r="BK112" s="296"/>
      <c r="BL112" s="296"/>
      <c r="BM112" s="296"/>
      <c r="BN112" s="296"/>
      <c r="BO112" s="296"/>
      <c r="BP112" s="296"/>
      <c r="BQ112" s="296"/>
      <c r="BR112" s="296"/>
      <c r="BS112" s="297"/>
      <c r="BT112" s="297"/>
      <c r="BU112" s="296"/>
      <c r="BV112" s="296"/>
      <c r="BW112" s="296"/>
      <c r="BX112" s="296"/>
      <c r="BY112" s="296"/>
      <c r="BZ112" s="296"/>
      <c r="CA112" s="296"/>
      <c r="CB112" s="296"/>
      <c r="CC112" s="296"/>
      <c r="CD112" s="296"/>
      <c r="CE112" s="122"/>
      <c r="CF112" s="122"/>
      <c r="CG112" s="122"/>
      <c r="CH112" s="122"/>
      <c r="CI112" s="122"/>
      <c r="CJ112" s="122"/>
      <c r="CK112" s="122"/>
      <c r="CL112" s="122"/>
      <c r="CM112" s="122"/>
      <c r="CN112" s="122"/>
      <c r="CO112" s="122"/>
      <c r="CP112" s="122"/>
      <c r="CQ112" s="122"/>
      <c r="CR112" s="122"/>
      <c r="CS112" s="122"/>
      <c r="CT112" s="122"/>
      <c r="CU112" s="122"/>
      <c r="CV112" s="122"/>
      <c r="CW112" s="122"/>
      <c r="CX112" s="122"/>
      <c r="CY112" s="122"/>
      <c r="CZ112" s="122"/>
      <c r="DA112" s="122"/>
      <c r="DB112" s="122"/>
      <c r="DC112" s="122"/>
      <c r="DD112" s="122"/>
      <c r="DE112" s="122"/>
      <c r="DF112" s="122"/>
      <c r="DG112" s="122"/>
      <c r="DH112" s="122"/>
      <c r="DI112" s="122"/>
      <c r="DJ112" s="122"/>
      <c r="DK112" s="122"/>
      <c r="DL112" s="122"/>
      <c r="DM112" s="122"/>
      <c r="DN112" s="122"/>
      <c r="DO112" s="122"/>
      <c r="DP112" s="122"/>
      <c r="DQ112" s="122"/>
      <c r="DR112" s="122"/>
      <c r="DS112" s="122"/>
      <c r="DT112" s="122"/>
      <c r="DU112" s="122"/>
      <c r="DV112" s="122"/>
      <c r="DW112" s="122"/>
      <c r="DX112" s="122"/>
      <c r="DY112" s="122"/>
      <c r="DZ112" s="122"/>
      <c r="EA112" s="122"/>
      <c r="EB112" s="122"/>
      <c r="EC112" s="122"/>
      <c r="ED112" s="122"/>
      <c r="EE112" s="122"/>
      <c r="EF112" s="122"/>
      <c r="EG112" s="122"/>
      <c r="EH112" s="122"/>
      <c r="EI112" s="122"/>
      <c r="EJ112" s="122"/>
      <c r="EK112" s="122"/>
      <c r="EL112" s="122"/>
      <c r="EM112" s="122"/>
      <c r="EN112" s="122"/>
      <c r="EO112" s="122"/>
      <c r="EP112" s="122"/>
      <c r="EQ112" s="122"/>
      <c r="ER112" s="122"/>
      <c r="ES112" s="122"/>
      <c r="ET112" s="122"/>
      <c r="EU112" s="122"/>
      <c r="EV112" s="122"/>
      <c r="EW112" s="122"/>
      <c r="EX112" s="122"/>
      <c r="EY112" s="122"/>
      <c r="EZ112" s="122"/>
      <c r="FA112" s="122"/>
      <c r="FB112" s="122"/>
      <c r="FC112" s="122"/>
      <c r="FD112" s="122"/>
      <c r="FE112" s="122"/>
      <c r="FF112" s="122"/>
      <c r="FG112" s="122"/>
      <c r="FH112" s="122"/>
      <c r="FI112" s="122"/>
      <c r="FJ112" s="122"/>
      <c r="FK112" s="122"/>
      <c r="FL112" s="122"/>
      <c r="FM112" s="122"/>
      <c r="FN112" s="122"/>
      <c r="FO112" s="122"/>
      <c r="FP112" s="122"/>
      <c r="FQ112" s="122"/>
      <c r="FR112" s="122"/>
      <c r="FS112" s="122"/>
      <c r="FT112" s="122"/>
      <c r="FU112" s="122"/>
      <c r="FV112" s="122"/>
      <c r="FW112" s="122"/>
      <c r="FX112" s="122"/>
      <c r="FY112" s="122"/>
      <c r="FZ112" s="122"/>
      <c r="GA112" s="122"/>
      <c r="GB112" s="122"/>
      <c r="GC112" s="122"/>
      <c r="GD112" s="122"/>
      <c r="GE112" s="122"/>
      <c r="GF112" s="122"/>
      <c r="GG112" s="122"/>
      <c r="GH112" s="122"/>
      <c r="GI112" s="122"/>
    </row>
    <row r="113" spans="1:191" s="13" customFormat="1" ht="20.25" customHeight="1">
      <c r="A113" s="117">
        <v>53</v>
      </c>
      <c r="B113" s="125"/>
      <c r="C113" s="144"/>
      <c r="D113" s="102">
        <f t="shared" ref="D113" si="55">IFERROR(SUMPRODUCT(F113:HE113,$F$6:$HE$6)/100,0)</f>
        <v>0</v>
      </c>
      <c r="E113" s="103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96"/>
      <c r="AB113" s="296"/>
      <c r="AC113" s="296"/>
      <c r="AD113" s="296"/>
      <c r="AE113" s="296"/>
      <c r="AF113" s="296"/>
      <c r="AG113" s="296"/>
      <c r="AH113" s="296"/>
      <c r="AI113" s="296"/>
      <c r="AJ113" s="296"/>
      <c r="AK113" s="296"/>
      <c r="AL113" s="296"/>
      <c r="AM113" s="296"/>
      <c r="AN113" s="296"/>
      <c r="AO113" s="296"/>
      <c r="AP113" s="296"/>
      <c r="AQ113" s="296"/>
      <c r="AR113" s="296"/>
      <c r="AS113" s="296"/>
      <c r="AT113" s="296"/>
      <c r="AU113" s="296"/>
      <c r="AV113" s="296"/>
      <c r="AW113" s="296"/>
      <c r="AX113" s="296"/>
      <c r="AY113" s="296"/>
      <c r="AZ113" s="296"/>
      <c r="BA113" s="296"/>
      <c r="BB113" s="296"/>
      <c r="BC113" s="296"/>
      <c r="BD113" s="296"/>
      <c r="BE113" s="296"/>
      <c r="BF113" s="296"/>
      <c r="BG113" s="296"/>
      <c r="BH113" s="296"/>
      <c r="BI113" s="296"/>
      <c r="BJ113" s="296"/>
      <c r="BK113" s="296"/>
      <c r="BL113" s="296"/>
      <c r="BM113" s="296"/>
      <c r="BN113" s="296"/>
      <c r="BO113" s="296"/>
      <c r="BP113" s="296"/>
      <c r="BQ113" s="296"/>
      <c r="BR113" s="296"/>
      <c r="BS113" s="297"/>
      <c r="BT113" s="297"/>
      <c r="BU113" s="296"/>
      <c r="BV113" s="296"/>
      <c r="BW113" s="296"/>
      <c r="BX113" s="296"/>
      <c r="BY113" s="296"/>
      <c r="BZ113" s="296"/>
      <c r="CA113" s="296"/>
      <c r="CB113" s="296"/>
      <c r="CC113" s="296"/>
      <c r="CD113" s="296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Q113" s="122"/>
      <c r="ER113" s="122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R113" s="122"/>
      <c r="FS113" s="122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</row>
    <row r="114" spans="1:191" s="13" customFormat="1" ht="20.25" customHeight="1">
      <c r="A114" s="117"/>
      <c r="B114" s="125"/>
      <c r="C114" s="144"/>
      <c r="D114" s="121"/>
      <c r="E114" s="103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6"/>
      <c r="BI114" s="296"/>
      <c r="BJ114" s="296"/>
      <c r="BK114" s="296"/>
      <c r="BL114" s="296"/>
      <c r="BM114" s="296"/>
      <c r="BN114" s="296"/>
      <c r="BO114" s="296"/>
      <c r="BP114" s="296"/>
      <c r="BQ114" s="296"/>
      <c r="BR114" s="296"/>
      <c r="BS114" s="297"/>
      <c r="BT114" s="297"/>
      <c r="BU114" s="296"/>
      <c r="BV114" s="296"/>
      <c r="BW114" s="296"/>
      <c r="BX114" s="296"/>
      <c r="BY114" s="296"/>
      <c r="BZ114" s="296"/>
      <c r="CA114" s="296"/>
      <c r="CB114" s="296"/>
      <c r="CC114" s="296"/>
      <c r="CD114" s="296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O114" s="122"/>
      <c r="CP114" s="122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P114" s="122"/>
      <c r="DQ114" s="122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Q114" s="122"/>
      <c r="ER114" s="122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R114" s="122"/>
      <c r="FS114" s="122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</row>
    <row r="115" spans="1:191" s="13" customFormat="1" ht="20.25" customHeight="1">
      <c r="A115" s="117">
        <v>54</v>
      </c>
      <c r="B115" s="125"/>
      <c r="C115" s="120"/>
      <c r="D115" s="102">
        <f t="shared" ref="D115" si="56">IFERROR(SUMPRODUCT(F115:HE115,$F$6:$HE$6)/100,0)</f>
        <v>0</v>
      </c>
      <c r="E115" s="103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6"/>
      <c r="AR115" s="296"/>
      <c r="AS115" s="296"/>
      <c r="AT115" s="296"/>
      <c r="AU115" s="296"/>
      <c r="AV115" s="296"/>
      <c r="AW115" s="296"/>
      <c r="AX115" s="296"/>
      <c r="AY115" s="296"/>
      <c r="AZ115" s="296"/>
      <c r="BA115" s="296"/>
      <c r="BB115" s="296"/>
      <c r="BC115" s="296"/>
      <c r="BD115" s="296"/>
      <c r="BE115" s="296"/>
      <c r="BF115" s="296"/>
      <c r="BG115" s="296"/>
      <c r="BH115" s="296"/>
      <c r="BI115" s="296"/>
      <c r="BJ115" s="296"/>
      <c r="BK115" s="296"/>
      <c r="BL115" s="296"/>
      <c r="BM115" s="296"/>
      <c r="BN115" s="296"/>
      <c r="BO115" s="296"/>
      <c r="BP115" s="296"/>
      <c r="BQ115" s="296"/>
      <c r="BR115" s="296"/>
      <c r="BS115" s="297"/>
      <c r="BT115" s="297"/>
      <c r="BU115" s="296"/>
      <c r="BV115" s="296"/>
      <c r="BW115" s="296"/>
      <c r="BX115" s="296"/>
      <c r="BY115" s="296"/>
      <c r="BZ115" s="296"/>
      <c r="CA115" s="296"/>
      <c r="CB115" s="296"/>
      <c r="CC115" s="296"/>
      <c r="CD115" s="296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Q115" s="122"/>
      <c r="ER115" s="122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R115" s="122"/>
      <c r="FS115" s="122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</row>
    <row r="116" spans="1:191" s="13" customFormat="1" ht="20.25" customHeight="1">
      <c r="A116" s="117"/>
      <c r="B116" s="125"/>
      <c r="C116" s="144"/>
      <c r="D116" s="121"/>
      <c r="E116" s="103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123"/>
      <c r="BT116" s="123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O116" s="122"/>
      <c r="CP116" s="122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P116" s="122"/>
      <c r="DQ116" s="122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Q116" s="122"/>
      <c r="ER116" s="122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R116" s="122"/>
      <c r="FS116" s="122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</row>
    <row r="117" spans="1:191" s="13" customFormat="1" ht="20.25" customHeight="1">
      <c r="A117" s="117">
        <v>55</v>
      </c>
      <c r="B117" s="125"/>
      <c r="C117" s="120"/>
      <c r="D117" s="102">
        <f t="shared" ref="D117" si="57">IFERROR(SUMPRODUCT(F117:HE117,$F$6:$HE$6)/100,0)</f>
        <v>0</v>
      </c>
      <c r="E117" s="103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N117" s="122"/>
      <c r="BO117" s="122"/>
      <c r="BP117" s="122"/>
      <c r="BQ117" s="122"/>
      <c r="BR117" s="122"/>
      <c r="BS117" s="123"/>
      <c r="BT117" s="123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O117" s="122"/>
      <c r="CP117" s="122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P117" s="122"/>
      <c r="DQ117" s="122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Q117" s="122"/>
      <c r="ER117" s="122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R117" s="122"/>
      <c r="FS117" s="122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</row>
    <row r="118" spans="1:191" s="13" customFormat="1" ht="20.25" customHeight="1">
      <c r="A118" s="117"/>
      <c r="B118" s="125"/>
      <c r="C118" s="144"/>
      <c r="D118" s="121"/>
      <c r="E118" s="103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  <c r="AS118" s="122"/>
      <c r="AT118" s="122"/>
      <c r="AU118" s="122"/>
      <c r="AV118" s="122"/>
      <c r="AW118" s="122"/>
      <c r="AX118" s="122"/>
      <c r="AY118" s="122"/>
      <c r="AZ118" s="122"/>
      <c r="BA118" s="122"/>
      <c r="BB118" s="122"/>
      <c r="BC118" s="122"/>
      <c r="BD118" s="122"/>
      <c r="BE118" s="122"/>
      <c r="BF118" s="122"/>
      <c r="BG118" s="122"/>
      <c r="BH118" s="122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123"/>
      <c r="BT118" s="123"/>
      <c r="BU118" s="122"/>
      <c r="BV118" s="122"/>
      <c r="BW118" s="122"/>
      <c r="BX118" s="122"/>
      <c r="BY118" s="122"/>
      <c r="BZ118" s="122"/>
      <c r="CA118" s="122"/>
      <c r="CB118" s="122"/>
      <c r="CC118" s="122"/>
      <c r="CD118" s="122"/>
      <c r="CE118" s="122"/>
      <c r="CF118" s="122"/>
      <c r="CG118" s="122"/>
      <c r="CH118" s="122"/>
      <c r="CI118" s="122"/>
      <c r="CJ118" s="122"/>
      <c r="CK118" s="122"/>
      <c r="CL118" s="122"/>
      <c r="CM118" s="122"/>
      <c r="CN118" s="122"/>
      <c r="CO118" s="122"/>
      <c r="CP118" s="122"/>
      <c r="CQ118" s="122"/>
      <c r="CR118" s="122"/>
      <c r="CS118" s="122"/>
      <c r="CT118" s="122"/>
      <c r="CU118" s="122"/>
      <c r="CV118" s="122"/>
      <c r="CW118" s="122"/>
      <c r="CX118" s="122"/>
      <c r="CY118" s="122"/>
      <c r="CZ118" s="122"/>
      <c r="DA118" s="122"/>
      <c r="DB118" s="122"/>
      <c r="DC118" s="122"/>
      <c r="DD118" s="122"/>
      <c r="DE118" s="122"/>
      <c r="DF118" s="122"/>
      <c r="DG118" s="122"/>
      <c r="DH118" s="122"/>
      <c r="DI118" s="122"/>
      <c r="DJ118" s="122"/>
      <c r="DK118" s="122"/>
      <c r="DL118" s="122"/>
      <c r="DM118" s="122"/>
      <c r="DN118" s="122"/>
      <c r="DO118" s="122"/>
      <c r="DP118" s="122"/>
      <c r="DQ118" s="122"/>
      <c r="DR118" s="122"/>
      <c r="DS118" s="122"/>
      <c r="DT118" s="122"/>
      <c r="DU118" s="122"/>
      <c r="DV118" s="122"/>
      <c r="DW118" s="122"/>
      <c r="DX118" s="122"/>
      <c r="DY118" s="122"/>
      <c r="DZ118" s="122"/>
      <c r="EA118" s="122"/>
      <c r="EB118" s="122"/>
      <c r="EC118" s="122"/>
      <c r="ED118" s="122"/>
      <c r="EE118" s="122"/>
      <c r="EF118" s="122"/>
      <c r="EG118" s="122"/>
      <c r="EH118" s="122"/>
      <c r="EI118" s="122"/>
      <c r="EJ118" s="122"/>
      <c r="EK118" s="122"/>
      <c r="EL118" s="122"/>
      <c r="EM118" s="122"/>
      <c r="EN118" s="122"/>
      <c r="EO118" s="122"/>
      <c r="EP118" s="122"/>
      <c r="EQ118" s="122"/>
      <c r="ER118" s="122"/>
      <c r="ES118" s="122"/>
      <c r="ET118" s="122"/>
      <c r="EU118" s="122"/>
      <c r="EV118" s="122"/>
      <c r="EW118" s="122"/>
      <c r="EX118" s="122"/>
      <c r="EY118" s="122"/>
      <c r="EZ118" s="122"/>
      <c r="FA118" s="122"/>
      <c r="FB118" s="122"/>
      <c r="FC118" s="122"/>
      <c r="FD118" s="122"/>
      <c r="FE118" s="122"/>
      <c r="FF118" s="122"/>
      <c r="FG118" s="122"/>
      <c r="FH118" s="122"/>
      <c r="FI118" s="122"/>
      <c r="FJ118" s="122"/>
      <c r="FK118" s="122"/>
      <c r="FL118" s="122"/>
      <c r="FM118" s="122"/>
      <c r="FN118" s="122"/>
      <c r="FO118" s="122"/>
      <c r="FP118" s="122"/>
      <c r="FQ118" s="122"/>
      <c r="FR118" s="122"/>
      <c r="FS118" s="122"/>
      <c r="FT118" s="122"/>
      <c r="FU118" s="122"/>
      <c r="FV118" s="122"/>
      <c r="FW118" s="122"/>
      <c r="FX118" s="122"/>
      <c r="FY118" s="122"/>
      <c r="FZ118" s="122"/>
      <c r="GA118" s="122"/>
      <c r="GB118" s="122"/>
      <c r="GC118" s="122"/>
      <c r="GD118" s="122"/>
      <c r="GE118" s="122"/>
      <c r="GF118" s="122"/>
      <c r="GG118" s="122"/>
      <c r="GH118" s="122"/>
      <c r="GI118" s="122"/>
    </row>
    <row r="119" spans="1:191" s="13" customFormat="1" ht="20.25" customHeight="1">
      <c r="A119" s="117">
        <v>56</v>
      </c>
      <c r="B119" s="125"/>
      <c r="C119" s="144"/>
      <c r="D119" s="102">
        <f t="shared" ref="D119" si="58">IFERROR(SUMPRODUCT(F119:HE119,$F$6:$HE$6)/100,0)</f>
        <v>0</v>
      </c>
      <c r="E119" s="103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  <c r="AS119" s="122"/>
      <c r="AT119" s="122"/>
      <c r="AU119" s="122"/>
      <c r="AV119" s="122"/>
      <c r="AW119" s="122"/>
      <c r="AX119" s="122"/>
      <c r="AY119" s="122"/>
      <c r="AZ119" s="122"/>
      <c r="BA119" s="122"/>
      <c r="BB119" s="122"/>
      <c r="BC119" s="122"/>
      <c r="BD119" s="122"/>
      <c r="BE119" s="122"/>
      <c r="BF119" s="122"/>
      <c r="BG119" s="122"/>
      <c r="BH119" s="122"/>
      <c r="BI119" s="122"/>
      <c r="BJ119" s="122"/>
      <c r="BK119" s="122"/>
      <c r="BL119" s="122"/>
      <c r="BM119" s="122"/>
      <c r="BN119" s="122"/>
      <c r="BO119" s="122"/>
      <c r="BP119" s="122"/>
      <c r="BQ119" s="122"/>
      <c r="BR119" s="122"/>
      <c r="BS119" s="123"/>
      <c r="BT119" s="123"/>
      <c r="BU119" s="122"/>
      <c r="BV119" s="122"/>
      <c r="BW119" s="122"/>
      <c r="BX119" s="122"/>
      <c r="BY119" s="122"/>
      <c r="BZ119" s="122"/>
      <c r="CA119" s="122"/>
      <c r="CB119" s="122"/>
      <c r="CC119" s="122"/>
      <c r="CD119" s="122"/>
      <c r="CE119" s="122"/>
      <c r="CF119" s="122"/>
      <c r="CG119" s="122"/>
      <c r="CH119" s="122"/>
      <c r="CI119" s="122"/>
      <c r="CJ119" s="122"/>
      <c r="CK119" s="122"/>
      <c r="CL119" s="122"/>
      <c r="CM119" s="122"/>
      <c r="CN119" s="122"/>
      <c r="CO119" s="122"/>
      <c r="CP119" s="122"/>
      <c r="CQ119" s="122"/>
      <c r="CR119" s="122"/>
      <c r="CS119" s="122"/>
      <c r="CT119" s="122"/>
      <c r="CU119" s="122"/>
      <c r="CV119" s="122"/>
      <c r="CW119" s="122"/>
      <c r="CX119" s="122"/>
      <c r="CY119" s="122"/>
      <c r="CZ119" s="122"/>
      <c r="DA119" s="122"/>
      <c r="DB119" s="122"/>
      <c r="DC119" s="122"/>
      <c r="DD119" s="122"/>
      <c r="DE119" s="122"/>
      <c r="DF119" s="122"/>
      <c r="DG119" s="122"/>
      <c r="DH119" s="122"/>
      <c r="DI119" s="122"/>
      <c r="DJ119" s="122"/>
      <c r="DK119" s="122"/>
      <c r="DL119" s="122"/>
      <c r="DM119" s="122"/>
      <c r="DN119" s="122"/>
      <c r="DO119" s="122"/>
      <c r="DP119" s="122"/>
      <c r="DQ119" s="122"/>
      <c r="DR119" s="122"/>
      <c r="DS119" s="122"/>
      <c r="DT119" s="122"/>
      <c r="DU119" s="122"/>
      <c r="DV119" s="122"/>
      <c r="DW119" s="122"/>
      <c r="DX119" s="122"/>
      <c r="DY119" s="122"/>
      <c r="DZ119" s="122"/>
      <c r="EA119" s="122"/>
      <c r="EB119" s="122"/>
      <c r="EC119" s="122"/>
      <c r="ED119" s="122"/>
      <c r="EE119" s="122"/>
      <c r="EF119" s="122"/>
      <c r="EG119" s="122"/>
      <c r="EH119" s="122"/>
      <c r="EI119" s="122"/>
      <c r="EJ119" s="122"/>
      <c r="EK119" s="122"/>
      <c r="EL119" s="122"/>
      <c r="EM119" s="122"/>
      <c r="EN119" s="122"/>
      <c r="EO119" s="122"/>
      <c r="EP119" s="122"/>
      <c r="EQ119" s="122"/>
      <c r="ER119" s="122"/>
      <c r="ES119" s="122"/>
      <c r="ET119" s="122"/>
      <c r="EU119" s="122"/>
      <c r="EV119" s="122"/>
      <c r="EW119" s="122"/>
      <c r="EX119" s="122"/>
      <c r="EY119" s="122"/>
      <c r="EZ119" s="122"/>
      <c r="FA119" s="122"/>
      <c r="FB119" s="122"/>
      <c r="FC119" s="122"/>
      <c r="FD119" s="122"/>
      <c r="FE119" s="122"/>
      <c r="FF119" s="122"/>
      <c r="FG119" s="122"/>
      <c r="FH119" s="122"/>
      <c r="FI119" s="122"/>
      <c r="FJ119" s="122"/>
      <c r="FK119" s="122"/>
      <c r="FL119" s="122"/>
      <c r="FM119" s="122"/>
      <c r="FN119" s="122"/>
      <c r="FO119" s="122"/>
      <c r="FP119" s="122"/>
      <c r="FQ119" s="122"/>
      <c r="FR119" s="122"/>
      <c r="FS119" s="122"/>
      <c r="FT119" s="122"/>
      <c r="FU119" s="122"/>
      <c r="FV119" s="122"/>
      <c r="FW119" s="122"/>
      <c r="FX119" s="122"/>
      <c r="FY119" s="122"/>
      <c r="FZ119" s="122"/>
      <c r="GA119" s="122"/>
      <c r="GB119" s="122"/>
      <c r="GC119" s="122"/>
      <c r="GD119" s="122"/>
      <c r="GE119" s="122"/>
      <c r="GF119" s="122"/>
      <c r="GG119" s="122"/>
      <c r="GH119" s="122"/>
      <c r="GI119" s="122"/>
    </row>
    <row r="120" spans="1:191" s="13" customFormat="1" ht="20.25" customHeight="1">
      <c r="A120" s="117"/>
      <c r="B120" s="125"/>
      <c r="C120" s="120"/>
      <c r="D120" s="121"/>
      <c r="E120" s="103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  <c r="AS120" s="122"/>
      <c r="AT120" s="122"/>
      <c r="AU120" s="122"/>
      <c r="AV120" s="122"/>
      <c r="AW120" s="122"/>
      <c r="AX120" s="122"/>
      <c r="AY120" s="122"/>
      <c r="AZ120" s="122"/>
      <c r="BA120" s="122"/>
      <c r="BB120" s="122"/>
      <c r="BC120" s="122"/>
      <c r="BD120" s="122"/>
      <c r="BE120" s="122"/>
      <c r="BF120" s="122"/>
      <c r="BG120" s="122"/>
      <c r="BH120" s="122"/>
      <c r="BI120" s="122"/>
      <c r="BJ120" s="122"/>
      <c r="BK120" s="122"/>
      <c r="BL120" s="122"/>
      <c r="BM120" s="122"/>
      <c r="BN120" s="122"/>
      <c r="BO120" s="122"/>
      <c r="BP120" s="122"/>
      <c r="BQ120" s="122"/>
      <c r="BR120" s="122"/>
      <c r="BS120" s="123"/>
      <c r="BT120" s="123"/>
      <c r="BU120" s="122"/>
      <c r="BV120" s="122"/>
      <c r="BW120" s="122"/>
      <c r="BX120" s="122"/>
      <c r="BY120" s="122"/>
      <c r="BZ120" s="122"/>
      <c r="CA120" s="122"/>
      <c r="CB120" s="122"/>
      <c r="CC120" s="122"/>
      <c r="CD120" s="122"/>
      <c r="CE120" s="122"/>
      <c r="CF120" s="122"/>
      <c r="CG120" s="122"/>
      <c r="CH120" s="122"/>
      <c r="CI120" s="122"/>
      <c r="CJ120" s="122"/>
      <c r="CK120" s="122"/>
      <c r="CL120" s="122"/>
      <c r="CM120" s="122"/>
      <c r="CN120" s="122"/>
      <c r="CO120" s="122"/>
      <c r="CP120" s="122"/>
      <c r="CQ120" s="122"/>
      <c r="CR120" s="122"/>
      <c r="CS120" s="122"/>
      <c r="CT120" s="122"/>
      <c r="CU120" s="122"/>
      <c r="CV120" s="122"/>
      <c r="CW120" s="122"/>
      <c r="CX120" s="122"/>
      <c r="CY120" s="122"/>
      <c r="CZ120" s="122"/>
      <c r="DA120" s="122"/>
      <c r="DB120" s="122"/>
      <c r="DC120" s="122"/>
      <c r="DD120" s="122"/>
      <c r="DE120" s="122"/>
      <c r="DF120" s="122"/>
      <c r="DG120" s="122"/>
      <c r="DH120" s="122"/>
      <c r="DI120" s="122"/>
      <c r="DJ120" s="122"/>
      <c r="DK120" s="122"/>
      <c r="DL120" s="122"/>
      <c r="DM120" s="122"/>
      <c r="DN120" s="122"/>
      <c r="DO120" s="122"/>
      <c r="DP120" s="122"/>
      <c r="DQ120" s="122"/>
      <c r="DR120" s="122"/>
      <c r="DS120" s="122"/>
      <c r="DT120" s="122"/>
      <c r="DU120" s="122"/>
      <c r="DV120" s="122"/>
      <c r="DW120" s="122"/>
      <c r="DX120" s="122"/>
      <c r="DY120" s="122"/>
      <c r="DZ120" s="122"/>
      <c r="EA120" s="122"/>
      <c r="EB120" s="122"/>
      <c r="EC120" s="122"/>
      <c r="ED120" s="122"/>
      <c r="EE120" s="122"/>
      <c r="EF120" s="122"/>
      <c r="EG120" s="122"/>
      <c r="EH120" s="122"/>
      <c r="EI120" s="122"/>
      <c r="EJ120" s="122"/>
      <c r="EK120" s="122"/>
      <c r="EL120" s="122"/>
      <c r="EM120" s="122"/>
      <c r="EN120" s="122"/>
      <c r="EO120" s="122"/>
      <c r="EP120" s="122"/>
      <c r="EQ120" s="122"/>
      <c r="ER120" s="122"/>
      <c r="ES120" s="122"/>
      <c r="ET120" s="122"/>
      <c r="EU120" s="122"/>
      <c r="EV120" s="122"/>
      <c r="EW120" s="122"/>
      <c r="EX120" s="122"/>
      <c r="EY120" s="122"/>
      <c r="EZ120" s="122"/>
      <c r="FA120" s="122"/>
      <c r="FB120" s="122"/>
      <c r="FC120" s="122"/>
      <c r="FD120" s="122"/>
      <c r="FE120" s="122"/>
      <c r="FF120" s="122"/>
      <c r="FG120" s="122"/>
      <c r="FH120" s="122"/>
      <c r="FI120" s="122"/>
      <c r="FJ120" s="122"/>
      <c r="FK120" s="122"/>
      <c r="FL120" s="122"/>
      <c r="FM120" s="122"/>
      <c r="FN120" s="122"/>
      <c r="FO120" s="122"/>
      <c r="FP120" s="122"/>
      <c r="FQ120" s="122"/>
      <c r="FR120" s="122"/>
      <c r="FS120" s="122"/>
      <c r="FT120" s="122"/>
      <c r="FU120" s="122"/>
      <c r="FV120" s="122"/>
      <c r="FW120" s="122"/>
      <c r="FX120" s="122"/>
      <c r="FY120" s="122"/>
      <c r="FZ120" s="122"/>
      <c r="GA120" s="122"/>
      <c r="GB120" s="122"/>
      <c r="GC120" s="122"/>
      <c r="GD120" s="122"/>
      <c r="GE120" s="122"/>
      <c r="GF120" s="122"/>
      <c r="GG120" s="122"/>
      <c r="GH120" s="122"/>
      <c r="GI120" s="122"/>
    </row>
    <row r="121" spans="1:191" s="13" customFormat="1" ht="20.25" customHeight="1">
      <c r="A121" s="117">
        <v>57</v>
      </c>
      <c r="B121" s="125"/>
      <c r="C121" s="120"/>
      <c r="D121" s="102">
        <f t="shared" ref="D121" si="59">IFERROR(SUMPRODUCT(F121:HE121,$F$6:$HE$6)/100,0)</f>
        <v>0</v>
      </c>
      <c r="E121" s="103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  <c r="AS121" s="122"/>
      <c r="AT121" s="122"/>
      <c r="AU121" s="122"/>
      <c r="AV121" s="122"/>
      <c r="AW121" s="122"/>
      <c r="AX121" s="122"/>
      <c r="AY121" s="122"/>
      <c r="AZ121" s="122"/>
      <c r="BA121" s="122"/>
      <c r="BB121" s="122"/>
      <c r="BC121" s="122"/>
      <c r="BD121" s="122"/>
      <c r="BE121" s="122"/>
      <c r="BF121" s="122"/>
      <c r="BG121" s="122"/>
      <c r="BH121" s="122"/>
      <c r="BI121" s="122"/>
      <c r="BJ121" s="122"/>
      <c r="BK121" s="122"/>
      <c r="BL121" s="122"/>
      <c r="BM121" s="122"/>
      <c r="BN121" s="122"/>
      <c r="BO121" s="122"/>
      <c r="BP121" s="122"/>
      <c r="BQ121" s="122"/>
      <c r="BR121" s="122"/>
      <c r="BS121" s="123"/>
      <c r="BT121" s="123"/>
      <c r="BU121" s="122"/>
      <c r="BV121" s="122"/>
      <c r="BW121" s="122"/>
      <c r="BX121" s="122"/>
      <c r="BY121" s="122"/>
      <c r="BZ121" s="122"/>
      <c r="CA121" s="122"/>
      <c r="CB121" s="122"/>
      <c r="CC121" s="122"/>
      <c r="CD121" s="122"/>
      <c r="CE121" s="122"/>
      <c r="CF121" s="122"/>
      <c r="CG121" s="122"/>
      <c r="CH121" s="122"/>
      <c r="CI121" s="122"/>
      <c r="CJ121" s="122"/>
      <c r="CK121" s="122"/>
      <c r="CL121" s="122"/>
      <c r="CM121" s="122"/>
      <c r="CN121" s="122"/>
      <c r="CO121" s="122"/>
      <c r="CP121" s="122"/>
      <c r="CQ121" s="122"/>
      <c r="CR121" s="122"/>
      <c r="CS121" s="122"/>
      <c r="CT121" s="122"/>
      <c r="CU121" s="122"/>
      <c r="CV121" s="122"/>
      <c r="CW121" s="122"/>
      <c r="CX121" s="122"/>
      <c r="CY121" s="122"/>
      <c r="CZ121" s="122"/>
      <c r="DA121" s="122"/>
      <c r="DB121" s="122"/>
      <c r="DC121" s="122"/>
      <c r="DD121" s="122"/>
      <c r="DE121" s="122"/>
      <c r="DF121" s="122"/>
      <c r="DG121" s="122"/>
      <c r="DH121" s="122"/>
      <c r="DI121" s="122"/>
      <c r="DJ121" s="122"/>
      <c r="DK121" s="122"/>
      <c r="DL121" s="122"/>
      <c r="DM121" s="122"/>
      <c r="DN121" s="122"/>
      <c r="DO121" s="122"/>
      <c r="DP121" s="122"/>
      <c r="DQ121" s="122"/>
      <c r="DR121" s="122"/>
      <c r="DS121" s="122"/>
      <c r="DT121" s="122"/>
      <c r="DU121" s="122"/>
      <c r="DV121" s="122"/>
      <c r="DW121" s="122"/>
      <c r="DX121" s="122"/>
      <c r="DY121" s="122"/>
      <c r="DZ121" s="122"/>
      <c r="EA121" s="122"/>
      <c r="EB121" s="122"/>
      <c r="EC121" s="122"/>
      <c r="ED121" s="122"/>
      <c r="EE121" s="122"/>
      <c r="EF121" s="122"/>
      <c r="EG121" s="122"/>
      <c r="EH121" s="122"/>
      <c r="EI121" s="122"/>
      <c r="EJ121" s="122"/>
      <c r="EK121" s="122"/>
      <c r="EL121" s="122"/>
      <c r="EM121" s="122"/>
      <c r="EN121" s="122"/>
      <c r="EO121" s="122"/>
      <c r="EP121" s="122"/>
      <c r="EQ121" s="122"/>
      <c r="ER121" s="122"/>
      <c r="ES121" s="122"/>
      <c r="ET121" s="122"/>
      <c r="EU121" s="122"/>
      <c r="EV121" s="122"/>
      <c r="EW121" s="122"/>
      <c r="EX121" s="122"/>
      <c r="EY121" s="122"/>
      <c r="EZ121" s="122"/>
      <c r="FA121" s="122"/>
      <c r="FB121" s="122"/>
      <c r="FC121" s="122"/>
      <c r="FD121" s="122"/>
      <c r="FE121" s="122"/>
      <c r="FF121" s="122"/>
      <c r="FG121" s="122"/>
      <c r="FH121" s="122"/>
      <c r="FI121" s="122"/>
      <c r="FJ121" s="122"/>
      <c r="FK121" s="122"/>
      <c r="FL121" s="122"/>
      <c r="FM121" s="122"/>
      <c r="FN121" s="122"/>
      <c r="FO121" s="122"/>
      <c r="FP121" s="122"/>
      <c r="FQ121" s="122"/>
      <c r="FR121" s="122"/>
      <c r="FS121" s="122"/>
      <c r="FT121" s="122"/>
      <c r="FU121" s="122"/>
      <c r="FV121" s="122"/>
      <c r="FW121" s="122"/>
      <c r="FX121" s="122"/>
      <c r="FY121" s="122"/>
      <c r="FZ121" s="122"/>
      <c r="GA121" s="122"/>
      <c r="GB121" s="122"/>
      <c r="GC121" s="122"/>
      <c r="GD121" s="122"/>
      <c r="GE121" s="122"/>
      <c r="GF121" s="122"/>
      <c r="GG121" s="122"/>
      <c r="GH121" s="122"/>
      <c r="GI121" s="122"/>
    </row>
    <row r="122" spans="1:191" s="13" customFormat="1" ht="20.25" customHeight="1">
      <c r="A122" s="117"/>
      <c r="B122" s="125"/>
      <c r="C122" s="120"/>
      <c r="D122" s="121"/>
      <c r="E122" s="103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  <c r="AS122" s="122"/>
      <c r="AT122" s="122"/>
      <c r="AU122" s="122"/>
      <c r="AV122" s="122"/>
      <c r="AW122" s="122"/>
      <c r="AX122" s="122"/>
      <c r="AY122" s="122"/>
      <c r="AZ122" s="122"/>
      <c r="BA122" s="12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122"/>
      <c r="BQ122" s="122"/>
      <c r="BR122" s="122"/>
      <c r="BS122" s="123"/>
      <c r="BT122" s="123"/>
      <c r="BU122" s="122"/>
      <c r="BV122" s="122"/>
      <c r="BW122" s="122"/>
      <c r="BX122" s="122"/>
      <c r="BY122" s="122"/>
      <c r="BZ122" s="122"/>
      <c r="CA122" s="122"/>
      <c r="CB122" s="122"/>
      <c r="CC122" s="122"/>
      <c r="CD122" s="122"/>
      <c r="CE122" s="122"/>
      <c r="CF122" s="122"/>
      <c r="CG122" s="122"/>
      <c r="CH122" s="122"/>
      <c r="CI122" s="122"/>
      <c r="CJ122" s="122"/>
      <c r="CK122" s="122"/>
      <c r="CL122" s="122"/>
      <c r="CM122" s="122"/>
      <c r="CN122" s="122"/>
      <c r="CO122" s="122"/>
      <c r="CP122" s="122"/>
      <c r="CQ122" s="122"/>
      <c r="CR122" s="122"/>
      <c r="CS122" s="122"/>
      <c r="CT122" s="122"/>
      <c r="CU122" s="122"/>
      <c r="CV122" s="122"/>
      <c r="CW122" s="122"/>
      <c r="CX122" s="122"/>
      <c r="CY122" s="122"/>
      <c r="CZ122" s="122"/>
      <c r="DA122" s="122"/>
      <c r="DB122" s="122"/>
      <c r="DC122" s="122"/>
      <c r="DD122" s="122"/>
      <c r="DE122" s="122"/>
      <c r="DF122" s="122"/>
      <c r="DG122" s="122"/>
      <c r="DH122" s="122"/>
      <c r="DI122" s="122"/>
      <c r="DJ122" s="122"/>
      <c r="DK122" s="122"/>
      <c r="DL122" s="122"/>
      <c r="DM122" s="122"/>
      <c r="DN122" s="122"/>
      <c r="DO122" s="122"/>
      <c r="DP122" s="122"/>
      <c r="DQ122" s="122"/>
      <c r="DR122" s="122"/>
      <c r="DS122" s="122"/>
      <c r="DT122" s="122"/>
      <c r="DU122" s="122"/>
      <c r="DV122" s="122"/>
      <c r="DW122" s="122"/>
      <c r="DX122" s="122"/>
      <c r="DY122" s="122"/>
      <c r="DZ122" s="122"/>
      <c r="EA122" s="122"/>
      <c r="EB122" s="122"/>
      <c r="EC122" s="122"/>
      <c r="ED122" s="122"/>
      <c r="EE122" s="122"/>
      <c r="EF122" s="122"/>
      <c r="EG122" s="122"/>
      <c r="EH122" s="122"/>
      <c r="EI122" s="122"/>
      <c r="EJ122" s="122"/>
      <c r="EK122" s="122"/>
      <c r="EL122" s="122"/>
      <c r="EM122" s="122"/>
      <c r="EN122" s="122"/>
      <c r="EO122" s="122"/>
      <c r="EP122" s="122"/>
      <c r="EQ122" s="122"/>
      <c r="ER122" s="122"/>
      <c r="ES122" s="122"/>
      <c r="ET122" s="122"/>
      <c r="EU122" s="122"/>
      <c r="EV122" s="122"/>
      <c r="EW122" s="122"/>
      <c r="EX122" s="122"/>
      <c r="EY122" s="122"/>
      <c r="EZ122" s="122"/>
      <c r="FA122" s="122"/>
      <c r="FB122" s="122"/>
      <c r="FC122" s="122"/>
      <c r="FD122" s="122"/>
      <c r="FE122" s="122"/>
      <c r="FF122" s="122"/>
      <c r="FG122" s="122"/>
      <c r="FH122" s="122"/>
      <c r="FI122" s="122"/>
      <c r="FJ122" s="122"/>
      <c r="FK122" s="122"/>
      <c r="FL122" s="122"/>
      <c r="FM122" s="122"/>
      <c r="FN122" s="122"/>
      <c r="FO122" s="122"/>
      <c r="FP122" s="122"/>
      <c r="FQ122" s="122"/>
      <c r="FR122" s="122"/>
      <c r="FS122" s="122"/>
      <c r="FT122" s="122"/>
      <c r="FU122" s="122"/>
      <c r="FV122" s="122"/>
      <c r="FW122" s="122"/>
      <c r="FX122" s="122"/>
      <c r="FY122" s="122"/>
      <c r="FZ122" s="122"/>
      <c r="GA122" s="122"/>
      <c r="GB122" s="122"/>
      <c r="GC122" s="122"/>
      <c r="GD122" s="122"/>
      <c r="GE122" s="122"/>
      <c r="GF122" s="122"/>
      <c r="GG122" s="122"/>
      <c r="GH122" s="122"/>
      <c r="GI122" s="122"/>
    </row>
    <row r="123" spans="1:191" s="13" customFormat="1" ht="20.25" customHeight="1">
      <c r="A123" s="117">
        <v>58</v>
      </c>
      <c r="B123" s="125"/>
      <c r="C123" s="120"/>
      <c r="D123" s="102">
        <f t="shared" ref="D123" si="60">IFERROR(SUMPRODUCT(F123:HE123,$F$6:$HE$6)/100,0)</f>
        <v>0</v>
      </c>
      <c r="E123" s="103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  <c r="AS123" s="122"/>
      <c r="AT123" s="122"/>
      <c r="AU123" s="122"/>
      <c r="AV123" s="122"/>
      <c r="AW123" s="122"/>
      <c r="AX123" s="122"/>
      <c r="AY123" s="122"/>
      <c r="AZ123" s="122"/>
      <c r="BA123" s="122"/>
      <c r="BB123" s="122"/>
      <c r="BC123" s="122"/>
      <c r="BD123" s="122"/>
      <c r="BE123" s="122"/>
      <c r="BF123" s="122"/>
      <c r="BG123" s="122"/>
      <c r="BH123" s="122"/>
      <c r="BI123" s="122"/>
      <c r="BJ123" s="122"/>
      <c r="BK123" s="122"/>
      <c r="BL123" s="122"/>
      <c r="BM123" s="122"/>
      <c r="BN123" s="122"/>
      <c r="BO123" s="122"/>
      <c r="BP123" s="122"/>
      <c r="BQ123" s="122"/>
      <c r="BR123" s="122"/>
      <c r="BS123" s="123"/>
      <c r="BT123" s="123"/>
      <c r="BU123" s="122"/>
      <c r="BV123" s="122"/>
      <c r="BW123" s="122"/>
      <c r="BX123" s="122"/>
      <c r="BY123" s="122"/>
      <c r="BZ123" s="122"/>
      <c r="CA123" s="122"/>
      <c r="CB123" s="122"/>
      <c r="CC123" s="122"/>
      <c r="CD123" s="122"/>
      <c r="CE123" s="122"/>
      <c r="CF123" s="122"/>
      <c r="CG123" s="122"/>
      <c r="CH123" s="122"/>
      <c r="CI123" s="122"/>
      <c r="CJ123" s="122"/>
      <c r="CK123" s="122"/>
      <c r="CL123" s="122"/>
      <c r="CM123" s="122"/>
      <c r="CN123" s="122"/>
      <c r="CO123" s="122"/>
      <c r="CP123" s="122"/>
      <c r="CQ123" s="122"/>
      <c r="CR123" s="122"/>
      <c r="CS123" s="122"/>
      <c r="CT123" s="122"/>
      <c r="CU123" s="122"/>
      <c r="CV123" s="122"/>
      <c r="CW123" s="122"/>
      <c r="CX123" s="122"/>
      <c r="CY123" s="122"/>
      <c r="CZ123" s="122"/>
      <c r="DA123" s="122"/>
      <c r="DB123" s="122"/>
      <c r="DC123" s="122"/>
      <c r="DD123" s="122"/>
      <c r="DE123" s="122"/>
      <c r="DF123" s="122"/>
      <c r="DG123" s="122"/>
      <c r="DH123" s="122"/>
      <c r="DI123" s="122"/>
      <c r="DJ123" s="122"/>
      <c r="DK123" s="122"/>
      <c r="DL123" s="122"/>
      <c r="DM123" s="122"/>
      <c r="DN123" s="122"/>
      <c r="DO123" s="122"/>
      <c r="DP123" s="122"/>
      <c r="DQ123" s="122"/>
      <c r="DR123" s="122"/>
      <c r="DS123" s="122"/>
      <c r="DT123" s="122"/>
      <c r="DU123" s="122"/>
      <c r="DV123" s="122"/>
      <c r="DW123" s="122"/>
      <c r="DX123" s="122"/>
      <c r="DY123" s="122"/>
      <c r="DZ123" s="122"/>
      <c r="EA123" s="122"/>
      <c r="EB123" s="122"/>
      <c r="EC123" s="122"/>
      <c r="ED123" s="122"/>
      <c r="EE123" s="122"/>
      <c r="EF123" s="122"/>
      <c r="EG123" s="122"/>
      <c r="EH123" s="122"/>
      <c r="EI123" s="122"/>
      <c r="EJ123" s="122"/>
      <c r="EK123" s="122"/>
      <c r="EL123" s="122"/>
      <c r="EM123" s="122"/>
      <c r="EN123" s="122"/>
      <c r="EO123" s="122"/>
      <c r="EP123" s="122"/>
      <c r="EQ123" s="122"/>
      <c r="ER123" s="122"/>
      <c r="ES123" s="122"/>
      <c r="ET123" s="122"/>
      <c r="EU123" s="122"/>
      <c r="EV123" s="122"/>
      <c r="EW123" s="122"/>
      <c r="EX123" s="122"/>
      <c r="EY123" s="122"/>
      <c r="EZ123" s="122"/>
      <c r="FA123" s="122"/>
      <c r="FB123" s="122"/>
      <c r="FC123" s="122"/>
      <c r="FD123" s="122"/>
      <c r="FE123" s="122"/>
      <c r="FF123" s="122"/>
      <c r="FG123" s="122"/>
      <c r="FH123" s="122"/>
      <c r="FI123" s="122"/>
      <c r="FJ123" s="122"/>
      <c r="FK123" s="122"/>
      <c r="FL123" s="122"/>
      <c r="FM123" s="122"/>
      <c r="FN123" s="122"/>
      <c r="FO123" s="122"/>
      <c r="FP123" s="122"/>
      <c r="FQ123" s="122"/>
      <c r="FR123" s="122"/>
      <c r="FS123" s="122"/>
      <c r="FT123" s="122"/>
      <c r="FU123" s="122"/>
      <c r="FV123" s="122"/>
      <c r="FW123" s="122"/>
      <c r="FX123" s="122"/>
      <c r="FY123" s="122"/>
      <c r="FZ123" s="122"/>
      <c r="GA123" s="122"/>
      <c r="GB123" s="122"/>
      <c r="GC123" s="122"/>
      <c r="GD123" s="122"/>
      <c r="GE123" s="122"/>
      <c r="GF123" s="122"/>
      <c r="GG123" s="122"/>
      <c r="GH123" s="122"/>
      <c r="GI123" s="122"/>
    </row>
    <row r="124" spans="1:191" s="13" customFormat="1" ht="20.25" customHeight="1">
      <c r="A124" s="117"/>
      <c r="B124" s="125"/>
      <c r="C124" s="125"/>
      <c r="D124" s="121"/>
      <c r="E124" s="103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  <c r="AS124" s="122"/>
      <c r="AT124" s="122"/>
      <c r="AU124" s="122"/>
      <c r="AV124" s="122"/>
      <c r="AW124" s="122"/>
      <c r="AX124" s="122"/>
      <c r="AY124" s="122"/>
      <c r="AZ124" s="122"/>
      <c r="BA124" s="122"/>
      <c r="BB124" s="122"/>
      <c r="BC124" s="122"/>
      <c r="BD124" s="122"/>
      <c r="BE124" s="122"/>
      <c r="BF124" s="122"/>
      <c r="BG124" s="122"/>
      <c r="BH124" s="122"/>
      <c r="BI124" s="122"/>
      <c r="BJ124" s="122"/>
      <c r="BK124" s="122"/>
      <c r="BL124" s="122"/>
      <c r="BM124" s="122"/>
      <c r="BN124" s="122"/>
      <c r="BO124" s="122"/>
      <c r="BP124" s="122"/>
      <c r="BQ124" s="122"/>
      <c r="BR124" s="122"/>
      <c r="BS124" s="123"/>
      <c r="BT124" s="123"/>
      <c r="BU124" s="122"/>
      <c r="BV124" s="122"/>
      <c r="BW124" s="122"/>
      <c r="BX124" s="122"/>
      <c r="BY124" s="122"/>
      <c r="BZ124" s="122"/>
      <c r="CA124" s="122"/>
      <c r="CB124" s="122"/>
      <c r="CC124" s="122"/>
      <c r="CD124" s="122"/>
      <c r="CE124" s="122"/>
      <c r="CF124" s="122"/>
      <c r="CG124" s="122"/>
      <c r="CH124" s="122"/>
      <c r="CI124" s="122"/>
      <c r="CJ124" s="122"/>
      <c r="CK124" s="122"/>
      <c r="CL124" s="122"/>
      <c r="CM124" s="122"/>
      <c r="CN124" s="122"/>
      <c r="CO124" s="122"/>
      <c r="CP124" s="122"/>
      <c r="CQ124" s="122"/>
      <c r="CR124" s="122"/>
      <c r="CS124" s="122"/>
      <c r="CT124" s="122"/>
      <c r="CU124" s="122"/>
      <c r="CV124" s="122"/>
      <c r="CW124" s="122"/>
      <c r="CX124" s="122"/>
      <c r="CY124" s="122"/>
      <c r="CZ124" s="122"/>
      <c r="DA124" s="122"/>
      <c r="DB124" s="122"/>
      <c r="DC124" s="122"/>
      <c r="DD124" s="122"/>
      <c r="DE124" s="122"/>
      <c r="DF124" s="122"/>
      <c r="DG124" s="122"/>
      <c r="DH124" s="122"/>
      <c r="DI124" s="122"/>
      <c r="DJ124" s="122"/>
      <c r="DK124" s="122"/>
      <c r="DL124" s="122"/>
      <c r="DM124" s="122"/>
      <c r="DN124" s="122"/>
      <c r="DO124" s="122"/>
      <c r="DP124" s="122"/>
      <c r="DQ124" s="122"/>
      <c r="DR124" s="122"/>
      <c r="DS124" s="122"/>
      <c r="DT124" s="122"/>
      <c r="DU124" s="122"/>
      <c r="DV124" s="122"/>
      <c r="DW124" s="122"/>
      <c r="DX124" s="122"/>
      <c r="DY124" s="122"/>
      <c r="DZ124" s="122"/>
      <c r="EA124" s="122"/>
      <c r="EB124" s="122"/>
      <c r="EC124" s="122"/>
      <c r="ED124" s="122"/>
      <c r="EE124" s="122"/>
      <c r="EF124" s="122"/>
      <c r="EG124" s="122"/>
      <c r="EH124" s="122"/>
      <c r="EI124" s="122"/>
      <c r="EJ124" s="122"/>
      <c r="EK124" s="122"/>
      <c r="EL124" s="122"/>
      <c r="EM124" s="122"/>
      <c r="EN124" s="122"/>
      <c r="EO124" s="122"/>
      <c r="EP124" s="122"/>
      <c r="EQ124" s="122"/>
      <c r="ER124" s="122"/>
      <c r="ES124" s="122"/>
      <c r="ET124" s="122"/>
      <c r="EU124" s="122"/>
      <c r="EV124" s="122"/>
      <c r="EW124" s="122"/>
      <c r="EX124" s="122"/>
      <c r="EY124" s="122"/>
      <c r="EZ124" s="122"/>
      <c r="FA124" s="122"/>
      <c r="FB124" s="122"/>
      <c r="FC124" s="122"/>
      <c r="FD124" s="122"/>
      <c r="FE124" s="122"/>
      <c r="FF124" s="122"/>
      <c r="FG124" s="122"/>
      <c r="FH124" s="122"/>
      <c r="FI124" s="122"/>
      <c r="FJ124" s="122"/>
      <c r="FK124" s="122"/>
      <c r="FL124" s="122"/>
      <c r="FM124" s="122"/>
      <c r="FN124" s="122"/>
      <c r="FO124" s="122"/>
      <c r="FP124" s="122"/>
      <c r="FQ124" s="122"/>
      <c r="FR124" s="122"/>
      <c r="FS124" s="122"/>
      <c r="FT124" s="122"/>
      <c r="FU124" s="122"/>
      <c r="FV124" s="122"/>
      <c r="FW124" s="122"/>
      <c r="FX124" s="122"/>
      <c r="FY124" s="122"/>
      <c r="FZ124" s="122"/>
      <c r="GA124" s="122"/>
      <c r="GB124" s="122"/>
      <c r="GC124" s="122"/>
      <c r="GD124" s="122"/>
      <c r="GE124" s="122"/>
      <c r="GF124" s="122"/>
      <c r="GG124" s="122"/>
      <c r="GH124" s="122"/>
      <c r="GI124" s="122"/>
    </row>
    <row r="125" spans="1:191" s="13" customFormat="1" ht="20.25" customHeight="1">
      <c r="A125" s="117">
        <v>59</v>
      </c>
      <c r="B125" s="125"/>
      <c r="C125" s="144"/>
      <c r="D125" s="102">
        <f t="shared" ref="D125" si="61">IFERROR(SUMPRODUCT(F125:HE125,$F$6:$HE$6)/100,0)</f>
        <v>0</v>
      </c>
      <c r="E125" s="103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  <c r="AS125" s="122"/>
      <c r="AT125" s="122"/>
      <c r="AU125" s="122"/>
      <c r="AV125" s="122"/>
      <c r="AW125" s="122"/>
      <c r="AX125" s="122"/>
      <c r="AY125" s="122"/>
      <c r="AZ125" s="122"/>
      <c r="BA125" s="122"/>
      <c r="BB125" s="122"/>
      <c r="BC125" s="122"/>
      <c r="BD125" s="122"/>
      <c r="BE125" s="122"/>
      <c r="BF125" s="122"/>
      <c r="BG125" s="122"/>
      <c r="BH125" s="122"/>
      <c r="BI125" s="122"/>
      <c r="BJ125" s="122"/>
      <c r="BK125" s="122"/>
      <c r="BL125" s="122"/>
      <c r="BM125" s="122"/>
      <c r="BN125" s="122"/>
      <c r="BO125" s="122"/>
      <c r="BP125" s="122"/>
      <c r="BQ125" s="122"/>
      <c r="BR125" s="122"/>
      <c r="BS125" s="123"/>
      <c r="BT125" s="123"/>
      <c r="BU125" s="122"/>
      <c r="BV125" s="122"/>
      <c r="BW125" s="122"/>
      <c r="BX125" s="122"/>
      <c r="BY125" s="122"/>
      <c r="BZ125" s="122"/>
      <c r="CA125" s="122"/>
      <c r="CB125" s="122"/>
      <c r="CC125" s="122"/>
      <c r="CD125" s="122"/>
      <c r="CE125" s="122"/>
      <c r="CF125" s="122"/>
      <c r="CG125" s="122"/>
      <c r="CH125" s="122"/>
      <c r="CI125" s="122"/>
      <c r="CJ125" s="122"/>
      <c r="CK125" s="122"/>
      <c r="CL125" s="122"/>
      <c r="CM125" s="122"/>
      <c r="CN125" s="122"/>
      <c r="CO125" s="122"/>
      <c r="CP125" s="122"/>
      <c r="CQ125" s="122"/>
      <c r="CR125" s="122"/>
      <c r="CS125" s="122"/>
      <c r="CT125" s="122"/>
      <c r="CU125" s="122"/>
      <c r="CV125" s="122"/>
      <c r="CW125" s="122"/>
      <c r="CX125" s="122"/>
      <c r="CY125" s="122"/>
      <c r="CZ125" s="122"/>
      <c r="DA125" s="122"/>
      <c r="DB125" s="122"/>
      <c r="DC125" s="122"/>
      <c r="DD125" s="122"/>
      <c r="DE125" s="122"/>
      <c r="DF125" s="122"/>
      <c r="DG125" s="122"/>
      <c r="DH125" s="122"/>
      <c r="DI125" s="122"/>
      <c r="DJ125" s="122"/>
      <c r="DK125" s="122"/>
      <c r="DL125" s="122"/>
      <c r="DM125" s="122"/>
      <c r="DN125" s="122"/>
      <c r="DO125" s="122"/>
      <c r="DP125" s="122"/>
      <c r="DQ125" s="122"/>
      <c r="DR125" s="122"/>
      <c r="DS125" s="122"/>
      <c r="DT125" s="122"/>
      <c r="DU125" s="122"/>
      <c r="DV125" s="122"/>
      <c r="DW125" s="122"/>
      <c r="DX125" s="122"/>
      <c r="DY125" s="122"/>
      <c r="DZ125" s="122"/>
      <c r="EA125" s="122"/>
      <c r="EB125" s="122"/>
      <c r="EC125" s="122"/>
      <c r="ED125" s="122"/>
      <c r="EE125" s="122"/>
      <c r="EF125" s="122"/>
      <c r="EG125" s="122"/>
      <c r="EH125" s="122"/>
      <c r="EI125" s="122"/>
      <c r="EJ125" s="122"/>
      <c r="EK125" s="122"/>
      <c r="EL125" s="122"/>
      <c r="EM125" s="122"/>
      <c r="EN125" s="122"/>
      <c r="EO125" s="122"/>
      <c r="EP125" s="122"/>
      <c r="EQ125" s="122"/>
      <c r="ER125" s="122"/>
      <c r="ES125" s="122"/>
      <c r="ET125" s="122"/>
      <c r="EU125" s="122"/>
      <c r="EV125" s="122"/>
      <c r="EW125" s="122"/>
      <c r="EX125" s="122"/>
      <c r="EY125" s="122"/>
      <c r="EZ125" s="122"/>
      <c r="FA125" s="122"/>
      <c r="FB125" s="122"/>
      <c r="FC125" s="122"/>
      <c r="FD125" s="122"/>
      <c r="FE125" s="122"/>
      <c r="FF125" s="122"/>
      <c r="FG125" s="122"/>
      <c r="FH125" s="122"/>
      <c r="FI125" s="122"/>
      <c r="FJ125" s="122"/>
      <c r="FK125" s="122"/>
      <c r="FL125" s="122"/>
      <c r="FM125" s="122"/>
      <c r="FN125" s="122"/>
      <c r="FO125" s="122"/>
      <c r="FP125" s="122"/>
      <c r="FQ125" s="122"/>
      <c r="FR125" s="122"/>
      <c r="FS125" s="122"/>
      <c r="FT125" s="122"/>
      <c r="FU125" s="122"/>
      <c r="FV125" s="122"/>
      <c r="FW125" s="122"/>
      <c r="FX125" s="122"/>
      <c r="FY125" s="122"/>
      <c r="FZ125" s="122"/>
      <c r="GA125" s="122"/>
      <c r="GB125" s="122"/>
      <c r="GC125" s="122"/>
      <c r="GD125" s="122"/>
      <c r="GE125" s="122"/>
      <c r="GF125" s="122"/>
      <c r="GG125" s="122"/>
      <c r="GH125" s="122"/>
      <c r="GI125" s="122"/>
    </row>
    <row r="126" spans="1:191" s="13" customFormat="1" ht="20.25" customHeight="1">
      <c r="A126" s="117"/>
      <c r="B126" s="125"/>
      <c r="C126" s="120"/>
      <c r="D126" s="121"/>
      <c r="E126" s="103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122"/>
      <c r="AX126" s="122"/>
      <c r="AY126" s="122"/>
      <c r="AZ126" s="122"/>
      <c r="BA126" s="122"/>
      <c r="BB126" s="122"/>
      <c r="BC126" s="122"/>
      <c r="BD126" s="122"/>
      <c r="BE126" s="122"/>
      <c r="BF126" s="122"/>
      <c r="BG126" s="122"/>
      <c r="BH126" s="122"/>
      <c r="BI126" s="122"/>
      <c r="BJ126" s="122"/>
      <c r="BK126" s="122"/>
      <c r="BL126" s="122"/>
      <c r="BM126" s="122"/>
      <c r="BN126" s="122"/>
      <c r="BO126" s="122"/>
      <c r="BP126" s="122"/>
      <c r="BQ126" s="122"/>
      <c r="BR126" s="122"/>
      <c r="BS126" s="123"/>
      <c r="BT126" s="123"/>
      <c r="BU126" s="122"/>
      <c r="BV126" s="122"/>
      <c r="BW126" s="122"/>
      <c r="BX126" s="122"/>
      <c r="BY126" s="122"/>
      <c r="BZ126" s="122"/>
      <c r="CA126" s="122"/>
      <c r="CB126" s="122"/>
      <c r="CC126" s="122"/>
      <c r="CD126" s="122"/>
      <c r="CE126" s="122"/>
      <c r="CF126" s="122"/>
      <c r="CG126" s="122"/>
      <c r="CH126" s="122"/>
      <c r="CI126" s="122"/>
      <c r="CJ126" s="122"/>
      <c r="CK126" s="122"/>
      <c r="CL126" s="122"/>
      <c r="CM126" s="122"/>
      <c r="CN126" s="122"/>
      <c r="CO126" s="122"/>
      <c r="CP126" s="122"/>
      <c r="CQ126" s="122"/>
      <c r="CR126" s="122"/>
      <c r="CS126" s="122"/>
      <c r="CT126" s="122"/>
      <c r="CU126" s="122"/>
      <c r="CV126" s="122"/>
      <c r="CW126" s="122"/>
      <c r="CX126" s="122"/>
      <c r="CY126" s="122"/>
      <c r="CZ126" s="122"/>
      <c r="DA126" s="122"/>
      <c r="DB126" s="122"/>
      <c r="DC126" s="122"/>
      <c r="DD126" s="122"/>
      <c r="DE126" s="122"/>
      <c r="DF126" s="122"/>
      <c r="DG126" s="122"/>
      <c r="DH126" s="122"/>
      <c r="DI126" s="122"/>
      <c r="DJ126" s="122"/>
      <c r="DK126" s="122"/>
      <c r="DL126" s="122"/>
      <c r="DM126" s="122"/>
      <c r="DN126" s="122"/>
      <c r="DO126" s="122"/>
      <c r="DP126" s="122"/>
      <c r="DQ126" s="122"/>
      <c r="DR126" s="122"/>
      <c r="DS126" s="122"/>
      <c r="DT126" s="122"/>
      <c r="DU126" s="122"/>
      <c r="DV126" s="122"/>
      <c r="DW126" s="122"/>
      <c r="DX126" s="122"/>
      <c r="DY126" s="122"/>
      <c r="DZ126" s="122"/>
      <c r="EA126" s="122"/>
      <c r="EB126" s="122"/>
      <c r="EC126" s="122"/>
      <c r="ED126" s="122"/>
      <c r="EE126" s="122"/>
      <c r="EF126" s="122"/>
      <c r="EG126" s="122"/>
      <c r="EH126" s="122"/>
      <c r="EI126" s="122"/>
      <c r="EJ126" s="122"/>
      <c r="EK126" s="122"/>
      <c r="EL126" s="122"/>
      <c r="EM126" s="122"/>
      <c r="EN126" s="122"/>
      <c r="EO126" s="122"/>
      <c r="EP126" s="122"/>
      <c r="EQ126" s="122"/>
      <c r="ER126" s="122"/>
      <c r="ES126" s="122"/>
      <c r="ET126" s="122"/>
      <c r="EU126" s="122"/>
      <c r="EV126" s="122"/>
      <c r="EW126" s="122"/>
      <c r="EX126" s="122"/>
      <c r="EY126" s="122"/>
      <c r="EZ126" s="122"/>
      <c r="FA126" s="122"/>
      <c r="FB126" s="122"/>
      <c r="FC126" s="122"/>
      <c r="FD126" s="122"/>
      <c r="FE126" s="122"/>
      <c r="FF126" s="122"/>
      <c r="FG126" s="122"/>
      <c r="FH126" s="122"/>
      <c r="FI126" s="122"/>
      <c r="FJ126" s="122"/>
      <c r="FK126" s="122"/>
      <c r="FL126" s="122"/>
      <c r="FM126" s="122"/>
      <c r="FN126" s="122"/>
      <c r="FO126" s="122"/>
      <c r="FP126" s="122"/>
      <c r="FQ126" s="122"/>
      <c r="FR126" s="122"/>
      <c r="FS126" s="122"/>
      <c r="FT126" s="122"/>
      <c r="FU126" s="122"/>
      <c r="FV126" s="122"/>
      <c r="FW126" s="122"/>
      <c r="FX126" s="122"/>
      <c r="FY126" s="122"/>
      <c r="FZ126" s="122"/>
      <c r="GA126" s="122"/>
      <c r="GB126" s="122"/>
      <c r="GC126" s="122"/>
      <c r="GD126" s="122"/>
      <c r="GE126" s="122"/>
      <c r="GF126" s="122"/>
      <c r="GG126" s="122"/>
      <c r="GH126" s="122"/>
      <c r="GI126" s="122"/>
    </row>
    <row r="127" spans="1:191" s="13" customFormat="1" ht="20.25" customHeight="1">
      <c r="A127" s="117">
        <v>60</v>
      </c>
      <c r="B127" s="125"/>
      <c r="C127" s="144"/>
      <c r="D127" s="102">
        <f t="shared" ref="D127" si="62">IFERROR(SUMPRODUCT(F127:HE127,$F$6:$HE$6)/100,0)</f>
        <v>0</v>
      </c>
      <c r="E127" s="103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  <c r="AS127" s="122"/>
      <c r="AT127" s="122"/>
      <c r="AU127" s="122"/>
      <c r="AV127" s="122"/>
      <c r="AW127" s="122"/>
      <c r="AX127" s="122"/>
      <c r="AY127" s="122"/>
      <c r="AZ127" s="122"/>
      <c r="BA127" s="122"/>
      <c r="BB127" s="122"/>
      <c r="BC127" s="122"/>
      <c r="BD127" s="122"/>
      <c r="BE127" s="122"/>
      <c r="BF127" s="122"/>
      <c r="BG127" s="122"/>
      <c r="BH127" s="122"/>
      <c r="BI127" s="122"/>
      <c r="BJ127" s="122"/>
      <c r="BK127" s="122"/>
      <c r="BL127" s="122"/>
      <c r="BM127" s="122"/>
      <c r="BN127" s="122"/>
      <c r="BO127" s="122"/>
      <c r="BP127" s="122"/>
      <c r="BQ127" s="122"/>
      <c r="BR127" s="122"/>
      <c r="BS127" s="123"/>
      <c r="BT127" s="123"/>
      <c r="BU127" s="122"/>
      <c r="BV127" s="122"/>
      <c r="BW127" s="122"/>
      <c r="BX127" s="122"/>
      <c r="BY127" s="122"/>
      <c r="BZ127" s="122"/>
      <c r="CA127" s="122"/>
      <c r="CB127" s="122"/>
      <c r="CC127" s="122"/>
      <c r="CD127" s="122"/>
      <c r="CE127" s="122"/>
      <c r="CF127" s="122"/>
      <c r="CG127" s="122"/>
      <c r="CH127" s="122"/>
      <c r="CI127" s="122"/>
      <c r="CJ127" s="122"/>
      <c r="CK127" s="122"/>
      <c r="CL127" s="122"/>
      <c r="CM127" s="122"/>
      <c r="CN127" s="122"/>
      <c r="CO127" s="122"/>
      <c r="CP127" s="122"/>
      <c r="CQ127" s="122"/>
      <c r="CR127" s="122"/>
      <c r="CS127" s="122"/>
      <c r="CT127" s="122"/>
      <c r="CU127" s="122"/>
      <c r="CV127" s="122"/>
      <c r="CW127" s="122"/>
      <c r="CX127" s="122"/>
      <c r="CY127" s="122"/>
      <c r="CZ127" s="122"/>
      <c r="DA127" s="122"/>
      <c r="DB127" s="122"/>
      <c r="DC127" s="122"/>
      <c r="DD127" s="122"/>
      <c r="DE127" s="122"/>
      <c r="DF127" s="122"/>
      <c r="DG127" s="122"/>
      <c r="DH127" s="122"/>
      <c r="DI127" s="122"/>
      <c r="DJ127" s="122"/>
      <c r="DK127" s="122"/>
      <c r="DL127" s="122"/>
      <c r="DM127" s="122"/>
      <c r="DN127" s="122"/>
      <c r="DO127" s="122"/>
      <c r="DP127" s="122"/>
      <c r="DQ127" s="122"/>
      <c r="DR127" s="122"/>
      <c r="DS127" s="122"/>
      <c r="DT127" s="122"/>
      <c r="DU127" s="122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122"/>
      <c r="EF127" s="122"/>
      <c r="EG127" s="122"/>
      <c r="EH127" s="122"/>
      <c r="EI127" s="122"/>
      <c r="EJ127" s="122"/>
      <c r="EK127" s="122"/>
      <c r="EL127" s="122"/>
      <c r="EM127" s="122"/>
      <c r="EN127" s="122"/>
      <c r="EO127" s="122"/>
      <c r="EP127" s="122"/>
      <c r="EQ127" s="122"/>
      <c r="ER127" s="122"/>
      <c r="ES127" s="122"/>
      <c r="ET127" s="122"/>
      <c r="EU127" s="122"/>
      <c r="EV127" s="122"/>
      <c r="EW127" s="122"/>
      <c r="EX127" s="122"/>
      <c r="EY127" s="122"/>
      <c r="EZ127" s="122"/>
      <c r="FA127" s="122"/>
      <c r="FB127" s="122"/>
      <c r="FC127" s="122"/>
      <c r="FD127" s="122"/>
      <c r="FE127" s="122"/>
      <c r="FF127" s="122"/>
      <c r="FG127" s="122"/>
      <c r="FH127" s="122"/>
      <c r="FI127" s="122"/>
      <c r="FJ127" s="122"/>
      <c r="FK127" s="122"/>
      <c r="FL127" s="122"/>
      <c r="FM127" s="122"/>
      <c r="FN127" s="122"/>
      <c r="FO127" s="122"/>
      <c r="FP127" s="122"/>
      <c r="FQ127" s="122"/>
      <c r="FR127" s="122"/>
      <c r="FS127" s="122"/>
      <c r="FT127" s="122"/>
      <c r="FU127" s="122"/>
      <c r="FV127" s="122"/>
      <c r="FW127" s="122"/>
      <c r="FX127" s="122"/>
      <c r="FY127" s="122"/>
      <c r="FZ127" s="122"/>
      <c r="GA127" s="122"/>
      <c r="GB127" s="122"/>
      <c r="GC127" s="122"/>
      <c r="GD127" s="122"/>
      <c r="GE127" s="122"/>
      <c r="GF127" s="122"/>
      <c r="GG127" s="122"/>
      <c r="GH127" s="122"/>
      <c r="GI127" s="122"/>
    </row>
    <row r="128" spans="1:191" s="13" customFormat="1" ht="20.25" customHeight="1">
      <c r="A128" s="117"/>
      <c r="B128" s="125"/>
      <c r="C128" s="120"/>
      <c r="D128" s="121"/>
      <c r="E128" s="103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  <c r="AS128" s="122"/>
      <c r="AT128" s="122"/>
      <c r="AU128" s="122"/>
      <c r="AV128" s="122"/>
      <c r="AW128" s="122"/>
      <c r="AX128" s="122"/>
      <c r="AY128" s="122"/>
      <c r="AZ128" s="122"/>
      <c r="BA128" s="122"/>
      <c r="BB128" s="122"/>
      <c r="BC128" s="122"/>
      <c r="BD128" s="122"/>
      <c r="BE128" s="122"/>
      <c r="BF128" s="122"/>
      <c r="BG128" s="122"/>
      <c r="BH128" s="122"/>
      <c r="BI128" s="122"/>
      <c r="BJ128" s="122"/>
      <c r="BK128" s="122"/>
      <c r="BL128" s="122"/>
      <c r="BM128" s="122"/>
      <c r="BN128" s="122"/>
      <c r="BO128" s="122"/>
      <c r="BP128" s="122"/>
      <c r="BQ128" s="122"/>
      <c r="BR128" s="122"/>
      <c r="BS128" s="123"/>
      <c r="BT128" s="123"/>
      <c r="BU128" s="122"/>
      <c r="BV128" s="122"/>
      <c r="BW128" s="122"/>
      <c r="BX128" s="122"/>
      <c r="BY128" s="122"/>
      <c r="BZ128" s="122"/>
      <c r="CA128" s="122"/>
      <c r="CB128" s="122"/>
      <c r="CC128" s="122"/>
      <c r="CD128" s="122"/>
      <c r="CE128" s="122"/>
      <c r="CF128" s="122"/>
      <c r="CG128" s="122"/>
      <c r="CH128" s="122"/>
      <c r="CI128" s="122"/>
      <c r="CJ128" s="122"/>
      <c r="CK128" s="122"/>
      <c r="CL128" s="122"/>
      <c r="CM128" s="122"/>
      <c r="CN128" s="122"/>
      <c r="CO128" s="122"/>
      <c r="CP128" s="122"/>
      <c r="CQ128" s="122"/>
      <c r="CR128" s="122"/>
      <c r="CS128" s="122"/>
      <c r="CT128" s="122"/>
      <c r="CU128" s="122"/>
      <c r="CV128" s="122"/>
      <c r="CW128" s="122"/>
      <c r="CX128" s="122"/>
      <c r="CY128" s="122"/>
      <c r="CZ128" s="122"/>
      <c r="DA128" s="122"/>
      <c r="DB128" s="122"/>
      <c r="DC128" s="122"/>
      <c r="DD128" s="122"/>
      <c r="DE128" s="122"/>
      <c r="DF128" s="122"/>
      <c r="DG128" s="122"/>
      <c r="DH128" s="122"/>
      <c r="DI128" s="122"/>
      <c r="DJ128" s="122"/>
      <c r="DK128" s="122"/>
      <c r="DL128" s="122"/>
      <c r="DM128" s="122"/>
      <c r="DN128" s="122"/>
      <c r="DO128" s="122"/>
      <c r="DP128" s="122"/>
      <c r="DQ128" s="122"/>
      <c r="DR128" s="122"/>
      <c r="DS128" s="122"/>
      <c r="DT128" s="122"/>
      <c r="DU128" s="122"/>
      <c r="DV128" s="122"/>
      <c r="DW128" s="122"/>
      <c r="DX128" s="122"/>
      <c r="DY128" s="122"/>
      <c r="DZ128" s="122"/>
      <c r="EA128" s="122"/>
      <c r="EB128" s="122"/>
      <c r="EC128" s="122"/>
      <c r="ED128" s="122"/>
      <c r="EE128" s="122"/>
      <c r="EF128" s="122"/>
      <c r="EG128" s="122"/>
      <c r="EH128" s="122"/>
      <c r="EI128" s="122"/>
      <c r="EJ128" s="122"/>
      <c r="EK128" s="122"/>
      <c r="EL128" s="122"/>
      <c r="EM128" s="122"/>
      <c r="EN128" s="122"/>
      <c r="EO128" s="122"/>
      <c r="EP128" s="122"/>
      <c r="EQ128" s="122"/>
      <c r="ER128" s="122"/>
      <c r="ES128" s="122"/>
      <c r="ET128" s="122"/>
      <c r="EU128" s="122"/>
      <c r="EV128" s="122"/>
      <c r="EW128" s="122"/>
      <c r="EX128" s="122"/>
      <c r="EY128" s="122"/>
      <c r="EZ128" s="122"/>
      <c r="FA128" s="122"/>
      <c r="FB128" s="122"/>
      <c r="FC128" s="122"/>
      <c r="FD128" s="122"/>
      <c r="FE128" s="122"/>
      <c r="FF128" s="122"/>
      <c r="FG128" s="122"/>
      <c r="FH128" s="122"/>
      <c r="FI128" s="122"/>
      <c r="FJ128" s="122"/>
      <c r="FK128" s="122"/>
      <c r="FL128" s="122"/>
      <c r="FM128" s="122"/>
      <c r="FN128" s="122"/>
      <c r="FO128" s="122"/>
      <c r="FP128" s="122"/>
      <c r="FQ128" s="122"/>
      <c r="FR128" s="122"/>
      <c r="FS128" s="122"/>
      <c r="FT128" s="122"/>
      <c r="FU128" s="122"/>
      <c r="FV128" s="122"/>
      <c r="FW128" s="122"/>
      <c r="FX128" s="122"/>
      <c r="FY128" s="122"/>
      <c r="FZ128" s="122"/>
      <c r="GA128" s="122"/>
      <c r="GB128" s="122"/>
      <c r="GC128" s="122"/>
      <c r="GD128" s="122"/>
      <c r="GE128" s="122"/>
      <c r="GF128" s="122"/>
      <c r="GG128" s="122"/>
      <c r="GH128" s="122"/>
      <c r="GI128" s="122"/>
    </row>
    <row r="129" spans="1:191" s="13" customFormat="1" ht="20.25" customHeight="1">
      <c r="A129" s="117">
        <v>61</v>
      </c>
      <c r="B129" s="125"/>
      <c r="C129" s="124"/>
      <c r="D129" s="102">
        <f t="shared" ref="D129" si="63">IFERROR(SUMPRODUCT(F129:HE129,$F$6:$HE$6)/100,0)</f>
        <v>0</v>
      </c>
      <c r="E129" s="103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  <c r="AS129" s="122"/>
      <c r="AT129" s="122"/>
      <c r="AU129" s="122"/>
      <c r="AV129" s="122"/>
      <c r="AW129" s="122"/>
      <c r="AX129" s="122"/>
      <c r="AY129" s="122"/>
      <c r="AZ129" s="122"/>
      <c r="BA129" s="122"/>
      <c r="BB129" s="122"/>
      <c r="BC129" s="122"/>
      <c r="BD129" s="122"/>
      <c r="BE129" s="122"/>
      <c r="BF129" s="122"/>
      <c r="BG129" s="122"/>
      <c r="BH129" s="122"/>
      <c r="BI129" s="122"/>
      <c r="BJ129" s="122"/>
      <c r="BK129" s="122"/>
      <c r="BL129" s="122"/>
      <c r="BM129" s="122"/>
      <c r="BN129" s="122"/>
      <c r="BO129" s="122"/>
      <c r="BP129" s="122"/>
      <c r="BQ129" s="122"/>
      <c r="BR129" s="122"/>
      <c r="BS129" s="123"/>
      <c r="BT129" s="123"/>
      <c r="BU129" s="122"/>
      <c r="BV129" s="122"/>
      <c r="BW129" s="122"/>
      <c r="BX129" s="122"/>
      <c r="BY129" s="122"/>
      <c r="BZ129" s="122"/>
      <c r="CA129" s="122"/>
      <c r="CB129" s="122"/>
      <c r="CC129" s="122"/>
      <c r="CD129" s="122"/>
      <c r="CE129" s="122"/>
      <c r="CF129" s="122"/>
      <c r="CG129" s="122"/>
      <c r="CH129" s="122"/>
      <c r="CI129" s="122"/>
      <c r="CJ129" s="122"/>
      <c r="CK129" s="122"/>
      <c r="CL129" s="122"/>
      <c r="CM129" s="122"/>
      <c r="CN129" s="122"/>
      <c r="CO129" s="122"/>
      <c r="CP129" s="122"/>
      <c r="CQ129" s="122"/>
      <c r="CR129" s="122"/>
      <c r="CS129" s="122"/>
      <c r="CT129" s="122"/>
      <c r="CU129" s="122"/>
      <c r="CV129" s="122"/>
      <c r="CW129" s="122"/>
      <c r="CX129" s="122"/>
      <c r="CY129" s="122"/>
      <c r="CZ129" s="122"/>
      <c r="DA129" s="122"/>
      <c r="DB129" s="122"/>
      <c r="DC129" s="122"/>
      <c r="DD129" s="122"/>
      <c r="DE129" s="122"/>
      <c r="DF129" s="122"/>
      <c r="DG129" s="122"/>
      <c r="DH129" s="122"/>
      <c r="DI129" s="122"/>
      <c r="DJ129" s="122"/>
      <c r="DK129" s="122"/>
      <c r="DL129" s="122"/>
      <c r="DM129" s="122"/>
      <c r="DN129" s="122"/>
      <c r="DO129" s="122"/>
      <c r="DP129" s="122"/>
      <c r="DQ129" s="122"/>
      <c r="DR129" s="122"/>
      <c r="DS129" s="122"/>
      <c r="DT129" s="122"/>
      <c r="DU129" s="122"/>
      <c r="DV129" s="122"/>
      <c r="DW129" s="122"/>
      <c r="DX129" s="122"/>
      <c r="DY129" s="122"/>
      <c r="DZ129" s="122"/>
      <c r="EA129" s="122"/>
      <c r="EB129" s="122"/>
      <c r="EC129" s="122"/>
      <c r="ED129" s="122"/>
      <c r="EE129" s="122"/>
      <c r="EF129" s="122"/>
      <c r="EG129" s="122"/>
      <c r="EH129" s="122"/>
      <c r="EI129" s="122"/>
      <c r="EJ129" s="122"/>
      <c r="EK129" s="122"/>
      <c r="EL129" s="122"/>
      <c r="EM129" s="122"/>
      <c r="EN129" s="122"/>
      <c r="EO129" s="122"/>
      <c r="EP129" s="122"/>
      <c r="EQ129" s="122"/>
      <c r="ER129" s="122"/>
      <c r="ES129" s="122"/>
      <c r="ET129" s="122"/>
      <c r="EU129" s="122"/>
      <c r="EV129" s="122"/>
      <c r="EW129" s="122"/>
      <c r="EX129" s="122"/>
      <c r="EY129" s="122"/>
      <c r="EZ129" s="122"/>
      <c r="FA129" s="122"/>
      <c r="FB129" s="122"/>
      <c r="FC129" s="122"/>
      <c r="FD129" s="122"/>
      <c r="FE129" s="122"/>
      <c r="FF129" s="122"/>
      <c r="FG129" s="122"/>
      <c r="FH129" s="122"/>
      <c r="FI129" s="122"/>
      <c r="FJ129" s="122"/>
      <c r="FK129" s="122"/>
      <c r="FL129" s="122"/>
      <c r="FM129" s="122"/>
      <c r="FN129" s="122"/>
      <c r="FO129" s="122"/>
      <c r="FP129" s="122"/>
      <c r="FQ129" s="122"/>
      <c r="FR129" s="122"/>
      <c r="FS129" s="122"/>
      <c r="FT129" s="122"/>
      <c r="FU129" s="122"/>
      <c r="FV129" s="122"/>
      <c r="FW129" s="122"/>
      <c r="FX129" s="122"/>
      <c r="FY129" s="122"/>
      <c r="FZ129" s="122"/>
      <c r="GA129" s="122"/>
      <c r="GB129" s="122"/>
      <c r="GC129" s="122"/>
      <c r="GD129" s="122"/>
      <c r="GE129" s="122"/>
      <c r="GF129" s="122"/>
      <c r="GG129" s="122"/>
      <c r="GH129" s="122"/>
      <c r="GI129" s="122"/>
    </row>
    <row r="130" spans="1:191" s="13" customFormat="1" ht="20.25" customHeight="1">
      <c r="A130" s="117"/>
      <c r="B130" s="125"/>
      <c r="C130" s="120"/>
      <c r="D130" s="121"/>
      <c r="E130" s="103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  <c r="AS130" s="122"/>
      <c r="AT130" s="122"/>
      <c r="AU130" s="122"/>
      <c r="AV130" s="122"/>
      <c r="AW130" s="122"/>
      <c r="AX130" s="122"/>
      <c r="AY130" s="122"/>
      <c r="AZ130" s="122"/>
      <c r="BA130" s="122"/>
      <c r="BB130" s="122"/>
      <c r="BC130" s="122"/>
      <c r="BD130" s="122"/>
      <c r="BE130" s="122"/>
      <c r="BF130" s="122"/>
      <c r="BG130" s="122"/>
      <c r="BH130" s="122"/>
      <c r="BI130" s="122"/>
      <c r="BJ130" s="122"/>
      <c r="BK130" s="122"/>
      <c r="BL130" s="122"/>
      <c r="BM130" s="122"/>
      <c r="BN130" s="122"/>
      <c r="BO130" s="122"/>
      <c r="BP130" s="122"/>
      <c r="BQ130" s="122"/>
      <c r="BR130" s="122"/>
      <c r="BS130" s="123"/>
      <c r="BT130" s="123"/>
      <c r="BU130" s="122"/>
      <c r="BV130" s="122"/>
      <c r="BW130" s="122"/>
      <c r="BX130" s="122"/>
      <c r="BY130" s="122"/>
      <c r="BZ130" s="122"/>
      <c r="CA130" s="122"/>
      <c r="CB130" s="122"/>
      <c r="CC130" s="122"/>
      <c r="CD130" s="122"/>
      <c r="CE130" s="122"/>
      <c r="CF130" s="122"/>
      <c r="CG130" s="122"/>
      <c r="CH130" s="122"/>
      <c r="CI130" s="122"/>
      <c r="CJ130" s="122"/>
      <c r="CK130" s="122"/>
      <c r="CL130" s="122"/>
      <c r="CM130" s="122"/>
      <c r="CN130" s="122"/>
      <c r="CO130" s="122"/>
      <c r="CP130" s="122"/>
      <c r="CQ130" s="122"/>
      <c r="CR130" s="122"/>
      <c r="CS130" s="122"/>
      <c r="CT130" s="122"/>
      <c r="CU130" s="122"/>
      <c r="CV130" s="122"/>
      <c r="CW130" s="122"/>
      <c r="CX130" s="122"/>
      <c r="CY130" s="122"/>
      <c r="CZ130" s="122"/>
      <c r="DA130" s="122"/>
      <c r="DB130" s="122"/>
      <c r="DC130" s="122"/>
      <c r="DD130" s="122"/>
      <c r="DE130" s="122"/>
      <c r="DF130" s="122"/>
      <c r="DG130" s="122"/>
      <c r="DH130" s="122"/>
      <c r="DI130" s="122"/>
      <c r="DJ130" s="122"/>
      <c r="DK130" s="122"/>
      <c r="DL130" s="122"/>
      <c r="DM130" s="122"/>
      <c r="DN130" s="122"/>
      <c r="DO130" s="122"/>
      <c r="DP130" s="122"/>
      <c r="DQ130" s="122"/>
      <c r="DR130" s="122"/>
      <c r="DS130" s="122"/>
      <c r="DT130" s="122"/>
      <c r="DU130" s="122"/>
      <c r="DV130" s="122"/>
      <c r="DW130" s="122"/>
      <c r="DX130" s="122"/>
      <c r="DY130" s="122"/>
      <c r="DZ130" s="122"/>
      <c r="EA130" s="122"/>
      <c r="EB130" s="122"/>
      <c r="EC130" s="122"/>
      <c r="ED130" s="122"/>
      <c r="EE130" s="122"/>
      <c r="EF130" s="122"/>
      <c r="EG130" s="122"/>
      <c r="EH130" s="122"/>
      <c r="EI130" s="122"/>
      <c r="EJ130" s="122"/>
      <c r="EK130" s="122"/>
      <c r="EL130" s="122"/>
      <c r="EM130" s="122"/>
      <c r="EN130" s="122"/>
      <c r="EO130" s="122"/>
      <c r="EP130" s="122"/>
      <c r="EQ130" s="122"/>
      <c r="ER130" s="122"/>
      <c r="ES130" s="122"/>
      <c r="ET130" s="122"/>
      <c r="EU130" s="122"/>
      <c r="EV130" s="122"/>
      <c r="EW130" s="122"/>
      <c r="EX130" s="122"/>
      <c r="EY130" s="122"/>
      <c r="EZ130" s="122"/>
      <c r="FA130" s="122"/>
      <c r="FB130" s="122"/>
      <c r="FC130" s="122"/>
      <c r="FD130" s="122"/>
      <c r="FE130" s="122"/>
      <c r="FF130" s="122"/>
      <c r="FG130" s="122"/>
      <c r="FH130" s="122"/>
      <c r="FI130" s="122"/>
      <c r="FJ130" s="122"/>
      <c r="FK130" s="122"/>
      <c r="FL130" s="122"/>
      <c r="FM130" s="122"/>
      <c r="FN130" s="122"/>
      <c r="FO130" s="122"/>
      <c r="FP130" s="122"/>
      <c r="FQ130" s="122"/>
      <c r="FR130" s="122"/>
      <c r="FS130" s="122"/>
      <c r="FT130" s="122"/>
      <c r="FU130" s="122"/>
      <c r="FV130" s="122"/>
      <c r="FW130" s="122"/>
      <c r="FX130" s="122"/>
      <c r="FY130" s="122"/>
      <c r="FZ130" s="122"/>
      <c r="GA130" s="122"/>
      <c r="GB130" s="122"/>
      <c r="GC130" s="122"/>
      <c r="GD130" s="122"/>
      <c r="GE130" s="122"/>
      <c r="GF130" s="122"/>
      <c r="GG130" s="122"/>
      <c r="GH130" s="122"/>
      <c r="GI130" s="122"/>
    </row>
    <row r="131" spans="1:191" s="13" customFormat="1" ht="20.25" customHeight="1">
      <c r="A131" s="117">
        <v>62</v>
      </c>
      <c r="B131" s="125"/>
      <c r="C131" s="120"/>
      <c r="D131" s="102">
        <f t="shared" ref="D131" si="64">IFERROR(SUMPRODUCT(F131:HE131,$F$6:$HE$6)/100,0)</f>
        <v>0</v>
      </c>
      <c r="E131" s="103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  <c r="AS131" s="122"/>
      <c r="AT131" s="122"/>
      <c r="AU131" s="122"/>
      <c r="AV131" s="122"/>
      <c r="AW131" s="122"/>
      <c r="AX131" s="122"/>
      <c r="AY131" s="122"/>
      <c r="AZ131" s="122"/>
      <c r="BA131" s="122"/>
      <c r="BB131" s="122"/>
      <c r="BC131" s="122"/>
      <c r="BD131" s="122"/>
      <c r="BE131" s="122"/>
      <c r="BF131" s="122"/>
      <c r="BG131" s="122"/>
      <c r="BH131" s="122"/>
      <c r="BI131" s="122"/>
      <c r="BJ131" s="122"/>
      <c r="BK131" s="122"/>
      <c r="BL131" s="122"/>
      <c r="BM131" s="122"/>
      <c r="BN131" s="122"/>
      <c r="BO131" s="122"/>
      <c r="BP131" s="122"/>
      <c r="BQ131" s="122"/>
      <c r="BR131" s="122"/>
      <c r="BS131" s="123"/>
      <c r="BT131" s="123"/>
      <c r="BU131" s="122"/>
      <c r="BV131" s="122"/>
      <c r="BW131" s="122"/>
      <c r="BX131" s="122"/>
      <c r="BY131" s="122"/>
      <c r="BZ131" s="122"/>
      <c r="CA131" s="122"/>
      <c r="CB131" s="122"/>
      <c r="CC131" s="122"/>
      <c r="CD131" s="122"/>
      <c r="CE131" s="122"/>
      <c r="CF131" s="122"/>
      <c r="CG131" s="122"/>
      <c r="CH131" s="122"/>
      <c r="CI131" s="122"/>
      <c r="CJ131" s="122"/>
      <c r="CK131" s="122"/>
      <c r="CL131" s="122"/>
      <c r="CM131" s="122"/>
      <c r="CN131" s="122"/>
      <c r="CO131" s="122"/>
      <c r="CP131" s="122"/>
      <c r="CQ131" s="122"/>
      <c r="CR131" s="122"/>
      <c r="CS131" s="122"/>
      <c r="CT131" s="122"/>
      <c r="CU131" s="122"/>
      <c r="CV131" s="122"/>
      <c r="CW131" s="122"/>
      <c r="CX131" s="122"/>
      <c r="CY131" s="122"/>
      <c r="CZ131" s="122"/>
      <c r="DA131" s="122"/>
      <c r="DB131" s="122"/>
      <c r="DC131" s="122"/>
      <c r="DD131" s="122"/>
      <c r="DE131" s="122"/>
      <c r="DF131" s="122"/>
      <c r="DG131" s="122"/>
      <c r="DH131" s="122"/>
      <c r="DI131" s="122"/>
      <c r="DJ131" s="122"/>
      <c r="DK131" s="122"/>
      <c r="DL131" s="122"/>
      <c r="DM131" s="122"/>
      <c r="DN131" s="122"/>
      <c r="DO131" s="122"/>
      <c r="DP131" s="122"/>
      <c r="DQ131" s="122"/>
      <c r="DR131" s="122"/>
      <c r="DS131" s="122"/>
      <c r="DT131" s="122"/>
      <c r="DU131" s="122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122"/>
      <c r="EF131" s="122"/>
      <c r="EG131" s="122"/>
      <c r="EH131" s="122"/>
      <c r="EI131" s="122"/>
      <c r="EJ131" s="122"/>
      <c r="EK131" s="122"/>
      <c r="EL131" s="122"/>
      <c r="EM131" s="122"/>
      <c r="EN131" s="122"/>
      <c r="EO131" s="122"/>
      <c r="EP131" s="122"/>
      <c r="EQ131" s="122"/>
      <c r="ER131" s="122"/>
      <c r="ES131" s="122"/>
      <c r="ET131" s="122"/>
      <c r="EU131" s="122"/>
      <c r="EV131" s="122"/>
      <c r="EW131" s="122"/>
      <c r="EX131" s="122"/>
      <c r="EY131" s="122"/>
      <c r="EZ131" s="122"/>
      <c r="FA131" s="122"/>
      <c r="FB131" s="122"/>
      <c r="FC131" s="122"/>
      <c r="FD131" s="122"/>
      <c r="FE131" s="122"/>
      <c r="FF131" s="122"/>
      <c r="FG131" s="122"/>
      <c r="FH131" s="122"/>
      <c r="FI131" s="122"/>
      <c r="FJ131" s="122"/>
      <c r="FK131" s="122"/>
      <c r="FL131" s="122"/>
      <c r="FM131" s="122"/>
      <c r="FN131" s="122"/>
      <c r="FO131" s="122"/>
      <c r="FP131" s="122"/>
      <c r="FQ131" s="122"/>
      <c r="FR131" s="122"/>
      <c r="FS131" s="122"/>
      <c r="FT131" s="122"/>
      <c r="FU131" s="122"/>
      <c r="FV131" s="122"/>
      <c r="FW131" s="122"/>
      <c r="FX131" s="122"/>
      <c r="FY131" s="122"/>
      <c r="FZ131" s="122"/>
      <c r="GA131" s="122"/>
      <c r="GB131" s="122"/>
      <c r="GC131" s="122"/>
      <c r="GD131" s="122"/>
      <c r="GE131" s="122"/>
      <c r="GF131" s="122"/>
      <c r="GG131" s="122"/>
      <c r="GH131" s="122"/>
      <c r="GI131" s="122"/>
    </row>
    <row r="132" spans="1:191" s="13" customFormat="1" ht="20.25" customHeight="1">
      <c r="A132" s="117"/>
      <c r="B132" s="125"/>
      <c r="C132" s="120"/>
      <c r="D132" s="121"/>
      <c r="E132" s="103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  <c r="AS132" s="122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3"/>
      <c r="BT132" s="123"/>
      <c r="BU132" s="122"/>
      <c r="BV132" s="122"/>
      <c r="BW132" s="122"/>
      <c r="BX132" s="122"/>
      <c r="BY132" s="122"/>
      <c r="BZ132" s="122"/>
      <c r="CA132" s="122"/>
      <c r="CB132" s="122"/>
      <c r="CC132" s="122"/>
      <c r="CD132" s="122"/>
      <c r="CE132" s="122"/>
      <c r="CF132" s="122"/>
      <c r="CG132" s="122"/>
      <c r="CH132" s="122"/>
      <c r="CI132" s="122"/>
      <c r="CJ132" s="122"/>
      <c r="CK132" s="122"/>
      <c r="CL132" s="122"/>
      <c r="CM132" s="122"/>
      <c r="CN132" s="122"/>
      <c r="CO132" s="122"/>
      <c r="CP132" s="122"/>
      <c r="CQ132" s="122"/>
      <c r="CR132" s="122"/>
      <c r="CS132" s="122"/>
      <c r="CT132" s="122"/>
      <c r="CU132" s="122"/>
      <c r="CV132" s="122"/>
      <c r="CW132" s="122"/>
      <c r="CX132" s="122"/>
      <c r="CY132" s="122"/>
      <c r="CZ132" s="122"/>
      <c r="DA132" s="122"/>
      <c r="DB132" s="122"/>
      <c r="DC132" s="122"/>
      <c r="DD132" s="122"/>
      <c r="DE132" s="122"/>
      <c r="DF132" s="122"/>
      <c r="DG132" s="122"/>
      <c r="DH132" s="122"/>
      <c r="DI132" s="122"/>
      <c r="DJ132" s="122"/>
      <c r="DK132" s="122"/>
      <c r="DL132" s="122"/>
      <c r="DM132" s="122"/>
      <c r="DN132" s="122"/>
      <c r="DO132" s="122"/>
      <c r="DP132" s="122"/>
      <c r="DQ132" s="122"/>
      <c r="DR132" s="122"/>
      <c r="DS132" s="122"/>
      <c r="DT132" s="122"/>
      <c r="DU132" s="122"/>
      <c r="DV132" s="122"/>
      <c r="DW132" s="122"/>
      <c r="DX132" s="122"/>
      <c r="DY132" s="122"/>
      <c r="DZ132" s="122"/>
      <c r="EA132" s="122"/>
      <c r="EB132" s="122"/>
      <c r="EC132" s="122"/>
      <c r="ED132" s="122"/>
      <c r="EE132" s="122"/>
      <c r="EF132" s="122"/>
      <c r="EG132" s="122"/>
      <c r="EH132" s="122"/>
      <c r="EI132" s="122"/>
      <c r="EJ132" s="122"/>
      <c r="EK132" s="122"/>
      <c r="EL132" s="122"/>
      <c r="EM132" s="122"/>
      <c r="EN132" s="122"/>
      <c r="EO132" s="122"/>
      <c r="EP132" s="122"/>
      <c r="EQ132" s="122"/>
      <c r="ER132" s="122"/>
      <c r="ES132" s="122"/>
      <c r="ET132" s="122"/>
      <c r="EU132" s="122"/>
      <c r="EV132" s="122"/>
      <c r="EW132" s="122"/>
      <c r="EX132" s="122"/>
      <c r="EY132" s="122"/>
      <c r="EZ132" s="122"/>
      <c r="FA132" s="122"/>
      <c r="FB132" s="122"/>
      <c r="FC132" s="122"/>
      <c r="FD132" s="122"/>
      <c r="FE132" s="122"/>
      <c r="FF132" s="122"/>
      <c r="FG132" s="122"/>
      <c r="FH132" s="122"/>
      <c r="FI132" s="122"/>
      <c r="FJ132" s="122"/>
      <c r="FK132" s="122"/>
      <c r="FL132" s="122"/>
      <c r="FM132" s="122"/>
      <c r="FN132" s="122"/>
      <c r="FO132" s="122"/>
      <c r="FP132" s="122"/>
      <c r="FQ132" s="122"/>
      <c r="FR132" s="122"/>
      <c r="FS132" s="122"/>
      <c r="FT132" s="122"/>
      <c r="FU132" s="122"/>
      <c r="FV132" s="122"/>
      <c r="FW132" s="122"/>
      <c r="FX132" s="122"/>
      <c r="FY132" s="122"/>
      <c r="FZ132" s="122"/>
      <c r="GA132" s="122"/>
      <c r="GB132" s="122"/>
      <c r="GC132" s="122"/>
      <c r="GD132" s="122"/>
      <c r="GE132" s="122"/>
      <c r="GF132" s="122"/>
      <c r="GG132" s="122"/>
      <c r="GH132" s="122"/>
      <c r="GI132" s="122"/>
    </row>
    <row r="133" spans="1:191" s="13" customFormat="1" ht="20.25" customHeight="1">
      <c r="A133" s="117">
        <v>63</v>
      </c>
      <c r="B133" s="125"/>
      <c r="C133" s="144"/>
      <c r="D133" s="102">
        <f t="shared" ref="D133" si="65">IFERROR(SUMPRODUCT(F133:HE133,$F$6:$HE$6)/100,0)</f>
        <v>0</v>
      </c>
      <c r="E133" s="103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  <c r="AS133" s="122"/>
      <c r="AT133" s="122"/>
      <c r="AU133" s="122"/>
      <c r="AV133" s="122"/>
      <c r="AW133" s="122"/>
      <c r="AX133" s="122"/>
      <c r="AY133" s="122"/>
      <c r="AZ133" s="122"/>
      <c r="BA133" s="122"/>
      <c r="BB133" s="122"/>
      <c r="BC133" s="122"/>
      <c r="BD133" s="122"/>
      <c r="BE133" s="122"/>
      <c r="BF133" s="122"/>
      <c r="BG133" s="122"/>
      <c r="BH133" s="122"/>
      <c r="BI133" s="122"/>
      <c r="BJ133" s="122"/>
      <c r="BK133" s="122"/>
      <c r="BL133" s="122"/>
      <c r="BM133" s="122"/>
      <c r="BN133" s="122"/>
      <c r="BO133" s="122"/>
      <c r="BP133" s="122"/>
      <c r="BQ133" s="122"/>
      <c r="BR133" s="122"/>
      <c r="BS133" s="123"/>
      <c r="BT133" s="123"/>
      <c r="BU133" s="122"/>
      <c r="BV133" s="122"/>
      <c r="BW133" s="122"/>
      <c r="BX133" s="122"/>
      <c r="BY133" s="122"/>
      <c r="BZ133" s="122"/>
      <c r="CA133" s="122"/>
      <c r="CB133" s="122"/>
      <c r="CC133" s="122"/>
      <c r="CD133" s="122"/>
      <c r="CE133" s="122"/>
      <c r="CF133" s="122"/>
      <c r="CG133" s="122"/>
      <c r="CH133" s="122"/>
      <c r="CI133" s="122"/>
      <c r="CJ133" s="122"/>
      <c r="CK133" s="122"/>
      <c r="CL133" s="122"/>
      <c r="CM133" s="122"/>
      <c r="CN133" s="122"/>
      <c r="CO133" s="122"/>
      <c r="CP133" s="122"/>
      <c r="CQ133" s="122"/>
      <c r="CR133" s="122"/>
      <c r="CS133" s="122"/>
      <c r="CT133" s="122"/>
      <c r="CU133" s="122"/>
      <c r="CV133" s="122"/>
      <c r="CW133" s="122"/>
      <c r="CX133" s="122"/>
      <c r="CY133" s="122"/>
      <c r="CZ133" s="122"/>
      <c r="DA133" s="122"/>
      <c r="DB133" s="122"/>
      <c r="DC133" s="122"/>
      <c r="DD133" s="122"/>
      <c r="DE133" s="122"/>
      <c r="DF133" s="122"/>
      <c r="DG133" s="122"/>
      <c r="DH133" s="122"/>
      <c r="DI133" s="122"/>
      <c r="DJ133" s="122"/>
      <c r="DK133" s="122"/>
      <c r="DL133" s="122"/>
      <c r="DM133" s="122"/>
      <c r="DN133" s="122"/>
      <c r="DO133" s="122"/>
      <c r="DP133" s="122"/>
      <c r="DQ133" s="122"/>
      <c r="DR133" s="122"/>
      <c r="DS133" s="122"/>
      <c r="DT133" s="122"/>
      <c r="DU133" s="122"/>
      <c r="DV133" s="122"/>
      <c r="DW133" s="122"/>
      <c r="DX133" s="122"/>
      <c r="DY133" s="122"/>
      <c r="DZ133" s="122"/>
      <c r="EA133" s="122"/>
      <c r="EB133" s="122"/>
      <c r="EC133" s="122"/>
      <c r="ED133" s="122"/>
      <c r="EE133" s="122"/>
      <c r="EF133" s="122"/>
      <c r="EG133" s="122"/>
      <c r="EH133" s="122"/>
      <c r="EI133" s="122"/>
      <c r="EJ133" s="122"/>
      <c r="EK133" s="122"/>
      <c r="EL133" s="122"/>
      <c r="EM133" s="122"/>
      <c r="EN133" s="122"/>
      <c r="EO133" s="122"/>
      <c r="EP133" s="122"/>
      <c r="EQ133" s="122"/>
      <c r="ER133" s="122"/>
      <c r="ES133" s="122"/>
      <c r="ET133" s="122"/>
      <c r="EU133" s="122"/>
      <c r="EV133" s="122"/>
      <c r="EW133" s="122"/>
      <c r="EX133" s="122"/>
      <c r="EY133" s="122"/>
      <c r="EZ133" s="122"/>
      <c r="FA133" s="122"/>
      <c r="FB133" s="122"/>
      <c r="FC133" s="122"/>
      <c r="FD133" s="122"/>
      <c r="FE133" s="122"/>
      <c r="FF133" s="122"/>
      <c r="FG133" s="122"/>
      <c r="FH133" s="122"/>
      <c r="FI133" s="122"/>
      <c r="FJ133" s="122"/>
      <c r="FK133" s="122"/>
      <c r="FL133" s="122"/>
      <c r="FM133" s="122"/>
      <c r="FN133" s="122"/>
      <c r="FO133" s="122"/>
      <c r="FP133" s="122"/>
      <c r="FQ133" s="122"/>
      <c r="FR133" s="122"/>
      <c r="FS133" s="122"/>
      <c r="FT133" s="122"/>
      <c r="FU133" s="122"/>
      <c r="FV133" s="122"/>
      <c r="FW133" s="122"/>
      <c r="FX133" s="122"/>
      <c r="FY133" s="122"/>
      <c r="FZ133" s="122"/>
      <c r="GA133" s="122"/>
      <c r="GB133" s="122"/>
      <c r="GC133" s="122"/>
      <c r="GD133" s="122"/>
      <c r="GE133" s="122"/>
      <c r="GF133" s="122"/>
      <c r="GG133" s="122"/>
      <c r="GH133" s="122"/>
      <c r="GI133" s="122"/>
    </row>
    <row r="134" spans="1:191" s="13" customFormat="1" ht="20.25" customHeight="1">
      <c r="A134" s="117"/>
      <c r="B134" s="125"/>
      <c r="C134" s="120"/>
      <c r="D134" s="121"/>
      <c r="E134" s="103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  <c r="AS134" s="122"/>
      <c r="AT134" s="122"/>
      <c r="AU134" s="122"/>
      <c r="AV134" s="122"/>
      <c r="AW134" s="122"/>
      <c r="AX134" s="122"/>
      <c r="AY134" s="122"/>
      <c r="AZ134" s="122"/>
      <c r="BA134" s="122"/>
      <c r="BB134" s="122"/>
      <c r="BC134" s="122"/>
      <c r="BD134" s="122"/>
      <c r="BE134" s="122"/>
      <c r="BF134" s="122"/>
      <c r="BG134" s="122"/>
      <c r="BH134" s="122"/>
      <c r="BI134" s="122"/>
      <c r="BJ134" s="122"/>
      <c r="BK134" s="122"/>
      <c r="BL134" s="122"/>
      <c r="BM134" s="122"/>
      <c r="BN134" s="122"/>
      <c r="BO134" s="122"/>
      <c r="BP134" s="122"/>
      <c r="BQ134" s="122"/>
      <c r="BR134" s="122"/>
      <c r="BS134" s="123"/>
      <c r="BT134" s="123"/>
      <c r="BU134" s="122"/>
      <c r="BV134" s="122"/>
      <c r="BW134" s="122"/>
      <c r="BX134" s="122"/>
      <c r="BY134" s="122"/>
      <c r="BZ134" s="122"/>
      <c r="CA134" s="122"/>
      <c r="CB134" s="122"/>
      <c r="CC134" s="122"/>
      <c r="CD134" s="122"/>
      <c r="CE134" s="122"/>
      <c r="CF134" s="122"/>
      <c r="CG134" s="122"/>
      <c r="CH134" s="122"/>
      <c r="CI134" s="122"/>
      <c r="CJ134" s="122"/>
      <c r="CK134" s="122"/>
      <c r="CL134" s="122"/>
      <c r="CM134" s="122"/>
      <c r="CN134" s="122"/>
      <c r="CO134" s="122"/>
      <c r="CP134" s="122"/>
      <c r="CQ134" s="122"/>
      <c r="CR134" s="122"/>
      <c r="CS134" s="122"/>
      <c r="CT134" s="122"/>
      <c r="CU134" s="122"/>
      <c r="CV134" s="122"/>
      <c r="CW134" s="122"/>
      <c r="CX134" s="122"/>
      <c r="CY134" s="122"/>
      <c r="CZ134" s="122"/>
      <c r="DA134" s="122"/>
      <c r="DB134" s="122"/>
      <c r="DC134" s="122"/>
      <c r="DD134" s="122"/>
      <c r="DE134" s="122"/>
      <c r="DF134" s="122"/>
      <c r="DG134" s="122"/>
      <c r="DH134" s="122"/>
      <c r="DI134" s="122"/>
      <c r="DJ134" s="122"/>
      <c r="DK134" s="122"/>
      <c r="DL134" s="122"/>
      <c r="DM134" s="122"/>
      <c r="DN134" s="122"/>
      <c r="DO134" s="122"/>
      <c r="DP134" s="122"/>
      <c r="DQ134" s="122"/>
      <c r="DR134" s="122"/>
      <c r="DS134" s="122"/>
      <c r="DT134" s="122"/>
      <c r="DU134" s="122"/>
      <c r="DV134" s="122"/>
      <c r="DW134" s="122"/>
      <c r="DX134" s="122"/>
      <c r="DY134" s="122"/>
      <c r="DZ134" s="122"/>
      <c r="EA134" s="122"/>
      <c r="EB134" s="122"/>
      <c r="EC134" s="122"/>
      <c r="ED134" s="122"/>
      <c r="EE134" s="122"/>
      <c r="EF134" s="122"/>
      <c r="EG134" s="122"/>
      <c r="EH134" s="122"/>
      <c r="EI134" s="122"/>
      <c r="EJ134" s="122"/>
      <c r="EK134" s="122"/>
      <c r="EL134" s="122"/>
      <c r="EM134" s="122"/>
      <c r="EN134" s="122"/>
      <c r="EO134" s="122"/>
      <c r="EP134" s="122"/>
      <c r="EQ134" s="122"/>
      <c r="ER134" s="122"/>
      <c r="ES134" s="122"/>
      <c r="ET134" s="122"/>
      <c r="EU134" s="122"/>
      <c r="EV134" s="122"/>
      <c r="EW134" s="122"/>
      <c r="EX134" s="122"/>
      <c r="EY134" s="122"/>
      <c r="EZ134" s="122"/>
      <c r="FA134" s="122"/>
      <c r="FB134" s="122"/>
      <c r="FC134" s="122"/>
      <c r="FD134" s="122"/>
      <c r="FE134" s="122"/>
      <c r="FF134" s="122"/>
      <c r="FG134" s="122"/>
      <c r="FH134" s="122"/>
      <c r="FI134" s="122"/>
      <c r="FJ134" s="122"/>
      <c r="FK134" s="122"/>
      <c r="FL134" s="122"/>
      <c r="FM134" s="122"/>
      <c r="FN134" s="122"/>
      <c r="FO134" s="122"/>
      <c r="FP134" s="122"/>
      <c r="FQ134" s="122"/>
      <c r="FR134" s="122"/>
      <c r="FS134" s="122"/>
      <c r="FT134" s="122"/>
      <c r="FU134" s="122"/>
      <c r="FV134" s="122"/>
      <c r="FW134" s="122"/>
      <c r="FX134" s="122"/>
      <c r="FY134" s="122"/>
      <c r="FZ134" s="122"/>
      <c r="GA134" s="122"/>
      <c r="GB134" s="122"/>
      <c r="GC134" s="122"/>
      <c r="GD134" s="122"/>
      <c r="GE134" s="122"/>
      <c r="GF134" s="122"/>
      <c r="GG134" s="122"/>
      <c r="GH134" s="122"/>
      <c r="GI134" s="122"/>
    </row>
    <row r="135" spans="1:191" s="13" customFormat="1" ht="20.25" customHeight="1">
      <c r="A135" s="117">
        <v>64</v>
      </c>
      <c r="B135" s="125"/>
      <c r="C135" s="144"/>
      <c r="D135" s="102">
        <f t="shared" ref="D135" si="66">IFERROR(SUMPRODUCT(F135:HE135,$F$6:$HE$6)/100,0)</f>
        <v>0</v>
      </c>
      <c r="E135" s="103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  <c r="AS135" s="122"/>
      <c r="AT135" s="122"/>
      <c r="AU135" s="122"/>
      <c r="AV135" s="122"/>
      <c r="AW135" s="122"/>
      <c r="AX135" s="122"/>
      <c r="AY135" s="122"/>
      <c r="AZ135" s="122"/>
      <c r="BA135" s="122"/>
      <c r="BB135" s="122"/>
      <c r="BC135" s="122"/>
      <c r="BD135" s="122"/>
      <c r="BE135" s="122"/>
      <c r="BF135" s="122"/>
      <c r="BG135" s="122"/>
      <c r="BH135" s="122"/>
      <c r="BI135" s="122"/>
      <c r="BJ135" s="122"/>
      <c r="BK135" s="122"/>
      <c r="BL135" s="122"/>
      <c r="BM135" s="122"/>
      <c r="BN135" s="122"/>
      <c r="BO135" s="122"/>
      <c r="BP135" s="122"/>
      <c r="BQ135" s="122"/>
      <c r="BR135" s="122"/>
      <c r="BS135" s="123"/>
      <c r="BT135" s="123"/>
      <c r="BU135" s="122"/>
      <c r="BV135" s="122"/>
      <c r="BW135" s="122"/>
      <c r="BX135" s="122"/>
      <c r="BY135" s="122"/>
      <c r="BZ135" s="122"/>
      <c r="CA135" s="122"/>
      <c r="CB135" s="122"/>
      <c r="CC135" s="122"/>
      <c r="CD135" s="122"/>
      <c r="CE135" s="122"/>
      <c r="CF135" s="122"/>
      <c r="CG135" s="122"/>
      <c r="CH135" s="122"/>
      <c r="CI135" s="122"/>
      <c r="CJ135" s="122"/>
      <c r="CK135" s="122"/>
      <c r="CL135" s="122"/>
      <c r="CM135" s="122"/>
      <c r="CN135" s="122"/>
      <c r="CO135" s="122"/>
      <c r="CP135" s="122"/>
      <c r="CQ135" s="122"/>
      <c r="CR135" s="122"/>
      <c r="CS135" s="122"/>
      <c r="CT135" s="122"/>
      <c r="CU135" s="122"/>
      <c r="CV135" s="122"/>
      <c r="CW135" s="122"/>
      <c r="CX135" s="122"/>
      <c r="CY135" s="122"/>
      <c r="CZ135" s="122"/>
      <c r="DA135" s="122"/>
      <c r="DB135" s="122"/>
      <c r="DC135" s="122"/>
      <c r="DD135" s="122"/>
      <c r="DE135" s="122"/>
      <c r="DF135" s="122"/>
      <c r="DG135" s="122"/>
      <c r="DH135" s="122"/>
      <c r="DI135" s="122"/>
      <c r="DJ135" s="122"/>
      <c r="DK135" s="122"/>
      <c r="DL135" s="122"/>
      <c r="DM135" s="122"/>
      <c r="DN135" s="122"/>
      <c r="DO135" s="122"/>
      <c r="DP135" s="122"/>
      <c r="DQ135" s="122"/>
      <c r="DR135" s="122"/>
      <c r="DS135" s="122"/>
      <c r="DT135" s="122"/>
      <c r="DU135" s="122"/>
      <c r="DV135" s="122"/>
      <c r="DW135" s="122"/>
      <c r="DX135" s="122"/>
      <c r="DY135" s="122"/>
      <c r="DZ135" s="122"/>
      <c r="EA135" s="122"/>
      <c r="EB135" s="122"/>
      <c r="EC135" s="122"/>
      <c r="ED135" s="122"/>
      <c r="EE135" s="122"/>
      <c r="EF135" s="122"/>
      <c r="EG135" s="122"/>
      <c r="EH135" s="122"/>
      <c r="EI135" s="122"/>
      <c r="EJ135" s="122"/>
      <c r="EK135" s="122"/>
      <c r="EL135" s="122"/>
      <c r="EM135" s="122"/>
      <c r="EN135" s="122"/>
      <c r="EO135" s="122"/>
      <c r="EP135" s="122"/>
      <c r="EQ135" s="122"/>
      <c r="ER135" s="122"/>
      <c r="ES135" s="122"/>
      <c r="ET135" s="122"/>
      <c r="EU135" s="122"/>
      <c r="EV135" s="122"/>
      <c r="EW135" s="122"/>
      <c r="EX135" s="122"/>
      <c r="EY135" s="122"/>
      <c r="EZ135" s="122"/>
      <c r="FA135" s="122"/>
      <c r="FB135" s="122"/>
      <c r="FC135" s="122"/>
      <c r="FD135" s="122"/>
      <c r="FE135" s="122"/>
      <c r="FF135" s="122"/>
      <c r="FG135" s="122"/>
      <c r="FH135" s="122"/>
      <c r="FI135" s="122"/>
      <c r="FJ135" s="122"/>
      <c r="FK135" s="122"/>
      <c r="FL135" s="122"/>
      <c r="FM135" s="122"/>
      <c r="FN135" s="122"/>
      <c r="FO135" s="122"/>
      <c r="FP135" s="122"/>
      <c r="FQ135" s="122"/>
      <c r="FR135" s="122"/>
      <c r="FS135" s="122"/>
      <c r="FT135" s="122"/>
      <c r="FU135" s="122"/>
      <c r="FV135" s="122"/>
      <c r="FW135" s="122"/>
      <c r="FX135" s="122"/>
      <c r="FY135" s="122"/>
      <c r="FZ135" s="122"/>
      <c r="GA135" s="122"/>
      <c r="GB135" s="122"/>
      <c r="GC135" s="122"/>
      <c r="GD135" s="122"/>
      <c r="GE135" s="122"/>
      <c r="GF135" s="122"/>
      <c r="GG135" s="122"/>
      <c r="GH135" s="122"/>
      <c r="GI135" s="122"/>
    </row>
    <row r="136" spans="1:191" s="13" customFormat="1" ht="20.25" customHeight="1">
      <c r="A136" s="117"/>
      <c r="B136" s="125"/>
      <c r="C136" s="120"/>
      <c r="D136" s="121"/>
      <c r="E136" s="103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  <c r="AS136" s="122"/>
      <c r="AT136" s="122"/>
      <c r="AU136" s="122"/>
      <c r="AV136" s="122"/>
      <c r="AW136" s="122"/>
      <c r="AX136" s="122"/>
      <c r="AY136" s="122"/>
      <c r="AZ136" s="122"/>
      <c r="BA136" s="122"/>
      <c r="BB136" s="122"/>
      <c r="BC136" s="122"/>
      <c r="BD136" s="122"/>
      <c r="BE136" s="122"/>
      <c r="BF136" s="122"/>
      <c r="BG136" s="122"/>
      <c r="BH136" s="122"/>
      <c r="BI136" s="122"/>
      <c r="BJ136" s="122"/>
      <c r="BK136" s="122"/>
      <c r="BL136" s="122"/>
      <c r="BM136" s="122"/>
      <c r="BN136" s="122"/>
      <c r="BO136" s="122"/>
      <c r="BP136" s="122"/>
      <c r="BQ136" s="122"/>
      <c r="BR136" s="122"/>
      <c r="BS136" s="123"/>
      <c r="BT136" s="123"/>
      <c r="BU136" s="122"/>
      <c r="BV136" s="122"/>
      <c r="BW136" s="122"/>
      <c r="BX136" s="122"/>
      <c r="BY136" s="122"/>
      <c r="BZ136" s="122"/>
      <c r="CA136" s="122"/>
      <c r="CB136" s="122"/>
      <c r="CC136" s="122"/>
      <c r="CD136" s="122"/>
      <c r="CE136" s="122"/>
      <c r="CF136" s="122"/>
      <c r="CG136" s="122"/>
      <c r="CH136" s="122"/>
      <c r="CI136" s="122"/>
      <c r="CJ136" s="122"/>
      <c r="CK136" s="122"/>
      <c r="CL136" s="122"/>
      <c r="CM136" s="122"/>
      <c r="CN136" s="122"/>
      <c r="CO136" s="122"/>
      <c r="CP136" s="122"/>
      <c r="CQ136" s="122"/>
      <c r="CR136" s="122"/>
      <c r="CS136" s="122"/>
      <c r="CT136" s="122"/>
      <c r="CU136" s="122"/>
      <c r="CV136" s="122"/>
      <c r="CW136" s="122"/>
      <c r="CX136" s="122"/>
      <c r="CY136" s="122"/>
      <c r="CZ136" s="122"/>
      <c r="DA136" s="122"/>
      <c r="DB136" s="122"/>
      <c r="DC136" s="122"/>
      <c r="DD136" s="122"/>
      <c r="DE136" s="122"/>
      <c r="DF136" s="122"/>
      <c r="DG136" s="122"/>
      <c r="DH136" s="122"/>
      <c r="DI136" s="122"/>
      <c r="DJ136" s="122"/>
      <c r="DK136" s="122"/>
      <c r="DL136" s="122"/>
      <c r="DM136" s="122"/>
      <c r="DN136" s="122"/>
      <c r="DO136" s="122"/>
      <c r="DP136" s="122"/>
      <c r="DQ136" s="122"/>
      <c r="DR136" s="122"/>
      <c r="DS136" s="122"/>
      <c r="DT136" s="122"/>
      <c r="DU136" s="122"/>
      <c r="DV136" s="122"/>
      <c r="DW136" s="122"/>
      <c r="DX136" s="122"/>
      <c r="DY136" s="122"/>
      <c r="DZ136" s="122"/>
      <c r="EA136" s="122"/>
      <c r="EB136" s="122"/>
      <c r="EC136" s="122"/>
      <c r="ED136" s="122"/>
      <c r="EE136" s="122"/>
      <c r="EF136" s="122"/>
      <c r="EG136" s="122"/>
      <c r="EH136" s="122"/>
      <c r="EI136" s="122"/>
      <c r="EJ136" s="122"/>
      <c r="EK136" s="122"/>
      <c r="EL136" s="122"/>
      <c r="EM136" s="122"/>
      <c r="EN136" s="122"/>
      <c r="EO136" s="122"/>
      <c r="EP136" s="122"/>
      <c r="EQ136" s="122"/>
      <c r="ER136" s="122"/>
      <c r="ES136" s="122"/>
      <c r="ET136" s="122"/>
      <c r="EU136" s="122"/>
      <c r="EV136" s="122"/>
      <c r="EW136" s="122"/>
      <c r="EX136" s="122"/>
      <c r="EY136" s="122"/>
      <c r="EZ136" s="122"/>
      <c r="FA136" s="122"/>
      <c r="FB136" s="122"/>
      <c r="FC136" s="122"/>
      <c r="FD136" s="122"/>
      <c r="FE136" s="122"/>
      <c r="FF136" s="122"/>
      <c r="FG136" s="122"/>
      <c r="FH136" s="122"/>
      <c r="FI136" s="122"/>
      <c r="FJ136" s="122"/>
      <c r="FK136" s="122"/>
      <c r="FL136" s="122"/>
      <c r="FM136" s="122"/>
      <c r="FN136" s="122"/>
      <c r="FO136" s="122"/>
      <c r="FP136" s="122"/>
      <c r="FQ136" s="122"/>
      <c r="FR136" s="122"/>
      <c r="FS136" s="122"/>
      <c r="FT136" s="122"/>
      <c r="FU136" s="122"/>
      <c r="FV136" s="122"/>
      <c r="FW136" s="122"/>
      <c r="FX136" s="122"/>
      <c r="FY136" s="122"/>
      <c r="FZ136" s="122"/>
      <c r="GA136" s="122"/>
      <c r="GB136" s="122"/>
      <c r="GC136" s="122"/>
      <c r="GD136" s="122"/>
      <c r="GE136" s="122"/>
      <c r="GF136" s="122"/>
      <c r="GG136" s="122"/>
      <c r="GH136" s="122"/>
      <c r="GI136" s="122"/>
    </row>
    <row r="137" spans="1:191" s="13" customFormat="1" ht="20.25" customHeight="1">
      <c r="A137" s="117">
        <v>65</v>
      </c>
      <c r="B137" s="125"/>
      <c r="C137" s="120"/>
      <c r="D137" s="102">
        <f t="shared" ref="D137" si="67">IFERROR(SUMPRODUCT(F137:HE137,$F$6:$HE$6)/100,0)</f>
        <v>0</v>
      </c>
      <c r="E137" s="103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  <c r="AS137" s="122"/>
      <c r="AT137" s="122"/>
      <c r="AU137" s="122"/>
      <c r="AV137" s="122"/>
      <c r="AW137" s="122"/>
      <c r="AX137" s="122"/>
      <c r="AY137" s="122"/>
      <c r="AZ137" s="122"/>
      <c r="BA137" s="122"/>
      <c r="BB137" s="122"/>
      <c r="BC137" s="122"/>
      <c r="BD137" s="122"/>
      <c r="BE137" s="122"/>
      <c r="BF137" s="122"/>
      <c r="BG137" s="122"/>
      <c r="BH137" s="122"/>
      <c r="BI137" s="122"/>
      <c r="BJ137" s="122"/>
      <c r="BK137" s="122"/>
      <c r="BL137" s="122"/>
      <c r="BM137" s="122"/>
      <c r="BN137" s="122"/>
      <c r="BO137" s="122"/>
      <c r="BP137" s="122"/>
      <c r="BQ137" s="122"/>
      <c r="BR137" s="122"/>
      <c r="BS137" s="123"/>
      <c r="BT137" s="123"/>
      <c r="BU137" s="122"/>
      <c r="BV137" s="122"/>
      <c r="BW137" s="122"/>
      <c r="BX137" s="122"/>
      <c r="BY137" s="122"/>
      <c r="BZ137" s="122"/>
      <c r="CA137" s="122"/>
      <c r="CB137" s="122"/>
      <c r="CC137" s="122"/>
      <c r="CD137" s="122"/>
      <c r="CE137" s="122"/>
      <c r="CF137" s="122"/>
      <c r="CG137" s="122"/>
      <c r="CH137" s="122"/>
      <c r="CI137" s="122"/>
      <c r="CJ137" s="122"/>
      <c r="CK137" s="122"/>
      <c r="CL137" s="122"/>
      <c r="CM137" s="122"/>
      <c r="CN137" s="122"/>
      <c r="CO137" s="122"/>
      <c r="CP137" s="122"/>
      <c r="CQ137" s="122"/>
      <c r="CR137" s="122"/>
      <c r="CS137" s="122"/>
      <c r="CT137" s="122"/>
      <c r="CU137" s="122"/>
      <c r="CV137" s="122"/>
      <c r="CW137" s="122"/>
      <c r="CX137" s="122"/>
      <c r="CY137" s="122"/>
      <c r="CZ137" s="122"/>
      <c r="DA137" s="122"/>
      <c r="DB137" s="122"/>
      <c r="DC137" s="122"/>
      <c r="DD137" s="122"/>
      <c r="DE137" s="122"/>
      <c r="DF137" s="122"/>
      <c r="DG137" s="122"/>
      <c r="DH137" s="122"/>
      <c r="DI137" s="122"/>
      <c r="DJ137" s="122"/>
      <c r="DK137" s="122"/>
      <c r="DL137" s="122"/>
      <c r="DM137" s="122"/>
      <c r="DN137" s="122"/>
      <c r="DO137" s="122"/>
      <c r="DP137" s="122"/>
      <c r="DQ137" s="122"/>
      <c r="DR137" s="122"/>
      <c r="DS137" s="122"/>
      <c r="DT137" s="122"/>
      <c r="DU137" s="122"/>
      <c r="DV137" s="122"/>
      <c r="DW137" s="122"/>
      <c r="DX137" s="122"/>
      <c r="DY137" s="122"/>
      <c r="DZ137" s="122"/>
      <c r="EA137" s="122"/>
      <c r="EB137" s="122"/>
      <c r="EC137" s="122"/>
      <c r="ED137" s="122"/>
      <c r="EE137" s="122"/>
      <c r="EF137" s="122"/>
      <c r="EG137" s="122"/>
      <c r="EH137" s="122"/>
      <c r="EI137" s="122"/>
      <c r="EJ137" s="122"/>
      <c r="EK137" s="122"/>
      <c r="EL137" s="122"/>
      <c r="EM137" s="122"/>
      <c r="EN137" s="122"/>
      <c r="EO137" s="122"/>
      <c r="EP137" s="122"/>
      <c r="EQ137" s="122"/>
      <c r="ER137" s="122"/>
      <c r="ES137" s="122"/>
      <c r="ET137" s="122"/>
      <c r="EU137" s="122"/>
      <c r="EV137" s="122"/>
      <c r="EW137" s="122"/>
      <c r="EX137" s="122"/>
      <c r="EY137" s="122"/>
      <c r="EZ137" s="122"/>
      <c r="FA137" s="122"/>
      <c r="FB137" s="122"/>
      <c r="FC137" s="122"/>
      <c r="FD137" s="122"/>
      <c r="FE137" s="122"/>
      <c r="FF137" s="122"/>
      <c r="FG137" s="122"/>
      <c r="FH137" s="122"/>
      <c r="FI137" s="122"/>
      <c r="FJ137" s="122"/>
      <c r="FK137" s="122"/>
      <c r="FL137" s="122"/>
      <c r="FM137" s="122"/>
      <c r="FN137" s="122"/>
      <c r="FO137" s="122"/>
      <c r="FP137" s="122"/>
      <c r="FQ137" s="122"/>
      <c r="FR137" s="122"/>
      <c r="FS137" s="122"/>
      <c r="FT137" s="122"/>
      <c r="FU137" s="122"/>
      <c r="FV137" s="122"/>
      <c r="FW137" s="122"/>
      <c r="FX137" s="122"/>
      <c r="FY137" s="122"/>
      <c r="FZ137" s="122"/>
      <c r="GA137" s="122"/>
      <c r="GB137" s="122"/>
      <c r="GC137" s="122"/>
      <c r="GD137" s="122"/>
      <c r="GE137" s="122"/>
      <c r="GF137" s="122"/>
      <c r="GG137" s="122"/>
      <c r="GH137" s="122"/>
      <c r="GI137" s="122"/>
    </row>
    <row r="138" spans="1:191" s="13" customFormat="1" ht="20.25" customHeight="1">
      <c r="A138" s="117"/>
      <c r="B138" s="124"/>
      <c r="C138" s="120"/>
      <c r="D138" s="121"/>
      <c r="E138" s="103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  <c r="AS138" s="122"/>
      <c r="AT138" s="122"/>
      <c r="AU138" s="122"/>
      <c r="AV138" s="122"/>
      <c r="AW138" s="122"/>
      <c r="AX138" s="122"/>
      <c r="AY138" s="122"/>
      <c r="AZ138" s="122"/>
      <c r="BA138" s="122"/>
      <c r="BB138" s="122"/>
      <c r="BC138" s="122"/>
      <c r="BD138" s="122"/>
      <c r="BE138" s="122"/>
      <c r="BF138" s="122"/>
      <c r="BG138" s="122"/>
      <c r="BH138" s="122"/>
      <c r="BI138" s="122"/>
      <c r="BJ138" s="122"/>
      <c r="BK138" s="122"/>
      <c r="BL138" s="122"/>
      <c r="BM138" s="122"/>
      <c r="BN138" s="122"/>
      <c r="BO138" s="122"/>
      <c r="BP138" s="122"/>
      <c r="BQ138" s="122"/>
      <c r="BR138" s="122"/>
      <c r="BS138" s="123"/>
      <c r="BT138" s="123"/>
      <c r="BU138" s="122"/>
      <c r="BV138" s="122"/>
      <c r="BW138" s="122"/>
      <c r="BX138" s="122"/>
      <c r="BY138" s="122"/>
      <c r="BZ138" s="122"/>
      <c r="CA138" s="122"/>
      <c r="CB138" s="122"/>
      <c r="CC138" s="122"/>
      <c r="CD138" s="122"/>
      <c r="CE138" s="122"/>
      <c r="CF138" s="122"/>
      <c r="CG138" s="122"/>
      <c r="CH138" s="122"/>
      <c r="CI138" s="122"/>
      <c r="CJ138" s="122"/>
      <c r="CK138" s="122"/>
      <c r="CL138" s="122"/>
      <c r="CM138" s="122"/>
      <c r="CN138" s="122"/>
      <c r="CO138" s="122"/>
      <c r="CP138" s="122"/>
      <c r="CQ138" s="122"/>
      <c r="CR138" s="122"/>
      <c r="CS138" s="122"/>
      <c r="CT138" s="122"/>
      <c r="CU138" s="122"/>
      <c r="CV138" s="122"/>
      <c r="CW138" s="122"/>
      <c r="CX138" s="122"/>
      <c r="CY138" s="122"/>
      <c r="CZ138" s="122"/>
      <c r="DA138" s="122"/>
      <c r="DB138" s="122"/>
      <c r="DC138" s="122"/>
      <c r="DD138" s="122"/>
      <c r="DE138" s="122"/>
      <c r="DF138" s="122"/>
      <c r="DG138" s="122"/>
      <c r="DH138" s="122"/>
      <c r="DI138" s="122"/>
      <c r="DJ138" s="122"/>
      <c r="DK138" s="122"/>
      <c r="DL138" s="122"/>
      <c r="DM138" s="122"/>
      <c r="DN138" s="122"/>
      <c r="DO138" s="122"/>
      <c r="DP138" s="122"/>
      <c r="DQ138" s="122"/>
      <c r="DR138" s="122"/>
      <c r="DS138" s="122"/>
      <c r="DT138" s="122"/>
      <c r="DU138" s="122"/>
      <c r="DV138" s="122"/>
      <c r="DW138" s="122"/>
      <c r="DX138" s="122"/>
      <c r="DY138" s="122"/>
      <c r="DZ138" s="122"/>
      <c r="EA138" s="122"/>
      <c r="EB138" s="122"/>
      <c r="EC138" s="122"/>
      <c r="ED138" s="122"/>
      <c r="EE138" s="122"/>
      <c r="EF138" s="122"/>
      <c r="EG138" s="122"/>
      <c r="EH138" s="122"/>
      <c r="EI138" s="122"/>
      <c r="EJ138" s="122"/>
      <c r="EK138" s="122"/>
      <c r="EL138" s="122"/>
      <c r="EM138" s="122"/>
      <c r="EN138" s="122"/>
      <c r="EO138" s="122"/>
      <c r="EP138" s="122"/>
      <c r="EQ138" s="122"/>
      <c r="ER138" s="122"/>
      <c r="ES138" s="122"/>
      <c r="ET138" s="122"/>
      <c r="EU138" s="122"/>
      <c r="EV138" s="122"/>
      <c r="EW138" s="122"/>
      <c r="EX138" s="122"/>
      <c r="EY138" s="122"/>
      <c r="EZ138" s="122"/>
      <c r="FA138" s="122"/>
      <c r="FB138" s="122"/>
      <c r="FC138" s="122"/>
      <c r="FD138" s="122"/>
      <c r="FE138" s="122"/>
      <c r="FF138" s="122"/>
      <c r="FG138" s="122"/>
      <c r="FH138" s="122"/>
      <c r="FI138" s="122"/>
      <c r="FJ138" s="122"/>
      <c r="FK138" s="122"/>
      <c r="FL138" s="122"/>
      <c r="FM138" s="122"/>
      <c r="FN138" s="122"/>
      <c r="FO138" s="122"/>
      <c r="FP138" s="122"/>
      <c r="FQ138" s="122"/>
      <c r="FR138" s="122"/>
      <c r="FS138" s="122"/>
      <c r="FT138" s="122"/>
      <c r="FU138" s="122"/>
      <c r="FV138" s="122"/>
      <c r="FW138" s="122"/>
      <c r="FX138" s="122"/>
      <c r="FY138" s="122"/>
      <c r="FZ138" s="122"/>
      <c r="GA138" s="122"/>
      <c r="GB138" s="122"/>
      <c r="GC138" s="122"/>
      <c r="GD138" s="122"/>
      <c r="GE138" s="122"/>
      <c r="GF138" s="122"/>
      <c r="GG138" s="122"/>
      <c r="GH138" s="122"/>
      <c r="GI138" s="122"/>
    </row>
    <row r="139" spans="1:191" s="13" customFormat="1" ht="20.25" customHeight="1">
      <c r="A139" s="117">
        <v>66</v>
      </c>
      <c r="B139" s="124"/>
      <c r="C139" s="120"/>
      <c r="D139" s="102">
        <f t="shared" ref="D139" si="68">IFERROR(SUMPRODUCT(F139:HE139,$F$6:$HE$6)/100,0)</f>
        <v>0</v>
      </c>
      <c r="E139" s="103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  <c r="BP139" s="122"/>
      <c r="BQ139" s="122"/>
      <c r="BR139" s="122"/>
      <c r="BS139" s="123"/>
      <c r="BT139" s="123"/>
      <c r="BU139" s="122"/>
      <c r="BV139" s="122"/>
      <c r="BW139" s="122"/>
      <c r="BX139" s="122"/>
      <c r="BY139" s="122"/>
      <c r="BZ139" s="122"/>
      <c r="CA139" s="122"/>
      <c r="CB139" s="122"/>
      <c r="CC139" s="122"/>
      <c r="CD139" s="122"/>
      <c r="CE139" s="122"/>
      <c r="CF139" s="122"/>
      <c r="CG139" s="122"/>
      <c r="CH139" s="122"/>
      <c r="CI139" s="122"/>
      <c r="CJ139" s="122"/>
      <c r="CK139" s="122"/>
      <c r="CL139" s="122"/>
      <c r="CM139" s="122"/>
      <c r="CN139" s="122"/>
      <c r="CO139" s="122"/>
      <c r="CP139" s="122"/>
      <c r="CQ139" s="122"/>
      <c r="CR139" s="122"/>
      <c r="CS139" s="122"/>
      <c r="CT139" s="122"/>
      <c r="CU139" s="122"/>
      <c r="CV139" s="122"/>
      <c r="CW139" s="122"/>
      <c r="CX139" s="122"/>
      <c r="CY139" s="122"/>
      <c r="CZ139" s="122"/>
      <c r="DA139" s="122"/>
      <c r="DB139" s="122"/>
      <c r="DC139" s="122"/>
      <c r="DD139" s="122"/>
      <c r="DE139" s="122"/>
      <c r="DF139" s="122"/>
      <c r="DG139" s="122"/>
      <c r="DH139" s="122"/>
      <c r="DI139" s="122"/>
      <c r="DJ139" s="122"/>
      <c r="DK139" s="122"/>
      <c r="DL139" s="122"/>
      <c r="DM139" s="122"/>
      <c r="DN139" s="122"/>
      <c r="DO139" s="122"/>
      <c r="DP139" s="122"/>
      <c r="DQ139" s="122"/>
      <c r="DR139" s="122"/>
      <c r="DS139" s="122"/>
      <c r="DT139" s="122"/>
      <c r="DU139" s="122"/>
      <c r="DV139" s="122"/>
      <c r="DW139" s="122"/>
      <c r="DX139" s="122"/>
      <c r="DY139" s="122"/>
      <c r="DZ139" s="122"/>
      <c r="EA139" s="122"/>
      <c r="EB139" s="122"/>
      <c r="EC139" s="122"/>
      <c r="ED139" s="122"/>
      <c r="EE139" s="122"/>
      <c r="EF139" s="122"/>
      <c r="EG139" s="122"/>
      <c r="EH139" s="122"/>
      <c r="EI139" s="122"/>
      <c r="EJ139" s="122"/>
      <c r="EK139" s="122"/>
      <c r="EL139" s="122"/>
      <c r="EM139" s="122"/>
      <c r="EN139" s="122"/>
      <c r="EO139" s="122"/>
      <c r="EP139" s="122"/>
      <c r="EQ139" s="122"/>
      <c r="ER139" s="122"/>
      <c r="ES139" s="122"/>
      <c r="ET139" s="122"/>
      <c r="EU139" s="122"/>
      <c r="EV139" s="122"/>
      <c r="EW139" s="122"/>
      <c r="EX139" s="122"/>
      <c r="EY139" s="122"/>
      <c r="EZ139" s="122"/>
      <c r="FA139" s="122"/>
      <c r="FB139" s="122"/>
      <c r="FC139" s="122"/>
      <c r="FD139" s="122"/>
      <c r="FE139" s="122"/>
      <c r="FF139" s="122"/>
      <c r="FG139" s="122"/>
      <c r="FH139" s="122"/>
      <c r="FI139" s="122"/>
      <c r="FJ139" s="122"/>
      <c r="FK139" s="122"/>
      <c r="FL139" s="122"/>
      <c r="FM139" s="122"/>
      <c r="FN139" s="122"/>
      <c r="FO139" s="122"/>
      <c r="FP139" s="122"/>
      <c r="FQ139" s="122"/>
      <c r="FR139" s="122"/>
      <c r="FS139" s="122"/>
      <c r="FT139" s="122"/>
      <c r="FU139" s="122"/>
      <c r="FV139" s="122"/>
      <c r="FW139" s="122"/>
      <c r="FX139" s="122"/>
      <c r="FY139" s="122"/>
      <c r="FZ139" s="122"/>
      <c r="GA139" s="122"/>
      <c r="GB139" s="122"/>
      <c r="GC139" s="122"/>
      <c r="GD139" s="122"/>
      <c r="GE139" s="122"/>
      <c r="GF139" s="122"/>
      <c r="GG139" s="122"/>
      <c r="GH139" s="122"/>
      <c r="GI139" s="122"/>
    </row>
    <row r="140" spans="1:191" s="13" customFormat="1" ht="20.25" customHeight="1">
      <c r="A140" s="117"/>
      <c r="B140" s="124"/>
      <c r="C140" s="120"/>
      <c r="D140" s="121"/>
      <c r="E140" s="103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  <c r="BP140" s="122"/>
      <c r="BQ140" s="122"/>
      <c r="BR140" s="122"/>
      <c r="BS140" s="123"/>
      <c r="BT140" s="123"/>
      <c r="BU140" s="122"/>
      <c r="BV140" s="122"/>
      <c r="BW140" s="122"/>
      <c r="BX140" s="122"/>
      <c r="BY140" s="122"/>
      <c r="BZ140" s="122"/>
      <c r="CA140" s="122"/>
      <c r="CB140" s="122"/>
      <c r="CC140" s="122"/>
      <c r="CD140" s="122"/>
      <c r="CE140" s="122"/>
      <c r="CF140" s="122"/>
      <c r="CG140" s="122"/>
      <c r="CH140" s="122"/>
      <c r="CI140" s="122"/>
      <c r="CJ140" s="122"/>
      <c r="CK140" s="122"/>
      <c r="CL140" s="122"/>
      <c r="CM140" s="122"/>
      <c r="CN140" s="122"/>
      <c r="CO140" s="122"/>
      <c r="CP140" s="122"/>
      <c r="CQ140" s="122"/>
      <c r="CR140" s="122"/>
      <c r="CS140" s="122"/>
      <c r="CT140" s="122"/>
      <c r="CU140" s="122"/>
      <c r="CV140" s="122"/>
      <c r="CW140" s="122"/>
      <c r="CX140" s="122"/>
      <c r="CY140" s="122"/>
      <c r="CZ140" s="122"/>
      <c r="DA140" s="122"/>
      <c r="DB140" s="122"/>
      <c r="DC140" s="122"/>
      <c r="DD140" s="122"/>
      <c r="DE140" s="122"/>
      <c r="DF140" s="122"/>
      <c r="DG140" s="122"/>
      <c r="DH140" s="122"/>
      <c r="DI140" s="122"/>
      <c r="DJ140" s="122"/>
      <c r="DK140" s="122"/>
      <c r="DL140" s="122"/>
      <c r="DM140" s="122"/>
      <c r="DN140" s="122"/>
      <c r="DO140" s="122"/>
      <c r="DP140" s="122"/>
      <c r="DQ140" s="122"/>
      <c r="DR140" s="122"/>
      <c r="DS140" s="122"/>
      <c r="DT140" s="122"/>
      <c r="DU140" s="122"/>
      <c r="DV140" s="122"/>
      <c r="DW140" s="122"/>
      <c r="DX140" s="122"/>
      <c r="DY140" s="122"/>
      <c r="DZ140" s="122"/>
      <c r="EA140" s="122"/>
      <c r="EB140" s="122"/>
      <c r="EC140" s="122"/>
      <c r="ED140" s="122"/>
      <c r="EE140" s="122"/>
      <c r="EF140" s="122"/>
      <c r="EG140" s="122"/>
      <c r="EH140" s="122"/>
      <c r="EI140" s="122"/>
      <c r="EJ140" s="122"/>
      <c r="EK140" s="122"/>
      <c r="EL140" s="122"/>
      <c r="EM140" s="122"/>
      <c r="EN140" s="122"/>
      <c r="EO140" s="122"/>
      <c r="EP140" s="122"/>
      <c r="EQ140" s="122"/>
      <c r="ER140" s="122"/>
      <c r="ES140" s="122"/>
      <c r="ET140" s="122"/>
      <c r="EU140" s="122"/>
      <c r="EV140" s="122"/>
      <c r="EW140" s="122"/>
      <c r="EX140" s="122"/>
      <c r="EY140" s="122"/>
      <c r="EZ140" s="122"/>
      <c r="FA140" s="122"/>
      <c r="FB140" s="122"/>
      <c r="FC140" s="122"/>
      <c r="FD140" s="122"/>
      <c r="FE140" s="122"/>
      <c r="FF140" s="122"/>
      <c r="FG140" s="122"/>
      <c r="FH140" s="122"/>
      <c r="FI140" s="122"/>
      <c r="FJ140" s="122"/>
      <c r="FK140" s="122"/>
      <c r="FL140" s="122"/>
      <c r="FM140" s="122"/>
      <c r="FN140" s="122"/>
      <c r="FO140" s="122"/>
      <c r="FP140" s="122"/>
      <c r="FQ140" s="122"/>
      <c r="FR140" s="122"/>
      <c r="FS140" s="122"/>
      <c r="FT140" s="122"/>
      <c r="FU140" s="122"/>
      <c r="FV140" s="122"/>
      <c r="FW140" s="122"/>
      <c r="FX140" s="122"/>
      <c r="FY140" s="122"/>
      <c r="FZ140" s="122"/>
      <c r="GA140" s="122"/>
      <c r="GB140" s="122"/>
      <c r="GC140" s="122"/>
      <c r="GD140" s="122"/>
      <c r="GE140" s="122"/>
      <c r="GF140" s="122"/>
      <c r="GG140" s="122"/>
      <c r="GH140" s="122"/>
      <c r="GI140" s="122"/>
    </row>
    <row r="141" spans="1:191" s="13" customFormat="1" ht="20.25" customHeight="1">
      <c r="A141" s="117">
        <v>67</v>
      </c>
      <c r="B141" s="124"/>
      <c r="C141" s="120"/>
      <c r="D141" s="102">
        <f t="shared" ref="D141" si="69">IFERROR(SUMPRODUCT(F141:HE141,$F$6:$HE$6)/100,0)</f>
        <v>0</v>
      </c>
      <c r="E141" s="103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  <c r="BP141" s="122"/>
      <c r="BQ141" s="122"/>
      <c r="BR141" s="122"/>
      <c r="BS141" s="123"/>
      <c r="BT141" s="123"/>
      <c r="BU141" s="122"/>
      <c r="BV141" s="122"/>
      <c r="BW141" s="122"/>
      <c r="BX141" s="122"/>
      <c r="BY141" s="122"/>
      <c r="BZ141" s="122"/>
      <c r="CA141" s="122"/>
      <c r="CB141" s="122"/>
      <c r="CC141" s="122"/>
      <c r="CD141" s="122"/>
      <c r="CE141" s="122"/>
      <c r="CF141" s="122"/>
      <c r="CG141" s="122"/>
      <c r="CH141" s="122"/>
      <c r="CI141" s="122"/>
      <c r="CJ141" s="122"/>
      <c r="CK141" s="122"/>
      <c r="CL141" s="122"/>
      <c r="CM141" s="122"/>
      <c r="CN141" s="122"/>
      <c r="CO141" s="122"/>
      <c r="CP141" s="122"/>
      <c r="CQ141" s="122"/>
      <c r="CR141" s="122"/>
      <c r="CS141" s="122"/>
      <c r="CT141" s="122"/>
      <c r="CU141" s="122"/>
      <c r="CV141" s="122"/>
      <c r="CW141" s="122"/>
      <c r="CX141" s="122"/>
      <c r="CY141" s="122"/>
      <c r="CZ141" s="122"/>
      <c r="DA141" s="122"/>
      <c r="DB141" s="122"/>
      <c r="DC141" s="122"/>
      <c r="DD141" s="122"/>
      <c r="DE141" s="122"/>
      <c r="DF141" s="122"/>
      <c r="DG141" s="122"/>
      <c r="DH141" s="122"/>
      <c r="DI141" s="122"/>
      <c r="DJ141" s="122"/>
      <c r="DK141" s="122"/>
      <c r="DL141" s="122"/>
      <c r="DM141" s="122"/>
      <c r="DN141" s="122"/>
      <c r="DO141" s="122"/>
      <c r="DP141" s="122"/>
      <c r="DQ141" s="122"/>
      <c r="DR141" s="122"/>
      <c r="DS141" s="122"/>
      <c r="DT141" s="122"/>
      <c r="DU141" s="122"/>
      <c r="DV141" s="122"/>
      <c r="DW141" s="122"/>
      <c r="DX141" s="122"/>
      <c r="DY141" s="122"/>
      <c r="DZ141" s="122"/>
      <c r="EA141" s="122"/>
      <c r="EB141" s="122"/>
      <c r="EC141" s="122"/>
      <c r="ED141" s="122"/>
      <c r="EE141" s="122"/>
      <c r="EF141" s="122"/>
      <c r="EG141" s="122"/>
      <c r="EH141" s="122"/>
      <c r="EI141" s="122"/>
      <c r="EJ141" s="122"/>
      <c r="EK141" s="122"/>
      <c r="EL141" s="122"/>
      <c r="EM141" s="122"/>
      <c r="EN141" s="122"/>
      <c r="EO141" s="122"/>
      <c r="EP141" s="122"/>
      <c r="EQ141" s="122"/>
      <c r="ER141" s="122"/>
      <c r="ES141" s="122"/>
      <c r="ET141" s="122"/>
      <c r="EU141" s="122"/>
      <c r="EV141" s="122"/>
      <c r="EW141" s="122"/>
      <c r="EX141" s="122"/>
      <c r="EY141" s="122"/>
      <c r="EZ141" s="122"/>
      <c r="FA141" s="122"/>
      <c r="FB141" s="122"/>
      <c r="FC141" s="122"/>
      <c r="FD141" s="122"/>
      <c r="FE141" s="122"/>
      <c r="FF141" s="122"/>
      <c r="FG141" s="122"/>
      <c r="FH141" s="122"/>
      <c r="FI141" s="122"/>
      <c r="FJ141" s="122"/>
      <c r="FK141" s="122"/>
      <c r="FL141" s="122"/>
      <c r="FM141" s="122"/>
      <c r="FN141" s="122"/>
      <c r="FO141" s="122"/>
      <c r="FP141" s="122"/>
      <c r="FQ141" s="122"/>
      <c r="FR141" s="122"/>
      <c r="FS141" s="122"/>
      <c r="FT141" s="122"/>
      <c r="FU141" s="122"/>
      <c r="FV141" s="122"/>
      <c r="FW141" s="122"/>
      <c r="FX141" s="122"/>
      <c r="FY141" s="122"/>
      <c r="FZ141" s="122"/>
      <c r="GA141" s="122"/>
      <c r="GB141" s="122"/>
      <c r="GC141" s="122"/>
      <c r="GD141" s="122"/>
      <c r="GE141" s="122"/>
      <c r="GF141" s="122"/>
      <c r="GG141" s="122"/>
      <c r="GH141" s="122"/>
      <c r="GI141" s="122"/>
    </row>
    <row r="142" spans="1:191" s="13" customFormat="1" ht="20.25" customHeight="1">
      <c r="A142" s="117"/>
      <c r="B142" s="124"/>
      <c r="C142" s="120"/>
      <c r="D142" s="121"/>
      <c r="E142" s="103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  <c r="BP142" s="122"/>
      <c r="BQ142" s="122"/>
      <c r="BR142" s="122"/>
      <c r="BS142" s="123"/>
      <c r="BT142" s="123"/>
      <c r="BU142" s="122"/>
      <c r="BV142" s="122"/>
      <c r="BW142" s="122"/>
      <c r="BX142" s="122"/>
      <c r="BY142" s="122"/>
      <c r="BZ142" s="122"/>
      <c r="CA142" s="122"/>
      <c r="CB142" s="122"/>
      <c r="CC142" s="122"/>
      <c r="CD142" s="122"/>
      <c r="CE142" s="122"/>
      <c r="CF142" s="122"/>
      <c r="CG142" s="122"/>
      <c r="CH142" s="122"/>
      <c r="CI142" s="122"/>
      <c r="CJ142" s="122"/>
      <c r="CK142" s="122"/>
      <c r="CL142" s="122"/>
      <c r="CM142" s="122"/>
      <c r="CN142" s="122"/>
      <c r="CO142" s="122"/>
      <c r="CP142" s="122"/>
      <c r="CQ142" s="122"/>
      <c r="CR142" s="122"/>
      <c r="CS142" s="122"/>
      <c r="CT142" s="122"/>
      <c r="CU142" s="122"/>
      <c r="CV142" s="122"/>
      <c r="CW142" s="122"/>
      <c r="CX142" s="122"/>
      <c r="CY142" s="122"/>
      <c r="CZ142" s="122"/>
      <c r="DA142" s="122"/>
      <c r="DB142" s="122"/>
      <c r="DC142" s="122"/>
      <c r="DD142" s="122"/>
      <c r="DE142" s="122"/>
      <c r="DF142" s="122"/>
      <c r="DG142" s="122"/>
      <c r="DH142" s="122"/>
      <c r="DI142" s="122"/>
      <c r="DJ142" s="122"/>
      <c r="DK142" s="122"/>
      <c r="DL142" s="122"/>
      <c r="DM142" s="122"/>
      <c r="DN142" s="122"/>
      <c r="DO142" s="122"/>
      <c r="DP142" s="122"/>
      <c r="DQ142" s="122"/>
      <c r="DR142" s="122"/>
      <c r="DS142" s="122"/>
      <c r="DT142" s="122"/>
      <c r="DU142" s="122"/>
      <c r="DV142" s="122"/>
      <c r="DW142" s="122"/>
      <c r="DX142" s="122"/>
      <c r="DY142" s="122"/>
      <c r="DZ142" s="122"/>
      <c r="EA142" s="122"/>
      <c r="EB142" s="122"/>
      <c r="EC142" s="122"/>
      <c r="ED142" s="122"/>
      <c r="EE142" s="122"/>
      <c r="EF142" s="122"/>
      <c r="EG142" s="122"/>
      <c r="EH142" s="122"/>
      <c r="EI142" s="122"/>
      <c r="EJ142" s="122"/>
      <c r="EK142" s="122"/>
      <c r="EL142" s="122"/>
      <c r="EM142" s="122"/>
      <c r="EN142" s="122"/>
      <c r="EO142" s="122"/>
      <c r="EP142" s="122"/>
      <c r="EQ142" s="122"/>
      <c r="ER142" s="122"/>
      <c r="ES142" s="122"/>
      <c r="ET142" s="122"/>
      <c r="EU142" s="122"/>
      <c r="EV142" s="122"/>
      <c r="EW142" s="122"/>
      <c r="EX142" s="122"/>
      <c r="EY142" s="122"/>
      <c r="EZ142" s="122"/>
      <c r="FA142" s="122"/>
      <c r="FB142" s="122"/>
      <c r="FC142" s="122"/>
      <c r="FD142" s="122"/>
      <c r="FE142" s="122"/>
      <c r="FF142" s="122"/>
      <c r="FG142" s="122"/>
      <c r="FH142" s="122"/>
      <c r="FI142" s="122"/>
      <c r="FJ142" s="122"/>
      <c r="FK142" s="122"/>
      <c r="FL142" s="122"/>
      <c r="FM142" s="122"/>
      <c r="FN142" s="122"/>
      <c r="FO142" s="122"/>
      <c r="FP142" s="122"/>
      <c r="FQ142" s="122"/>
      <c r="FR142" s="122"/>
      <c r="FS142" s="122"/>
      <c r="FT142" s="122"/>
      <c r="FU142" s="122"/>
      <c r="FV142" s="122"/>
      <c r="FW142" s="122"/>
      <c r="FX142" s="122"/>
      <c r="FY142" s="122"/>
      <c r="FZ142" s="122"/>
      <c r="GA142" s="122"/>
      <c r="GB142" s="122"/>
      <c r="GC142" s="122"/>
      <c r="GD142" s="122"/>
      <c r="GE142" s="122"/>
      <c r="GF142" s="122"/>
      <c r="GG142" s="122"/>
      <c r="GH142" s="122"/>
      <c r="GI142" s="122"/>
    </row>
    <row r="143" spans="1:191" s="13" customFormat="1" ht="20.25" customHeight="1">
      <c r="A143" s="117">
        <v>68</v>
      </c>
      <c r="B143" s="124"/>
      <c r="C143" s="120"/>
      <c r="D143" s="102">
        <f t="shared" ref="D143" si="70">IFERROR(SUMPRODUCT(F143:HE143,$F$6:$HE$6)/100,0)</f>
        <v>0</v>
      </c>
      <c r="E143" s="103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  <c r="BP143" s="122"/>
      <c r="BQ143" s="122"/>
      <c r="BR143" s="122"/>
      <c r="BS143" s="123"/>
      <c r="BT143" s="123"/>
      <c r="BU143" s="122"/>
      <c r="BV143" s="122"/>
      <c r="BW143" s="122"/>
      <c r="BX143" s="122"/>
      <c r="BY143" s="122"/>
      <c r="BZ143" s="122"/>
      <c r="CA143" s="122"/>
      <c r="CB143" s="122"/>
      <c r="CC143" s="122"/>
      <c r="CD143" s="122"/>
      <c r="CE143" s="122"/>
      <c r="CF143" s="122"/>
      <c r="CG143" s="122"/>
      <c r="CH143" s="122"/>
      <c r="CI143" s="122"/>
      <c r="CJ143" s="122"/>
      <c r="CK143" s="122"/>
      <c r="CL143" s="122"/>
      <c r="CM143" s="122"/>
      <c r="CN143" s="122"/>
      <c r="CO143" s="122"/>
      <c r="CP143" s="122"/>
      <c r="CQ143" s="122"/>
      <c r="CR143" s="122"/>
      <c r="CS143" s="122"/>
      <c r="CT143" s="122"/>
      <c r="CU143" s="122"/>
      <c r="CV143" s="122"/>
      <c r="CW143" s="122"/>
      <c r="CX143" s="122"/>
      <c r="CY143" s="122"/>
      <c r="CZ143" s="122"/>
      <c r="DA143" s="122"/>
      <c r="DB143" s="122"/>
      <c r="DC143" s="122"/>
      <c r="DD143" s="122"/>
      <c r="DE143" s="122"/>
      <c r="DF143" s="122"/>
      <c r="DG143" s="122"/>
      <c r="DH143" s="122"/>
      <c r="DI143" s="122"/>
      <c r="DJ143" s="122"/>
      <c r="DK143" s="122"/>
      <c r="DL143" s="122"/>
      <c r="DM143" s="122"/>
      <c r="DN143" s="122"/>
      <c r="DO143" s="122"/>
      <c r="DP143" s="122"/>
      <c r="DQ143" s="122"/>
      <c r="DR143" s="122"/>
      <c r="DS143" s="122"/>
      <c r="DT143" s="122"/>
      <c r="DU143" s="122"/>
      <c r="DV143" s="122"/>
      <c r="DW143" s="122"/>
      <c r="DX143" s="122"/>
      <c r="DY143" s="122"/>
      <c r="DZ143" s="122"/>
      <c r="EA143" s="122"/>
      <c r="EB143" s="122"/>
      <c r="EC143" s="122"/>
      <c r="ED143" s="122"/>
      <c r="EE143" s="122"/>
      <c r="EF143" s="122"/>
      <c r="EG143" s="122"/>
      <c r="EH143" s="122"/>
      <c r="EI143" s="122"/>
      <c r="EJ143" s="122"/>
      <c r="EK143" s="122"/>
      <c r="EL143" s="122"/>
      <c r="EM143" s="122"/>
      <c r="EN143" s="122"/>
      <c r="EO143" s="122"/>
      <c r="EP143" s="122"/>
      <c r="EQ143" s="122"/>
      <c r="ER143" s="122"/>
      <c r="ES143" s="122"/>
      <c r="ET143" s="122"/>
      <c r="EU143" s="122"/>
      <c r="EV143" s="122"/>
      <c r="EW143" s="122"/>
      <c r="EX143" s="122"/>
      <c r="EY143" s="122"/>
      <c r="EZ143" s="122"/>
      <c r="FA143" s="122"/>
      <c r="FB143" s="122"/>
      <c r="FC143" s="122"/>
      <c r="FD143" s="122"/>
      <c r="FE143" s="122"/>
      <c r="FF143" s="122"/>
      <c r="FG143" s="122"/>
      <c r="FH143" s="122"/>
      <c r="FI143" s="122"/>
      <c r="FJ143" s="122"/>
      <c r="FK143" s="122"/>
      <c r="FL143" s="122"/>
      <c r="FM143" s="122"/>
      <c r="FN143" s="122"/>
      <c r="FO143" s="122"/>
      <c r="FP143" s="122"/>
      <c r="FQ143" s="122"/>
      <c r="FR143" s="122"/>
      <c r="FS143" s="122"/>
      <c r="FT143" s="122"/>
      <c r="FU143" s="122"/>
      <c r="FV143" s="122"/>
      <c r="FW143" s="122"/>
      <c r="FX143" s="122"/>
      <c r="FY143" s="122"/>
      <c r="FZ143" s="122"/>
      <c r="GA143" s="122"/>
      <c r="GB143" s="122"/>
      <c r="GC143" s="122"/>
      <c r="GD143" s="122"/>
      <c r="GE143" s="122"/>
      <c r="GF143" s="122"/>
      <c r="GG143" s="122"/>
      <c r="GH143" s="122"/>
      <c r="GI143" s="122"/>
    </row>
    <row r="144" spans="1:191" s="13" customFormat="1" ht="20.25" customHeight="1">
      <c r="A144" s="117"/>
      <c r="B144" s="124"/>
      <c r="C144" s="120"/>
      <c r="D144" s="121"/>
      <c r="E144" s="103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123"/>
      <c r="BT144" s="123"/>
      <c r="BU144" s="122"/>
      <c r="BV144" s="122"/>
      <c r="BW144" s="122"/>
      <c r="BX144" s="122"/>
      <c r="BY144" s="122"/>
      <c r="BZ144" s="122"/>
      <c r="CA144" s="122"/>
      <c r="CB144" s="122"/>
      <c r="CC144" s="122"/>
      <c r="CD144" s="122"/>
      <c r="CE144" s="122"/>
      <c r="CF144" s="122"/>
      <c r="CG144" s="122"/>
      <c r="CH144" s="122"/>
      <c r="CI144" s="122"/>
      <c r="CJ144" s="122"/>
      <c r="CK144" s="122"/>
      <c r="CL144" s="122"/>
      <c r="CM144" s="122"/>
      <c r="CN144" s="122"/>
      <c r="CO144" s="122"/>
      <c r="CP144" s="122"/>
      <c r="CQ144" s="122"/>
      <c r="CR144" s="122"/>
      <c r="CS144" s="122"/>
      <c r="CT144" s="122"/>
      <c r="CU144" s="122"/>
      <c r="CV144" s="122"/>
      <c r="CW144" s="122"/>
      <c r="CX144" s="122"/>
      <c r="CY144" s="122"/>
      <c r="CZ144" s="122"/>
      <c r="DA144" s="122"/>
      <c r="DB144" s="122"/>
      <c r="DC144" s="122"/>
      <c r="DD144" s="122"/>
      <c r="DE144" s="122"/>
      <c r="DF144" s="122"/>
      <c r="DG144" s="122"/>
      <c r="DH144" s="122"/>
      <c r="DI144" s="122"/>
      <c r="DJ144" s="122"/>
      <c r="DK144" s="122"/>
      <c r="DL144" s="122"/>
      <c r="DM144" s="122"/>
      <c r="DN144" s="122"/>
      <c r="DO144" s="122"/>
      <c r="DP144" s="122"/>
      <c r="DQ144" s="122"/>
      <c r="DR144" s="122"/>
      <c r="DS144" s="122"/>
      <c r="DT144" s="122"/>
      <c r="DU144" s="122"/>
      <c r="DV144" s="122"/>
      <c r="DW144" s="122"/>
      <c r="DX144" s="122"/>
      <c r="DY144" s="122"/>
      <c r="DZ144" s="122"/>
      <c r="EA144" s="122"/>
      <c r="EB144" s="122"/>
      <c r="EC144" s="122"/>
      <c r="ED144" s="122"/>
      <c r="EE144" s="122"/>
      <c r="EF144" s="122"/>
      <c r="EG144" s="122"/>
      <c r="EH144" s="122"/>
      <c r="EI144" s="122"/>
      <c r="EJ144" s="122"/>
      <c r="EK144" s="122"/>
      <c r="EL144" s="122"/>
      <c r="EM144" s="122"/>
      <c r="EN144" s="122"/>
      <c r="EO144" s="122"/>
      <c r="EP144" s="122"/>
      <c r="EQ144" s="122"/>
      <c r="ER144" s="122"/>
      <c r="ES144" s="122"/>
      <c r="ET144" s="122"/>
      <c r="EU144" s="122"/>
      <c r="EV144" s="122"/>
      <c r="EW144" s="122"/>
      <c r="EX144" s="122"/>
      <c r="EY144" s="122"/>
      <c r="EZ144" s="122"/>
      <c r="FA144" s="122"/>
      <c r="FB144" s="122"/>
      <c r="FC144" s="122"/>
      <c r="FD144" s="122"/>
      <c r="FE144" s="122"/>
      <c r="FF144" s="122"/>
      <c r="FG144" s="122"/>
      <c r="FH144" s="122"/>
      <c r="FI144" s="122"/>
      <c r="FJ144" s="122"/>
      <c r="FK144" s="122"/>
      <c r="FL144" s="122"/>
      <c r="FM144" s="122"/>
      <c r="FN144" s="122"/>
      <c r="FO144" s="122"/>
      <c r="FP144" s="122"/>
      <c r="FQ144" s="122"/>
      <c r="FR144" s="122"/>
      <c r="FS144" s="122"/>
      <c r="FT144" s="122"/>
      <c r="FU144" s="122"/>
      <c r="FV144" s="122"/>
      <c r="FW144" s="122"/>
      <c r="FX144" s="122"/>
      <c r="FY144" s="122"/>
      <c r="FZ144" s="122"/>
      <c r="GA144" s="122"/>
      <c r="GB144" s="122"/>
      <c r="GC144" s="122"/>
      <c r="GD144" s="122"/>
      <c r="GE144" s="122"/>
      <c r="GF144" s="122"/>
      <c r="GG144" s="122"/>
      <c r="GH144" s="122"/>
      <c r="GI144" s="122"/>
    </row>
    <row r="145" spans="1:191" s="13" customFormat="1" ht="20.25" customHeight="1">
      <c r="A145" s="117">
        <v>69</v>
      </c>
      <c r="B145" s="124"/>
      <c r="C145" s="120"/>
      <c r="D145" s="102">
        <f t="shared" ref="D145" si="71">IFERROR(SUMPRODUCT(F145:HE145,$F$6:$HE$6)/100,0)</f>
        <v>0</v>
      </c>
      <c r="E145" s="103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  <c r="BP145" s="122"/>
      <c r="BQ145" s="122"/>
      <c r="BR145" s="122"/>
      <c r="BS145" s="123"/>
      <c r="BT145" s="123"/>
      <c r="BU145" s="122"/>
      <c r="BV145" s="122"/>
      <c r="BW145" s="122"/>
      <c r="BX145" s="122"/>
      <c r="BY145" s="122"/>
      <c r="BZ145" s="122"/>
      <c r="CA145" s="122"/>
      <c r="CB145" s="122"/>
      <c r="CC145" s="122"/>
      <c r="CD145" s="122"/>
      <c r="CE145" s="122"/>
      <c r="CF145" s="122"/>
      <c r="CG145" s="122"/>
      <c r="CH145" s="122"/>
      <c r="CI145" s="122"/>
      <c r="CJ145" s="122"/>
      <c r="CK145" s="122"/>
      <c r="CL145" s="122"/>
      <c r="CM145" s="122"/>
      <c r="CN145" s="122"/>
      <c r="CO145" s="122"/>
      <c r="CP145" s="122"/>
      <c r="CQ145" s="122"/>
      <c r="CR145" s="122"/>
      <c r="CS145" s="122"/>
      <c r="CT145" s="122"/>
      <c r="CU145" s="122"/>
      <c r="CV145" s="122"/>
      <c r="CW145" s="122"/>
      <c r="CX145" s="122"/>
      <c r="CY145" s="122"/>
      <c r="CZ145" s="122"/>
      <c r="DA145" s="122"/>
      <c r="DB145" s="122"/>
      <c r="DC145" s="122"/>
      <c r="DD145" s="122"/>
      <c r="DE145" s="122"/>
      <c r="DF145" s="122"/>
      <c r="DG145" s="122"/>
      <c r="DH145" s="122"/>
      <c r="DI145" s="122"/>
      <c r="DJ145" s="122"/>
      <c r="DK145" s="122"/>
      <c r="DL145" s="122"/>
      <c r="DM145" s="122"/>
      <c r="DN145" s="122"/>
      <c r="DO145" s="122"/>
      <c r="DP145" s="122"/>
      <c r="DQ145" s="122"/>
      <c r="DR145" s="122"/>
      <c r="DS145" s="122"/>
      <c r="DT145" s="122"/>
      <c r="DU145" s="122"/>
      <c r="DV145" s="122"/>
      <c r="DW145" s="122"/>
      <c r="DX145" s="122"/>
      <c r="DY145" s="122"/>
      <c r="DZ145" s="122"/>
      <c r="EA145" s="122"/>
      <c r="EB145" s="122"/>
      <c r="EC145" s="122"/>
      <c r="ED145" s="122"/>
      <c r="EE145" s="122"/>
      <c r="EF145" s="122"/>
      <c r="EG145" s="122"/>
      <c r="EH145" s="122"/>
      <c r="EI145" s="122"/>
      <c r="EJ145" s="122"/>
      <c r="EK145" s="122"/>
      <c r="EL145" s="122"/>
      <c r="EM145" s="122"/>
      <c r="EN145" s="122"/>
      <c r="EO145" s="122"/>
      <c r="EP145" s="122"/>
      <c r="EQ145" s="122"/>
      <c r="ER145" s="122"/>
      <c r="ES145" s="122"/>
      <c r="ET145" s="122"/>
      <c r="EU145" s="122"/>
      <c r="EV145" s="122"/>
      <c r="EW145" s="122"/>
      <c r="EX145" s="122"/>
      <c r="EY145" s="122"/>
      <c r="EZ145" s="122"/>
      <c r="FA145" s="122"/>
      <c r="FB145" s="122"/>
      <c r="FC145" s="122"/>
      <c r="FD145" s="122"/>
      <c r="FE145" s="122"/>
      <c r="FF145" s="122"/>
      <c r="FG145" s="122"/>
      <c r="FH145" s="122"/>
      <c r="FI145" s="122"/>
      <c r="FJ145" s="122"/>
      <c r="FK145" s="122"/>
      <c r="FL145" s="122"/>
      <c r="FM145" s="122"/>
      <c r="FN145" s="122"/>
      <c r="FO145" s="122"/>
      <c r="FP145" s="122"/>
      <c r="FQ145" s="122"/>
      <c r="FR145" s="122"/>
      <c r="FS145" s="122"/>
      <c r="FT145" s="122"/>
      <c r="FU145" s="122"/>
      <c r="FV145" s="122"/>
      <c r="FW145" s="122"/>
      <c r="FX145" s="122"/>
      <c r="FY145" s="122"/>
      <c r="FZ145" s="122"/>
      <c r="GA145" s="122"/>
      <c r="GB145" s="122"/>
      <c r="GC145" s="122"/>
      <c r="GD145" s="122"/>
      <c r="GE145" s="122"/>
      <c r="GF145" s="122"/>
      <c r="GG145" s="122"/>
      <c r="GH145" s="122"/>
      <c r="GI145" s="122"/>
    </row>
    <row r="146" spans="1:191" s="13" customFormat="1" ht="20.25" customHeight="1">
      <c r="A146" s="117"/>
      <c r="B146" s="124"/>
      <c r="C146" s="120"/>
      <c r="D146" s="121"/>
      <c r="E146" s="103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123"/>
      <c r="BT146" s="123"/>
      <c r="BU146" s="122"/>
      <c r="BV146" s="122"/>
      <c r="BW146" s="122"/>
      <c r="BX146" s="122"/>
      <c r="BY146" s="122"/>
      <c r="BZ146" s="122"/>
      <c r="CA146" s="122"/>
      <c r="CB146" s="122"/>
      <c r="CC146" s="122"/>
      <c r="CD146" s="122"/>
      <c r="CE146" s="122"/>
      <c r="CF146" s="122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122"/>
      <c r="CT146" s="122"/>
      <c r="CU146" s="122"/>
      <c r="CV146" s="122"/>
      <c r="CW146" s="122"/>
      <c r="CX146" s="122"/>
      <c r="CY146" s="122"/>
      <c r="CZ146" s="122"/>
      <c r="DA146" s="122"/>
      <c r="DB146" s="122"/>
      <c r="DC146" s="122"/>
      <c r="DD146" s="122"/>
      <c r="DE146" s="122"/>
      <c r="DF146" s="122"/>
      <c r="DG146" s="122"/>
      <c r="DH146" s="122"/>
      <c r="DI146" s="122"/>
      <c r="DJ146" s="122"/>
      <c r="DK146" s="122"/>
      <c r="DL146" s="122"/>
      <c r="DM146" s="122"/>
      <c r="DN146" s="122"/>
      <c r="DO146" s="122"/>
      <c r="DP146" s="122"/>
      <c r="DQ146" s="122"/>
      <c r="DR146" s="122"/>
      <c r="DS146" s="122"/>
      <c r="DT146" s="122"/>
      <c r="DU146" s="122"/>
      <c r="DV146" s="122"/>
      <c r="DW146" s="122"/>
      <c r="DX146" s="122"/>
      <c r="DY146" s="122"/>
      <c r="DZ146" s="122"/>
      <c r="EA146" s="122"/>
      <c r="EB146" s="122"/>
      <c r="EC146" s="122"/>
      <c r="ED146" s="122"/>
      <c r="EE146" s="122"/>
      <c r="EF146" s="122"/>
      <c r="EG146" s="122"/>
      <c r="EH146" s="122"/>
      <c r="EI146" s="122"/>
      <c r="EJ146" s="122"/>
      <c r="EK146" s="122"/>
      <c r="EL146" s="122"/>
      <c r="EM146" s="122"/>
      <c r="EN146" s="122"/>
      <c r="EO146" s="122"/>
      <c r="EP146" s="122"/>
      <c r="EQ146" s="122"/>
      <c r="ER146" s="122"/>
      <c r="ES146" s="122"/>
      <c r="ET146" s="122"/>
      <c r="EU146" s="122"/>
      <c r="EV146" s="122"/>
      <c r="EW146" s="122"/>
      <c r="EX146" s="122"/>
      <c r="EY146" s="122"/>
      <c r="EZ146" s="122"/>
      <c r="FA146" s="122"/>
      <c r="FB146" s="122"/>
      <c r="FC146" s="122"/>
      <c r="FD146" s="122"/>
      <c r="FE146" s="122"/>
      <c r="FF146" s="122"/>
      <c r="FG146" s="122"/>
      <c r="FH146" s="122"/>
      <c r="FI146" s="122"/>
      <c r="FJ146" s="122"/>
      <c r="FK146" s="122"/>
      <c r="FL146" s="122"/>
      <c r="FM146" s="122"/>
      <c r="FN146" s="122"/>
      <c r="FO146" s="122"/>
      <c r="FP146" s="122"/>
      <c r="FQ146" s="122"/>
      <c r="FR146" s="122"/>
      <c r="FS146" s="122"/>
      <c r="FT146" s="122"/>
      <c r="FU146" s="122"/>
      <c r="FV146" s="122"/>
      <c r="FW146" s="122"/>
      <c r="FX146" s="122"/>
      <c r="FY146" s="122"/>
      <c r="FZ146" s="122"/>
      <c r="GA146" s="122"/>
      <c r="GB146" s="122"/>
      <c r="GC146" s="122"/>
      <c r="GD146" s="122"/>
      <c r="GE146" s="122"/>
      <c r="GF146" s="122"/>
      <c r="GG146" s="122"/>
      <c r="GH146" s="122"/>
      <c r="GI146" s="122"/>
    </row>
    <row r="147" spans="1:191" s="13" customFormat="1" ht="20.25" customHeight="1">
      <c r="A147" s="117">
        <v>70</v>
      </c>
      <c r="B147" s="124"/>
      <c r="C147" s="120"/>
      <c r="D147" s="102">
        <f t="shared" ref="D147" si="72">IFERROR(SUMPRODUCT(F147:HE147,$F$6:$HE$6)/100,0)</f>
        <v>0</v>
      </c>
      <c r="E147" s="103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  <c r="BP147" s="122"/>
      <c r="BQ147" s="122"/>
      <c r="BR147" s="122"/>
      <c r="BS147" s="123"/>
      <c r="BT147" s="123"/>
      <c r="BU147" s="122"/>
      <c r="BV147" s="122"/>
      <c r="BW147" s="122"/>
      <c r="BX147" s="122"/>
      <c r="BY147" s="122"/>
      <c r="BZ147" s="122"/>
      <c r="CA147" s="122"/>
      <c r="CB147" s="122"/>
      <c r="CC147" s="122"/>
      <c r="CD147" s="122"/>
      <c r="CE147" s="122"/>
      <c r="CF147" s="122"/>
      <c r="CG147" s="122"/>
      <c r="CH147" s="122"/>
      <c r="CI147" s="122"/>
      <c r="CJ147" s="122"/>
      <c r="CK147" s="122"/>
      <c r="CL147" s="122"/>
      <c r="CM147" s="122"/>
      <c r="CN147" s="122"/>
      <c r="CO147" s="122"/>
      <c r="CP147" s="122"/>
      <c r="CQ147" s="122"/>
      <c r="CR147" s="122"/>
      <c r="CS147" s="122"/>
      <c r="CT147" s="122"/>
      <c r="CU147" s="122"/>
      <c r="CV147" s="122"/>
      <c r="CW147" s="122"/>
      <c r="CX147" s="122"/>
      <c r="CY147" s="122"/>
      <c r="CZ147" s="122"/>
      <c r="DA147" s="122"/>
      <c r="DB147" s="122"/>
      <c r="DC147" s="122"/>
      <c r="DD147" s="122"/>
      <c r="DE147" s="122"/>
      <c r="DF147" s="122"/>
      <c r="DG147" s="122"/>
      <c r="DH147" s="122"/>
      <c r="DI147" s="122"/>
      <c r="DJ147" s="122"/>
      <c r="DK147" s="122"/>
      <c r="DL147" s="122"/>
      <c r="DM147" s="122"/>
      <c r="DN147" s="122"/>
      <c r="DO147" s="122"/>
      <c r="DP147" s="122"/>
      <c r="DQ147" s="122"/>
      <c r="DR147" s="122"/>
      <c r="DS147" s="122"/>
      <c r="DT147" s="122"/>
      <c r="DU147" s="122"/>
      <c r="DV147" s="122"/>
      <c r="DW147" s="122"/>
      <c r="DX147" s="122"/>
      <c r="DY147" s="122"/>
      <c r="DZ147" s="122"/>
      <c r="EA147" s="122"/>
      <c r="EB147" s="122"/>
      <c r="EC147" s="122"/>
      <c r="ED147" s="122"/>
      <c r="EE147" s="122"/>
      <c r="EF147" s="122"/>
      <c r="EG147" s="122"/>
      <c r="EH147" s="122"/>
      <c r="EI147" s="122"/>
      <c r="EJ147" s="122"/>
      <c r="EK147" s="122"/>
      <c r="EL147" s="122"/>
      <c r="EM147" s="122"/>
      <c r="EN147" s="122"/>
      <c r="EO147" s="122"/>
      <c r="EP147" s="122"/>
      <c r="EQ147" s="122"/>
      <c r="ER147" s="122"/>
      <c r="ES147" s="122"/>
      <c r="ET147" s="122"/>
      <c r="EU147" s="122"/>
      <c r="EV147" s="122"/>
      <c r="EW147" s="122"/>
      <c r="EX147" s="122"/>
      <c r="EY147" s="122"/>
      <c r="EZ147" s="122"/>
      <c r="FA147" s="122"/>
      <c r="FB147" s="122"/>
      <c r="FC147" s="122"/>
      <c r="FD147" s="122"/>
      <c r="FE147" s="122"/>
      <c r="FF147" s="122"/>
      <c r="FG147" s="122"/>
      <c r="FH147" s="122"/>
      <c r="FI147" s="122"/>
      <c r="FJ147" s="122"/>
      <c r="FK147" s="122"/>
      <c r="FL147" s="122"/>
      <c r="FM147" s="122"/>
      <c r="FN147" s="122"/>
      <c r="FO147" s="122"/>
      <c r="FP147" s="122"/>
      <c r="FQ147" s="122"/>
      <c r="FR147" s="122"/>
      <c r="FS147" s="122"/>
      <c r="FT147" s="122"/>
      <c r="FU147" s="122"/>
      <c r="FV147" s="122"/>
      <c r="FW147" s="122"/>
      <c r="FX147" s="122"/>
      <c r="FY147" s="122"/>
      <c r="FZ147" s="122"/>
      <c r="GA147" s="122"/>
      <c r="GB147" s="122"/>
      <c r="GC147" s="122"/>
      <c r="GD147" s="122"/>
      <c r="GE147" s="122"/>
      <c r="GF147" s="122"/>
      <c r="GG147" s="122"/>
      <c r="GH147" s="122"/>
      <c r="GI147" s="122"/>
    </row>
    <row r="148" spans="1:191" s="13" customFormat="1" ht="20.25" customHeight="1">
      <c r="A148" s="117"/>
      <c r="B148" s="124"/>
      <c r="C148" s="120"/>
      <c r="D148" s="121"/>
      <c r="E148" s="103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  <c r="BP148" s="122"/>
      <c r="BQ148" s="122"/>
      <c r="BR148" s="122"/>
      <c r="BS148" s="123"/>
      <c r="BT148" s="123"/>
      <c r="BU148" s="122"/>
      <c r="BV148" s="122"/>
      <c r="BW148" s="122"/>
      <c r="BX148" s="122"/>
      <c r="BY148" s="122"/>
      <c r="BZ148" s="122"/>
      <c r="CA148" s="122"/>
      <c r="CB148" s="122"/>
      <c r="CC148" s="122"/>
      <c r="CD148" s="122"/>
      <c r="CE148" s="122"/>
      <c r="CF148" s="122"/>
      <c r="CG148" s="122"/>
      <c r="CH148" s="122"/>
      <c r="CI148" s="122"/>
      <c r="CJ148" s="122"/>
      <c r="CK148" s="122"/>
      <c r="CL148" s="122"/>
      <c r="CM148" s="122"/>
      <c r="CN148" s="122"/>
      <c r="CO148" s="122"/>
      <c r="CP148" s="122"/>
      <c r="CQ148" s="122"/>
      <c r="CR148" s="122"/>
      <c r="CS148" s="122"/>
      <c r="CT148" s="122"/>
      <c r="CU148" s="122"/>
      <c r="CV148" s="122"/>
      <c r="CW148" s="122"/>
      <c r="CX148" s="122"/>
      <c r="CY148" s="122"/>
      <c r="CZ148" s="122"/>
      <c r="DA148" s="122"/>
      <c r="DB148" s="122"/>
      <c r="DC148" s="122"/>
      <c r="DD148" s="122"/>
      <c r="DE148" s="122"/>
      <c r="DF148" s="122"/>
      <c r="DG148" s="122"/>
      <c r="DH148" s="122"/>
      <c r="DI148" s="122"/>
      <c r="DJ148" s="122"/>
      <c r="DK148" s="122"/>
      <c r="DL148" s="122"/>
      <c r="DM148" s="122"/>
      <c r="DN148" s="122"/>
      <c r="DO148" s="122"/>
      <c r="DP148" s="122"/>
      <c r="DQ148" s="122"/>
      <c r="DR148" s="122"/>
      <c r="DS148" s="122"/>
      <c r="DT148" s="122"/>
      <c r="DU148" s="122"/>
      <c r="DV148" s="122"/>
      <c r="DW148" s="122"/>
      <c r="DX148" s="122"/>
      <c r="DY148" s="122"/>
      <c r="DZ148" s="122"/>
      <c r="EA148" s="122"/>
      <c r="EB148" s="122"/>
      <c r="EC148" s="122"/>
      <c r="ED148" s="122"/>
      <c r="EE148" s="122"/>
      <c r="EF148" s="122"/>
      <c r="EG148" s="122"/>
      <c r="EH148" s="122"/>
      <c r="EI148" s="122"/>
      <c r="EJ148" s="122"/>
      <c r="EK148" s="122"/>
      <c r="EL148" s="122"/>
      <c r="EM148" s="122"/>
      <c r="EN148" s="122"/>
      <c r="EO148" s="122"/>
      <c r="EP148" s="122"/>
      <c r="EQ148" s="122"/>
      <c r="ER148" s="122"/>
      <c r="ES148" s="122"/>
      <c r="ET148" s="122"/>
      <c r="EU148" s="122"/>
      <c r="EV148" s="122"/>
      <c r="EW148" s="122"/>
      <c r="EX148" s="122"/>
      <c r="EY148" s="122"/>
      <c r="EZ148" s="122"/>
      <c r="FA148" s="122"/>
      <c r="FB148" s="122"/>
      <c r="FC148" s="122"/>
      <c r="FD148" s="122"/>
      <c r="FE148" s="122"/>
      <c r="FF148" s="122"/>
      <c r="FG148" s="122"/>
      <c r="FH148" s="122"/>
      <c r="FI148" s="122"/>
      <c r="FJ148" s="122"/>
      <c r="FK148" s="122"/>
      <c r="FL148" s="122"/>
      <c r="FM148" s="122"/>
      <c r="FN148" s="122"/>
      <c r="FO148" s="122"/>
      <c r="FP148" s="122"/>
      <c r="FQ148" s="122"/>
      <c r="FR148" s="122"/>
      <c r="FS148" s="122"/>
      <c r="FT148" s="122"/>
      <c r="FU148" s="122"/>
      <c r="FV148" s="122"/>
      <c r="FW148" s="122"/>
      <c r="FX148" s="122"/>
      <c r="FY148" s="122"/>
      <c r="FZ148" s="122"/>
      <c r="GA148" s="122"/>
      <c r="GB148" s="122"/>
      <c r="GC148" s="122"/>
      <c r="GD148" s="122"/>
      <c r="GE148" s="122"/>
      <c r="GF148" s="122"/>
      <c r="GG148" s="122"/>
      <c r="GH148" s="122"/>
      <c r="GI148" s="122"/>
    </row>
    <row r="149" spans="1:191" s="13" customFormat="1" ht="20.25" customHeight="1">
      <c r="A149" s="117">
        <v>71</v>
      </c>
      <c r="B149" s="124"/>
      <c r="C149" s="120"/>
      <c r="D149" s="102">
        <f t="shared" ref="D149" si="73">IFERROR(SUMPRODUCT(F149:HE149,$F$6:$HE$6)/100,0)</f>
        <v>0</v>
      </c>
      <c r="E149" s="103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  <c r="BP149" s="122"/>
      <c r="BQ149" s="122"/>
      <c r="BR149" s="122"/>
      <c r="BS149" s="123"/>
      <c r="BT149" s="123"/>
      <c r="BU149" s="122"/>
      <c r="BV149" s="122"/>
      <c r="BW149" s="122"/>
      <c r="BX149" s="122"/>
      <c r="BY149" s="122"/>
      <c r="BZ149" s="122"/>
      <c r="CA149" s="122"/>
      <c r="CB149" s="122"/>
      <c r="CC149" s="122"/>
      <c r="CD149" s="122"/>
      <c r="CE149" s="122"/>
      <c r="CF149" s="122"/>
      <c r="CG149" s="122"/>
      <c r="CH149" s="122"/>
      <c r="CI149" s="122"/>
      <c r="CJ149" s="122"/>
      <c r="CK149" s="122"/>
      <c r="CL149" s="122"/>
      <c r="CM149" s="122"/>
      <c r="CN149" s="122"/>
      <c r="CO149" s="122"/>
      <c r="CP149" s="122"/>
      <c r="CQ149" s="122"/>
      <c r="CR149" s="122"/>
      <c r="CS149" s="122"/>
      <c r="CT149" s="122"/>
      <c r="CU149" s="122"/>
      <c r="CV149" s="122"/>
      <c r="CW149" s="122"/>
      <c r="CX149" s="122"/>
      <c r="CY149" s="122"/>
      <c r="CZ149" s="122"/>
      <c r="DA149" s="122"/>
      <c r="DB149" s="122"/>
      <c r="DC149" s="122"/>
      <c r="DD149" s="122"/>
      <c r="DE149" s="122"/>
      <c r="DF149" s="122"/>
      <c r="DG149" s="122"/>
      <c r="DH149" s="122"/>
      <c r="DI149" s="122"/>
      <c r="DJ149" s="122"/>
      <c r="DK149" s="122"/>
      <c r="DL149" s="122"/>
      <c r="DM149" s="122"/>
      <c r="DN149" s="122"/>
      <c r="DO149" s="122"/>
      <c r="DP149" s="122"/>
      <c r="DQ149" s="122"/>
      <c r="DR149" s="122"/>
      <c r="DS149" s="122"/>
      <c r="DT149" s="122"/>
      <c r="DU149" s="122"/>
      <c r="DV149" s="122"/>
      <c r="DW149" s="122"/>
      <c r="DX149" s="122"/>
      <c r="DY149" s="122"/>
      <c r="DZ149" s="122"/>
      <c r="EA149" s="122"/>
      <c r="EB149" s="122"/>
      <c r="EC149" s="122"/>
      <c r="ED149" s="122"/>
      <c r="EE149" s="122"/>
      <c r="EF149" s="122"/>
      <c r="EG149" s="122"/>
      <c r="EH149" s="122"/>
      <c r="EI149" s="122"/>
      <c r="EJ149" s="122"/>
      <c r="EK149" s="122"/>
      <c r="EL149" s="122"/>
      <c r="EM149" s="122"/>
      <c r="EN149" s="122"/>
      <c r="EO149" s="122"/>
      <c r="EP149" s="122"/>
      <c r="EQ149" s="122"/>
      <c r="ER149" s="122"/>
      <c r="ES149" s="122"/>
      <c r="ET149" s="122"/>
      <c r="EU149" s="122"/>
      <c r="EV149" s="122"/>
      <c r="EW149" s="122"/>
      <c r="EX149" s="122"/>
      <c r="EY149" s="122"/>
      <c r="EZ149" s="122"/>
      <c r="FA149" s="122"/>
      <c r="FB149" s="122"/>
      <c r="FC149" s="122"/>
      <c r="FD149" s="122"/>
      <c r="FE149" s="122"/>
      <c r="FF149" s="122"/>
      <c r="FG149" s="122"/>
      <c r="FH149" s="122"/>
      <c r="FI149" s="122"/>
      <c r="FJ149" s="122"/>
      <c r="FK149" s="122"/>
      <c r="FL149" s="122"/>
      <c r="FM149" s="122"/>
      <c r="FN149" s="122"/>
      <c r="FO149" s="122"/>
      <c r="FP149" s="122"/>
      <c r="FQ149" s="122"/>
      <c r="FR149" s="122"/>
      <c r="FS149" s="122"/>
      <c r="FT149" s="122"/>
      <c r="FU149" s="122"/>
      <c r="FV149" s="122"/>
      <c r="FW149" s="122"/>
      <c r="FX149" s="122"/>
      <c r="FY149" s="122"/>
      <c r="FZ149" s="122"/>
      <c r="GA149" s="122"/>
      <c r="GB149" s="122"/>
      <c r="GC149" s="122"/>
      <c r="GD149" s="122"/>
      <c r="GE149" s="122"/>
      <c r="GF149" s="122"/>
      <c r="GG149" s="122"/>
      <c r="GH149" s="122"/>
      <c r="GI149" s="122"/>
    </row>
    <row r="150" spans="1:191" s="13" customFormat="1" ht="20.25" customHeight="1">
      <c r="A150" s="117"/>
      <c r="B150" s="124"/>
      <c r="C150" s="120"/>
      <c r="D150" s="121"/>
      <c r="E150" s="103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  <c r="AS150" s="122"/>
      <c r="AT150" s="122"/>
      <c r="AU150" s="122"/>
      <c r="AV150" s="122"/>
      <c r="AW150" s="122"/>
      <c r="AX150" s="122"/>
      <c r="AY150" s="122"/>
      <c r="AZ150" s="122"/>
      <c r="BA150" s="122"/>
      <c r="BB150" s="122"/>
      <c r="BC150" s="122"/>
      <c r="BD150" s="122"/>
      <c r="BE150" s="122"/>
      <c r="BF150" s="122"/>
      <c r="BG150" s="122"/>
      <c r="BH150" s="122"/>
      <c r="BI150" s="122"/>
      <c r="BJ150" s="122"/>
      <c r="BK150" s="122"/>
      <c r="BL150" s="122"/>
      <c r="BM150" s="122"/>
      <c r="BN150" s="122"/>
      <c r="BO150" s="122"/>
      <c r="BP150" s="122"/>
      <c r="BQ150" s="122"/>
      <c r="BR150" s="122"/>
      <c r="BS150" s="123"/>
      <c r="BT150" s="123"/>
      <c r="BU150" s="122"/>
      <c r="BV150" s="122"/>
      <c r="BW150" s="122"/>
      <c r="BX150" s="122"/>
      <c r="BY150" s="122"/>
      <c r="BZ150" s="122"/>
      <c r="CA150" s="122"/>
      <c r="CB150" s="122"/>
      <c r="CC150" s="122"/>
      <c r="CD150" s="122"/>
      <c r="CE150" s="122"/>
      <c r="CF150" s="122"/>
      <c r="CG150" s="122"/>
      <c r="CH150" s="122"/>
      <c r="CI150" s="122"/>
      <c r="CJ150" s="122"/>
      <c r="CK150" s="122"/>
      <c r="CL150" s="122"/>
      <c r="CM150" s="122"/>
      <c r="CN150" s="122"/>
      <c r="CO150" s="122"/>
      <c r="CP150" s="122"/>
      <c r="CQ150" s="122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122"/>
      <c r="DB150" s="122"/>
      <c r="DC150" s="122"/>
      <c r="DD150" s="122"/>
      <c r="DE150" s="122"/>
      <c r="DF150" s="122"/>
      <c r="DG150" s="122"/>
      <c r="DH150" s="122"/>
      <c r="DI150" s="122"/>
      <c r="DJ150" s="122"/>
      <c r="DK150" s="122"/>
      <c r="DL150" s="122"/>
      <c r="DM150" s="122"/>
      <c r="DN150" s="122"/>
      <c r="DO150" s="122"/>
      <c r="DP150" s="122"/>
      <c r="DQ150" s="122"/>
      <c r="DR150" s="122"/>
      <c r="DS150" s="122"/>
      <c r="DT150" s="122"/>
      <c r="DU150" s="122"/>
      <c r="DV150" s="122"/>
      <c r="DW150" s="122"/>
      <c r="DX150" s="122"/>
      <c r="DY150" s="122"/>
      <c r="DZ150" s="122"/>
      <c r="EA150" s="122"/>
      <c r="EB150" s="122"/>
      <c r="EC150" s="122"/>
      <c r="ED150" s="122"/>
      <c r="EE150" s="122"/>
      <c r="EF150" s="122"/>
      <c r="EG150" s="122"/>
      <c r="EH150" s="122"/>
      <c r="EI150" s="122"/>
      <c r="EJ150" s="122"/>
      <c r="EK150" s="122"/>
      <c r="EL150" s="122"/>
      <c r="EM150" s="122"/>
      <c r="EN150" s="122"/>
      <c r="EO150" s="122"/>
      <c r="EP150" s="122"/>
      <c r="EQ150" s="122"/>
      <c r="ER150" s="122"/>
      <c r="ES150" s="122"/>
      <c r="ET150" s="122"/>
      <c r="EU150" s="122"/>
      <c r="EV150" s="122"/>
      <c r="EW150" s="122"/>
      <c r="EX150" s="122"/>
      <c r="EY150" s="122"/>
      <c r="EZ150" s="122"/>
      <c r="FA150" s="122"/>
      <c r="FB150" s="122"/>
      <c r="FC150" s="122"/>
      <c r="FD150" s="122"/>
      <c r="FE150" s="122"/>
      <c r="FF150" s="122"/>
      <c r="FG150" s="122"/>
      <c r="FH150" s="122"/>
      <c r="FI150" s="122"/>
      <c r="FJ150" s="122"/>
      <c r="FK150" s="122"/>
      <c r="FL150" s="122"/>
      <c r="FM150" s="122"/>
      <c r="FN150" s="122"/>
      <c r="FO150" s="122"/>
      <c r="FP150" s="122"/>
      <c r="FQ150" s="122"/>
      <c r="FR150" s="122"/>
      <c r="FS150" s="122"/>
      <c r="FT150" s="122"/>
      <c r="FU150" s="122"/>
      <c r="FV150" s="122"/>
      <c r="FW150" s="122"/>
      <c r="FX150" s="122"/>
      <c r="FY150" s="122"/>
      <c r="FZ150" s="122"/>
      <c r="GA150" s="122"/>
      <c r="GB150" s="122"/>
      <c r="GC150" s="122"/>
      <c r="GD150" s="122"/>
      <c r="GE150" s="122"/>
      <c r="GF150" s="122"/>
      <c r="GG150" s="122"/>
      <c r="GH150" s="122"/>
      <c r="GI150" s="122"/>
    </row>
    <row r="151" spans="1:191" s="13" customFormat="1" ht="20.25" customHeight="1">
      <c r="A151" s="117">
        <v>72</v>
      </c>
      <c r="B151" s="124"/>
      <c r="C151" s="120"/>
      <c r="D151" s="102">
        <f t="shared" ref="D151" si="74">IFERROR(SUMPRODUCT(F151:HE151,$F$6:$HE$6)/100,0)</f>
        <v>0</v>
      </c>
      <c r="E151" s="103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  <c r="AS151" s="122"/>
      <c r="AT151" s="122"/>
      <c r="AU151" s="122"/>
      <c r="AV151" s="122"/>
      <c r="AW151" s="122"/>
      <c r="AX151" s="122"/>
      <c r="AY151" s="122"/>
      <c r="AZ151" s="122"/>
      <c r="BA151" s="122"/>
      <c r="BB151" s="122"/>
      <c r="BC151" s="122"/>
      <c r="BD151" s="122"/>
      <c r="BE151" s="122"/>
      <c r="BF151" s="122"/>
      <c r="BG151" s="122"/>
      <c r="BH151" s="122"/>
      <c r="BI151" s="122"/>
      <c r="BJ151" s="122"/>
      <c r="BK151" s="122"/>
      <c r="BL151" s="122"/>
      <c r="BM151" s="122"/>
      <c r="BN151" s="122"/>
      <c r="BO151" s="122"/>
      <c r="BP151" s="122"/>
      <c r="BQ151" s="122"/>
      <c r="BR151" s="122"/>
      <c r="BS151" s="123"/>
      <c r="BT151" s="123"/>
      <c r="BU151" s="122"/>
      <c r="BV151" s="122"/>
      <c r="BW151" s="122"/>
      <c r="BX151" s="122"/>
      <c r="BY151" s="122"/>
      <c r="BZ151" s="122"/>
      <c r="CA151" s="122"/>
      <c r="CB151" s="122"/>
      <c r="CC151" s="122"/>
      <c r="CD151" s="122"/>
      <c r="CE151" s="122"/>
      <c r="CF151" s="122"/>
      <c r="CG151" s="122"/>
      <c r="CH151" s="122"/>
      <c r="CI151" s="122"/>
      <c r="CJ151" s="122"/>
      <c r="CK151" s="122"/>
      <c r="CL151" s="122"/>
      <c r="CM151" s="122"/>
      <c r="CN151" s="122"/>
      <c r="CO151" s="122"/>
      <c r="CP151" s="122"/>
      <c r="CQ151" s="122"/>
      <c r="CR151" s="122"/>
      <c r="CS151" s="122"/>
      <c r="CT151" s="122"/>
      <c r="CU151" s="122"/>
      <c r="CV151" s="122"/>
      <c r="CW151" s="122"/>
      <c r="CX151" s="122"/>
      <c r="CY151" s="122"/>
      <c r="CZ151" s="122"/>
      <c r="DA151" s="122"/>
      <c r="DB151" s="122"/>
      <c r="DC151" s="122"/>
      <c r="DD151" s="122"/>
      <c r="DE151" s="122"/>
      <c r="DF151" s="122"/>
      <c r="DG151" s="122"/>
      <c r="DH151" s="122"/>
      <c r="DI151" s="122"/>
      <c r="DJ151" s="122"/>
      <c r="DK151" s="122"/>
      <c r="DL151" s="122"/>
      <c r="DM151" s="122"/>
      <c r="DN151" s="122"/>
      <c r="DO151" s="122"/>
      <c r="DP151" s="122"/>
      <c r="DQ151" s="122"/>
      <c r="DR151" s="122"/>
      <c r="DS151" s="122"/>
      <c r="DT151" s="122"/>
      <c r="DU151" s="122"/>
      <c r="DV151" s="122"/>
      <c r="DW151" s="122"/>
      <c r="DX151" s="122"/>
      <c r="DY151" s="122"/>
      <c r="DZ151" s="122"/>
      <c r="EA151" s="122"/>
      <c r="EB151" s="122"/>
      <c r="EC151" s="122"/>
      <c r="ED151" s="122"/>
      <c r="EE151" s="122"/>
      <c r="EF151" s="122"/>
      <c r="EG151" s="122"/>
      <c r="EH151" s="122"/>
      <c r="EI151" s="122"/>
      <c r="EJ151" s="122"/>
      <c r="EK151" s="122"/>
      <c r="EL151" s="122"/>
      <c r="EM151" s="122"/>
      <c r="EN151" s="122"/>
      <c r="EO151" s="122"/>
      <c r="EP151" s="122"/>
      <c r="EQ151" s="122"/>
      <c r="ER151" s="122"/>
      <c r="ES151" s="122"/>
      <c r="ET151" s="122"/>
      <c r="EU151" s="122"/>
      <c r="EV151" s="122"/>
      <c r="EW151" s="122"/>
      <c r="EX151" s="122"/>
      <c r="EY151" s="122"/>
      <c r="EZ151" s="122"/>
      <c r="FA151" s="122"/>
      <c r="FB151" s="122"/>
      <c r="FC151" s="122"/>
      <c r="FD151" s="122"/>
      <c r="FE151" s="122"/>
      <c r="FF151" s="122"/>
      <c r="FG151" s="122"/>
      <c r="FH151" s="122"/>
      <c r="FI151" s="122"/>
      <c r="FJ151" s="122"/>
      <c r="FK151" s="122"/>
      <c r="FL151" s="122"/>
      <c r="FM151" s="122"/>
      <c r="FN151" s="122"/>
      <c r="FO151" s="122"/>
      <c r="FP151" s="122"/>
      <c r="FQ151" s="122"/>
      <c r="FR151" s="122"/>
      <c r="FS151" s="122"/>
      <c r="FT151" s="122"/>
      <c r="FU151" s="122"/>
      <c r="FV151" s="122"/>
      <c r="FW151" s="122"/>
      <c r="FX151" s="122"/>
      <c r="FY151" s="122"/>
      <c r="FZ151" s="122"/>
      <c r="GA151" s="122"/>
      <c r="GB151" s="122"/>
      <c r="GC151" s="122"/>
      <c r="GD151" s="122"/>
      <c r="GE151" s="122"/>
      <c r="GF151" s="122"/>
      <c r="GG151" s="122"/>
      <c r="GH151" s="122"/>
      <c r="GI151" s="122"/>
    </row>
    <row r="152" spans="1:191" s="13" customFormat="1" ht="19.5" customHeight="1">
      <c r="A152" s="117"/>
      <c r="B152" s="125"/>
      <c r="C152" s="126"/>
      <c r="D152" s="121"/>
      <c r="E152" s="103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  <c r="AS152" s="122"/>
      <c r="AT152" s="122"/>
      <c r="AU152" s="122"/>
      <c r="AV152" s="122"/>
      <c r="AW152" s="122"/>
      <c r="AX152" s="122"/>
      <c r="AY152" s="122"/>
      <c r="AZ152" s="122"/>
      <c r="BA152" s="122"/>
      <c r="BB152" s="122"/>
      <c r="BC152" s="122"/>
      <c r="BD152" s="122"/>
      <c r="BE152" s="122"/>
      <c r="BF152" s="122"/>
      <c r="BG152" s="122"/>
      <c r="BH152" s="122"/>
      <c r="BI152" s="122"/>
      <c r="BJ152" s="122"/>
      <c r="BK152" s="122"/>
      <c r="BL152" s="122"/>
      <c r="BM152" s="122"/>
      <c r="BN152" s="122"/>
      <c r="BO152" s="122"/>
      <c r="BP152" s="122"/>
      <c r="BQ152" s="122"/>
      <c r="BR152" s="122"/>
      <c r="BS152" s="123"/>
      <c r="BT152" s="123"/>
      <c r="BU152" s="122"/>
      <c r="BV152" s="122"/>
      <c r="BW152" s="122"/>
      <c r="BX152" s="122"/>
      <c r="BY152" s="122"/>
      <c r="BZ152" s="122"/>
      <c r="CA152" s="122"/>
      <c r="CB152" s="122"/>
      <c r="CC152" s="122"/>
      <c r="CD152" s="122"/>
      <c r="CE152" s="122"/>
      <c r="CF152" s="122"/>
      <c r="CG152" s="122"/>
      <c r="CH152" s="122"/>
      <c r="CI152" s="122"/>
      <c r="CJ152" s="122"/>
      <c r="CK152" s="122"/>
      <c r="CL152" s="122"/>
      <c r="CM152" s="122"/>
      <c r="CN152" s="122"/>
      <c r="CO152" s="122"/>
      <c r="CP152" s="122"/>
      <c r="CQ152" s="122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122"/>
      <c r="DB152" s="122"/>
      <c r="DC152" s="122"/>
      <c r="DD152" s="122"/>
      <c r="DE152" s="122"/>
      <c r="DF152" s="122"/>
      <c r="DG152" s="122"/>
      <c r="DH152" s="122"/>
      <c r="DI152" s="122"/>
      <c r="DJ152" s="122"/>
      <c r="DK152" s="122"/>
      <c r="DL152" s="122"/>
      <c r="DM152" s="122"/>
      <c r="DN152" s="122"/>
      <c r="DO152" s="122"/>
      <c r="DP152" s="122"/>
      <c r="DQ152" s="122"/>
      <c r="DR152" s="122"/>
      <c r="DS152" s="122"/>
      <c r="DT152" s="122"/>
      <c r="DU152" s="122"/>
      <c r="DV152" s="122"/>
      <c r="DW152" s="122"/>
      <c r="DX152" s="122"/>
      <c r="DY152" s="122"/>
      <c r="DZ152" s="122"/>
      <c r="EA152" s="122"/>
      <c r="EB152" s="122"/>
      <c r="EC152" s="122"/>
      <c r="ED152" s="122"/>
      <c r="EE152" s="122"/>
      <c r="EF152" s="122"/>
      <c r="EG152" s="122"/>
      <c r="EH152" s="122"/>
      <c r="EI152" s="122"/>
      <c r="EJ152" s="122"/>
      <c r="EK152" s="122"/>
      <c r="EL152" s="122"/>
      <c r="EM152" s="122"/>
      <c r="EN152" s="122"/>
      <c r="EO152" s="122"/>
      <c r="EP152" s="122"/>
      <c r="EQ152" s="122"/>
      <c r="ER152" s="122"/>
      <c r="ES152" s="122"/>
      <c r="ET152" s="122"/>
      <c r="EU152" s="122"/>
      <c r="EV152" s="122"/>
      <c r="EW152" s="122"/>
      <c r="EX152" s="122"/>
      <c r="EY152" s="122"/>
      <c r="EZ152" s="122"/>
      <c r="FA152" s="122"/>
      <c r="FB152" s="122"/>
      <c r="FC152" s="122"/>
      <c r="FD152" s="122"/>
      <c r="FE152" s="122"/>
      <c r="FF152" s="122"/>
      <c r="FG152" s="122"/>
      <c r="FH152" s="122"/>
      <c r="FI152" s="122"/>
      <c r="FJ152" s="122"/>
      <c r="FK152" s="122"/>
      <c r="FL152" s="122"/>
      <c r="FM152" s="122"/>
      <c r="FN152" s="122"/>
      <c r="FO152" s="122"/>
      <c r="FP152" s="122"/>
      <c r="FQ152" s="122"/>
      <c r="FR152" s="122"/>
      <c r="FS152" s="122"/>
      <c r="FT152" s="122"/>
      <c r="FU152" s="122"/>
      <c r="FV152" s="122"/>
      <c r="FW152" s="122"/>
      <c r="FX152" s="122"/>
      <c r="FY152" s="122"/>
      <c r="FZ152" s="122"/>
      <c r="GA152" s="122"/>
      <c r="GB152" s="122"/>
      <c r="GC152" s="122"/>
      <c r="GD152" s="122"/>
      <c r="GE152" s="122"/>
      <c r="GF152" s="122"/>
      <c r="GG152" s="122"/>
      <c r="GH152" s="122"/>
      <c r="GI152" s="122"/>
    </row>
    <row r="153" spans="1:191" s="13" customFormat="1" ht="20.25" customHeight="1">
      <c r="A153" s="117">
        <v>73</v>
      </c>
      <c r="B153" s="125"/>
      <c r="C153" s="126"/>
      <c r="D153" s="102">
        <f t="shared" ref="D153" si="75">IFERROR(SUMPRODUCT(F153:HE153,$F$6:$HE$6)/100,0)</f>
        <v>0</v>
      </c>
      <c r="E153" s="103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  <c r="AS153" s="122"/>
      <c r="AT153" s="122"/>
      <c r="AU153" s="122"/>
      <c r="AV153" s="122"/>
      <c r="AW153" s="122"/>
      <c r="AX153" s="122"/>
      <c r="AY153" s="122"/>
      <c r="AZ153" s="122"/>
      <c r="BA153" s="122"/>
      <c r="BB153" s="122"/>
      <c r="BC153" s="122"/>
      <c r="BD153" s="122"/>
      <c r="BE153" s="122"/>
      <c r="BF153" s="122"/>
      <c r="BG153" s="122"/>
      <c r="BH153" s="122"/>
      <c r="BI153" s="122"/>
      <c r="BJ153" s="122"/>
      <c r="BK153" s="122"/>
      <c r="BL153" s="122"/>
      <c r="BM153" s="122"/>
      <c r="BN153" s="122"/>
      <c r="BO153" s="122"/>
      <c r="BP153" s="122"/>
      <c r="BQ153" s="122"/>
      <c r="BR153" s="122"/>
      <c r="BS153" s="123"/>
      <c r="BT153" s="123"/>
      <c r="BU153" s="122"/>
      <c r="BV153" s="122"/>
      <c r="BW153" s="122"/>
      <c r="BX153" s="122"/>
      <c r="BY153" s="122"/>
      <c r="BZ153" s="122"/>
      <c r="CA153" s="122"/>
      <c r="CB153" s="122"/>
      <c r="CC153" s="122"/>
      <c r="CD153" s="122"/>
      <c r="CE153" s="122"/>
      <c r="CF153" s="122"/>
      <c r="CG153" s="122"/>
      <c r="CH153" s="122"/>
      <c r="CI153" s="122"/>
      <c r="CJ153" s="122"/>
      <c r="CK153" s="122"/>
      <c r="CL153" s="122"/>
      <c r="CM153" s="122"/>
      <c r="CN153" s="122"/>
      <c r="CO153" s="122"/>
      <c r="CP153" s="122"/>
      <c r="CQ153" s="122"/>
      <c r="CR153" s="122"/>
      <c r="CS153" s="122"/>
      <c r="CT153" s="122"/>
      <c r="CU153" s="122"/>
      <c r="CV153" s="122"/>
      <c r="CW153" s="122"/>
      <c r="CX153" s="122"/>
      <c r="CY153" s="122"/>
      <c r="CZ153" s="122"/>
      <c r="DA153" s="122"/>
      <c r="DB153" s="122"/>
      <c r="DC153" s="122"/>
      <c r="DD153" s="122"/>
      <c r="DE153" s="122"/>
      <c r="DF153" s="122"/>
      <c r="DG153" s="122"/>
      <c r="DH153" s="122"/>
      <c r="DI153" s="122"/>
      <c r="DJ153" s="122"/>
      <c r="DK153" s="122"/>
      <c r="DL153" s="122"/>
      <c r="DM153" s="122"/>
      <c r="DN153" s="122"/>
      <c r="DO153" s="122"/>
      <c r="DP153" s="122"/>
      <c r="DQ153" s="122"/>
      <c r="DR153" s="122"/>
      <c r="DS153" s="122"/>
      <c r="DT153" s="122"/>
      <c r="DU153" s="122"/>
      <c r="DV153" s="122"/>
      <c r="DW153" s="122"/>
      <c r="DX153" s="122"/>
      <c r="DY153" s="122"/>
      <c r="DZ153" s="122"/>
      <c r="EA153" s="122"/>
      <c r="EB153" s="122"/>
      <c r="EC153" s="122"/>
      <c r="ED153" s="122"/>
      <c r="EE153" s="122"/>
      <c r="EF153" s="122"/>
      <c r="EG153" s="122"/>
      <c r="EH153" s="122"/>
      <c r="EI153" s="122"/>
      <c r="EJ153" s="122"/>
      <c r="EK153" s="122"/>
      <c r="EL153" s="122"/>
      <c r="EM153" s="122"/>
      <c r="EN153" s="122"/>
      <c r="EO153" s="122"/>
      <c r="EP153" s="122"/>
      <c r="EQ153" s="122"/>
      <c r="ER153" s="122"/>
      <c r="ES153" s="122"/>
      <c r="ET153" s="122"/>
      <c r="EU153" s="122"/>
      <c r="EV153" s="122"/>
      <c r="EW153" s="122"/>
      <c r="EX153" s="122"/>
      <c r="EY153" s="122"/>
      <c r="EZ153" s="122"/>
      <c r="FA153" s="122"/>
      <c r="FB153" s="122"/>
      <c r="FC153" s="122"/>
      <c r="FD153" s="122"/>
      <c r="FE153" s="122"/>
      <c r="FF153" s="122"/>
      <c r="FG153" s="122"/>
      <c r="FH153" s="122"/>
      <c r="FI153" s="122"/>
      <c r="FJ153" s="122"/>
      <c r="FK153" s="122"/>
      <c r="FL153" s="122"/>
      <c r="FM153" s="122"/>
      <c r="FN153" s="122"/>
      <c r="FO153" s="122"/>
      <c r="FP153" s="122"/>
      <c r="FQ153" s="122"/>
      <c r="FR153" s="122"/>
      <c r="FS153" s="122"/>
      <c r="FT153" s="122"/>
      <c r="FU153" s="122"/>
      <c r="FV153" s="122"/>
      <c r="FW153" s="122"/>
      <c r="FX153" s="122"/>
      <c r="FY153" s="122"/>
      <c r="FZ153" s="122"/>
      <c r="GA153" s="122"/>
      <c r="GB153" s="122"/>
      <c r="GC153" s="122"/>
      <c r="GD153" s="122"/>
      <c r="GE153" s="122"/>
      <c r="GF153" s="122"/>
      <c r="GG153" s="122"/>
      <c r="GH153" s="122"/>
      <c r="GI153" s="122"/>
    </row>
    <row r="154" spans="1:191" s="13" customFormat="1" ht="20.25" customHeight="1">
      <c r="A154" s="117"/>
      <c r="B154" s="124"/>
      <c r="C154" s="120"/>
      <c r="D154" s="121"/>
      <c r="E154" s="103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  <c r="AS154" s="122"/>
      <c r="AT154" s="122"/>
      <c r="AU154" s="122"/>
      <c r="AV154" s="122"/>
      <c r="AW154" s="122"/>
      <c r="AX154" s="122"/>
      <c r="AY154" s="122"/>
      <c r="AZ154" s="122"/>
      <c r="BA154" s="122"/>
      <c r="BB154" s="122"/>
      <c r="BC154" s="122"/>
      <c r="BD154" s="122"/>
      <c r="BE154" s="122"/>
      <c r="BF154" s="122"/>
      <c r="BG154" s="122"/>
      <c r="BH154" s="122"/>
      <c r="BI154" s="122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23"/>
      <c r="BT154" s="123"/>
      <c r="BU154" s="122"/>
      <c r="BV154" s="122"/>
      <c r="BW154" s="122"/>
      <c r="BX154" s="122"/>
      <c r="BY154" s="122"/>
      <c r="BZ154" s="122"/>
      <c r="CA154" s="122"/>
      <c r="CB154" s="122"/>
      <c r="CC154" s="122"/>
      <c r="CD154" s="122"/>
      <c r="CE154" s="122"/>
      <c r="CF154" s="122"/>
      <c r="CG154" s="122"/>
      <c r="CH154" s="122"/>
      <c r="CI154" s="122"/>
      <c r="CJ154" s="122"/>
      <c r="CK154" s="122"/>
      <c r="CL154" s="122"/>
      <c r="CM154" s="122"/>
      <c r="CN154" s="122"/>
      <c r="CO154" s="122"/>
      <c r="CP154" s="122"/>
      <c r="CQ154" s="122"/>
      <c r="CR154" s="122"/>
      <c r="CS154" s="122"/>
      <c r="CT154" s="122"/>
      <c r="CU154" s="122"/>
      <c r="CV154" s="122"/>
      <c r="CW154" s="122"/>
      <c r="CX154" s="122"/>
      <c r="CY154" s="122"/>
      <c r="CZ154" s="122"/>
      <c r="DA154" s="122"/>
      <c r="DB154" s="122"/>
      <c r="DC154" s="122"/>
      <c r="DD154" s="122"/>
      <c r="DE154" s="122"/>
      <c r="DF154" s="122"/>
      <c r="DG154" s="122"/>
      <c r="DH154" s="122"/>
      <c r="DI154" s="122"/>
      <c r="DJ154" s="122"/>
      <c r="DK154" s="122"/>
      <c r="DL154" s="122"/>
      <c r="DM154" s="122"/>
      <c r="DN154" s="122"/>
      <c r="DO154" s="122"/>
      <c r="DP154" s="122"/>
      <c r="DQ154" s="122"/>
      <c r="DR154" s="122"/>
      <c r="DS154" s="122"/>
      <c r="DT154" s="122"/>
      <c r="DU154" s="122"/>
      <c r="DV154" s="122"/>
      <c r="DW154" s="122"/>
      <c r="DX154" s="122"/>
      <c r="DY154" s="122"/>
      <c r="DZ154" s="122"/>
      <c r="EA154" s="122"/>
      <c r="EB154" s="122"/>
      <c r="EC154" s="122"/>
      <c r="ED154" s="122"/>
      <c r="EE154" s="122"/>
      <c r="EF154" s="122"/>
      <c r="EG154" s="122"/>
      <c r="EH154" s="122"/>
      <c r="EI154" s="122"/>
      <c r="EJ154" s="122"/>
      <c r="EK154" s="122"/>
      <c r="EL154" s="122"/>
      <c r="EM154" s="122"/>
      <c r="EN154" s="122"/>
      <c r="EO154" s="122"/>
      <c r="EP154" s="122"/>
      <c r="EQ154" s="122"/>
      <c r="ER154" s="122"/>
      <c r="ES154" s="122"/>
      <c r="ET154" s="122"/>
      <c r="EU154" s="122"/>
      <c r="EV154" s="122"/>
      <c r="EW154" s="122"/>
      <c r="EX154" s="122"/>
      <c r="EY154" s="122"/>
      <c r="EZ154" s="122"/>
      <c r="FA154" s="122"/>
      <c r="FB154" s="122"/>
      <c r="FC154" s="122"/>
      <c r="FD154" s="122"/>
      <c r="FE154" s="122"/>
      <c r="FF154" s="122"/>
      <c r="FG154" s="122"/>
      <c r="FH154" s="122"/>
      <c r="FI154" s="122"/>
      <c r="FJ154" s="122"/>
      <c r="FK154" s="122"/>
      <c r="FL154" s="122"/>
      <c r="FM154" s="122"/>
      <c r="FN154" s="122"/>
      <c r="FO154" s="122"/>
      <c r="FP154" s="122"/>
      <c r="FQ154" s="122"/>
      <c r="FR154" s="122"/>
      <c r="FS154" s="122"/>
      <c r="FT154" s="122"/>
      <c r="FU154" s="122"/>
      <c r="FV154" s="122"/>
      <c r="FW154" s="122"/>
      <c r="FX154" s="122"/>
      <c r="FY154" s="122"/>
      <c r="FZ154" s="122"/>
      <c r="GA154" s="122"/>
      <c r="GB154" s="122"/>
      <c r="GC154" s="122"/>
      <c r="GD154" s="122"/>
      <c r="GE154" s="122"/>
      <c r="GF154" s="122"/>
      <c r="GG154" s="122"/>
      <c r="GH154" s="122"/>
      <c r="GI154" s="122"/>
    </row>
    <row r="155" spans="1:191" s="13" customFormat="1" ht="20.25" customHeight="1">
      <c r="A155" s="117">
        <v>74</v>
      </c>
      <c r="B155" s="124"/>
      <c r="C155" s="120"/>
      <c r="D155" s="102">
        <f t="shared" ref="D155" si="76">IFERROR(SUMPRODUCT(F155:HE155,$F$6:$HE$6)/100,0)</f>
        <v>0</v>
      </c>
      <c r="E155" s="103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  <c r="AS155" s="122"/>
      <c r="AT155" s="122"/>
      <c r="AU155" s="122"/>
      <c r="AV155" s="122"/>
      <c r="AW155" s="122"/>
      <c r="AX155" s="122"/>
      <c r="AY155" s="122"/>
      <c r="AZ155" s="122"/>
      <c r="BA155" s="122"/>
      <c r="BB155" s="122"/>
      <c r="BC155" s="122"/>
      <c r="BD155" s="122"/>
      <c r="BE155" s="122"/>
      <c r="BF155" s="122"/>
      <c r="BG155" s="122"/>
      <c r="BH155" s="122"/>
      <c r="BI155" s="122"/>
      <c r="BJ155" s="122"/>
      <c r="BK155" s="122"/>
      <c r="BL155" s="122"/>
      <c r="BM155" s="122"/>
      <c r="BN155" s="122"/>
      <c r="BO155" s="122"/>
      <c r="BP155" s="122"/>
      <c r="BQ155" s="122"/>
      <c r="BR155" s="122"/>
      <c r="BS155" s="123"/>
      <c r="BT155" s="123"/>
      <c r="BU155" s="122"/>
      <c r="BV155" s="122"/>
      <c r="BW155" s="122"/>
      <c r="BX155" s="122"/>
      <c r="BY155" s="122"/>
      <c r="BZ155" s="122"/>
      <c r="CA155" s="122"/>
      <c r="CB155" s="122"/>
      <c r="CC155" s="122"/>
      <c r="CD155" s="122"/>
      <c r="CE155" s="122"/>
      <c r="CF155" s="122"/>
      <c r="CG155" s="122"/>
      <c r="CH155" s="122"/>
      <c r="CI155" s="122"/>
      <c r="CJ155" s="122"/>
      <c r="CK155" s="122"/>
      <c r="CL155" s="122"/>
      <c r="CM155" s="122"/>
      <c r="CN155" s="122"/>
      <c r="CO155" s="122"/>
      <c r="CP155" s="122"/>
      <c r="CQ155" s="122"/>
      <c r="CR155" s="122"/>
      <c r="CS155" s="122"/>
      <c r="CT155" s="122"/>
      <c r="CU155" s="122"/>
      <c r="CV155" s="122"/>
      <c r="CW155" s="122"/>
      <c r="CX155" s="122"/>
      <c r="CY155" s="122"/>
      <c r="CZ155" s="122"/>
      <c r="DA155" s="122"/>
      <c r="DB155" s="122"/>
      <c r="DC155" s="122"/>
      <c r="DD155" s="122"/>
      <c r="DE155" s="122"/>
      <c r="DF155" s="122"/>
      <c r="DG155" s="122"/>
      <c r="DH155" s="122"/>
      <c r="DI155" s="122"/>
      <c r="DJ155" s="122"/>
      <c r="DK155" s="122"/>
      <c r="DL155" s="122"/>
      <c r="DM155" s="122"/>
      <c r="DN155" s="122"/>
      <c r="DO155" s="122"/>
      <c r="DP155" s="122"/>
      <c r="DQ155" s="122"/>
      <c r="DR155" s="122"/>
      <c r="DS155" s="122"/>
      <c r="DT155" s="122"/>
      <c r="DU155" s="122"/>
      <c r="DV155" s="122"/>
      <c r="DW155" s="122"/>
      <c r="DX155" s="122"/>
      <c r="DY155" s="122"/>
      <c r="DZ155" s="122"/>
      <c r="EA155" s="122"/>
      <c r="EB155" s="122"/>
      <c r="EC155" s="122"/>
      <c r="ED155" s="122"/>
      <c r="EE155" s="122"/>
      <c r="EF155" s="122"/>
      <c r="EG155" s="122"/>
      <c r="EH155" s="122"/>
      <c r="EI155" s="122"/>
      <c r="EJ155" s="122"/>
      <c r="EK155" s="122"/>
      <c r="EL155" s="122"/>
      <c r="EM155" s="122"/>
      <c r="EN155" s="122"/>
      <c r="EO155" s="122"/>
      <c r="EP155" s="122"/>
      <c r="EQ155" s="122"/>
      <c r="ER155" s="122"/>
      <c r="ES155" s="122"/>
      <c r="ET155" s="122"/>
      <c r="EU155" s="122"/>
      <c r="EV155" s="122"/>
      <c r="EW155" s="122"/>
      <c r="EX155" s="122"/>
      <c r="EY155" s="122"/>
      <c r="EZ155" s="122"/>
      <c r="FA155" s="122"/>
      <c r="FB155" s="122"/>
      <c r="FC155" s="122"/>
      <c r="FD155" s="122"/>
      <c r="FE155" s="122"/>
      <c r="FF155" s="122"/>
      <c r="FG155" s="122"/>
      <c r="FH155" s="122"/>
      <c r="FI155" s="122"/>
      <c r="FJ155" s="122"/>
      <c r="FK155" s="122"/>
      <c r="FL155" s="122"/>
      <c r="FM155" s="122"/>
      <c r="FN155" s="122"/>
      <c r="FO155" s="122"/>
      <c r="FP155" s="122"/>
      <c r="FQ155" s="122"/>
      <c r="FR155" s="122"/>
      <c r="FS155" s="122"/>
      <c r="FT155" s="122"/>
      <c r="FU155" s="122"/>
      <c r="FV155" s="122"/>
      <c r="FW155" s="122"/>
      <c r="FX155" s="122"/>
      <c r="FY155" s="122"/>
      <c r="FZ155" s="122"/>
      <c r="GA155" s="122"/>
      <c r="GB155" s="122"/>
      <c r="GC155" s="122"/>
      <c r="GD155" s="122"/>
      <c r="GE155" s="122"/>
      <c r="GF155" s="122"/>
      <c r="GG155" s="122"/>
      <c r="GH155" s="122"/>
      <c r="GI155" s="122"/>
    </row>
    <row r="156" spans="1:191" s="13" customFormat="1" ht="20.25" customHeight="1">
      <c r="A156" s="117"/>
      <c r="B156" s="124"/>
      <c r="C156" s="120"/>
      <c r="D156" s="121"/>
      <c r="E156" s="103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  <c r="AS156" s="122"/>
      <c r="AT156" s="122"/>
      <c r="AU156" s="122"/>
      <c r="AV156" s="122"/>
      <c r="AW156" s="122"/>
      <c r="AX156" s="122"/>
      <c r="AY156" s="122"/>
      <c r="AZ156" s="122"/>
      <c r="BA156" s="122"/>
      <c r="BB156" s="122"/>
      <c r="BC156" s="122"/>
      <c r="BD156" s="122"/>
      <c r="BE156" s="122"/>
      <c r="BF156" s="122"/>
      <c r="BG156" s="122"/>
      <c r="BH156" s="122"/>
      <c r="BI156" s="122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23"/>
      <c r="BT156" s="123"/>
      <c r="BU156" s="122"/>
      <c r="BV156" s="122"/>
      <c r="BW156" s="122"/>
      <c r="BX156" s="122"/>
      <c r="BY156" s="122"/>
      <c r="BZ156" s="122"/>
      <c r="CA156" s="122"/>
      <c r="CB156" s="122"/>
      <c r="CC156" s="122"/>
      <c r="CD156" s="122"/>
      <c r="CE156" s="122"/>
      <c r="CF156" s="122"/>
      <c r="CG156" s="122"/>
      <c r="CH156" s="122"/>
      <c r="CI156" s="122"/>
      <c r="CJ156" s="122"/>
      <c r="CK156" s="122"/>
      <c r="CL156" s="122"/>
      <c r="CM156" s="122"/>
      <c r="CN156" s="122"/>
      <c r="CO156" s="122"/>
      <c r="CP156" s="122"/>
      <c r="CQ156" s="122"/>
      <c r="CR156" s="122"/>
      <c r="CS156" s="122"/>
      <c r="CT156" s="122"/>
      <c r="CU156" s="122"/>
      <c r="CV156" s="122"/>
      <c r="CW156" s="122"/>
      <c r="CX156" s="122"/>
      <c r="CY156" s="122"/>
      <c r="CZ156" s="122"/>
      <c r="DA156" s="122"/>
      <c r="DB156" s="122"/>
      <c r="DC156" s="122"/>
      <c r="DD156" s="122"/>
      <c r="DE156" s="122"/>
      <c r="DF156" s="122"/>
      <c r="DG156" s="122"/>
      <c r="DH156" s="122"/>
      <c r="DI156" s="122"/>
      <c r="DJ156" s="122"/>
      <c r="DK156" s="122"/>
      <c r="DL156" s="122"/>
      <c r="DM156" s="122"/>
      <c r="DN156" s="122"/>
      <c r="DO156" s="122"/>
      <c r="DP156" s="122"/>
      <c r="DQ156" s="122"/>
      <c r="DR156" s="122"/>
      <c r="DS156" s="122"/>
      <c r="DT156" s="122"/>
      <c r="DU156" s="122"/>
      <c r="DV156" s="122"/>
      <c r="DW156" s="122"/>
      <c r="DX156" s="122"/>
      <c r="DY156" s="122"/>
      <c r="DZ156" s="122"/>
      <c r="EA156" s="122"/>
      <c r="EB156" s="122"/>
      <c r="EC156" s="122"/>
      <c r="ED156" s="122"/>
      <c r="EE156" s="122"/>
      <c r="EF156" s="122"/>
      <c r="EG156" s="122"/>
      <c r="EH156" s="122"/>
      <c r="EI156" s="122"/>
      <c r="EJ156" s="122"/>
      <c r="EK156" s="122"/>
      <c r="EL156" s="122"/>
      <c r="EM156" s="122"/>
      <c r="EN156" s="122"/>
      <c r="EO156" s="122"/>
      <c r="EP156" s="122"/>
      <c r="EQ156" s="122"/>
      <c r="ER156" s="122"/>
      <c r="ES156" s="122"/>
      <c r="ET156" s="122"/>
      <c r="EU156" s="122"/>
      <c r="EV156" s="122"/>
      <c r="EW156" s="122"/>
      <c r="EX156" s="122"/>
      <c r="EY156" s="122"/>
      <c r="EZ156" s="122"/>
      <c r="FA156" s="122"/>
      <c r="FB156" s="122"/>
      <c r="FC156" s="122"/>
      <c r="FD156" s="122"/>
      <c r="FE156" s="122"/>
      <c r="FF156" s="122"/>
      <c r="FG156" s="122"/>
      <c r="FH156" s="122"/>
      <c r="FI156" s="122"/>
      <c r="FJ156" s="122"/>
      <c r="FK156" s="122"/>
      <c r="FL156" s="122"/>
      <c r="FM156" s="122"/>
      <c r="FN156" s="122"/>
      <c r="FO156" s="122"/>
      <c r="FP156" s="122"/>
      <c r="FQ156" s="122"/>
      <c r="FR156" s="122"/>
      <c r="FS156" s="122"/>
      <c r="FT156" s="122"/>
      <c r="FU156" s="122"/>
      <c r="FV156" s="122"/>
      <c r="FW156" s="122"/>
      <c r="FX156" s="122"/>
      <c r="FY156" s="122"/>
      <c r="FZ156" s="122"/>
      <c r="GA156" s="122"/>
      <c r="GB156" s="122"/>
      <c r="GC156" s="122"/>
      <c r="GD156" s="122"/>
      <c r="GE156" s="122"/>
      <c r="GF156" s="122"/>
      <c r="GG156" s="122"/>
      <c r="GH156" s="122"/>
      <c r="GI156" s="122"/>
    </row>
    <row r="157" spans="1:191" s="13" customFormat="1" ht="20.25" customHeight="1">
      <c r="A157" s="117">
        <v>75</v>
      </c>
      <c r="B157" s="146"/>
      <c r="C157" s="120"/>
      <c r="D157" s="102">
        <f t="shared" ref="D157" si="77">IFERROR(SUMPRODUCT(F157:HE157,$F$6:$HE$6)/100,0)</f>
        <v>0</v>
      </c>
      <c r="E157" s="103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  <c r="AS157" s="122"/>
      <c r="AT157" s="122"/>
      <c r="AU157" s="122"/>
      <c r="AV157" s="122"/>
      <c r="AW157" s="122"/>
      <c r="AX157" s="122"/>
      <c r="AY157" s="122"/>
      <c r="AZ157" s="122"/>
      <c r="BA157" s="122"/>
      <c r="BB157" s="122"/>
      <c r="BC157" s="122"/>
      <c r="BD157" s="122"/>
      <c r="BE157" s="122"/>
      <c r="BF157" s="122"/>
      <c r="BG157" s="122"/>
      <c r="BH157" s="122"/>
      <c r="BI157" s="122"/>
      <c r="BJ157" s="122"/>
      <c r="BK157" s="122"/>
      <c r="BL157" s="122"/>
      <c r="BM157" s="122"/>
      <c r="BN157" s="122"/>
      <c r="BO157" s="122"/>
      <c r="BP157" s="122"/>
      <c r="BQ157" s="122"/>
      <c r="BR157" s="122"/>
      <c r="BS157" s="123"/>
      <c r="BT157" s="123"/>
      <c r="BU157" s="122"/>
      <c r="BV157" s="122"/>
      <c r="BW157" s="122"/>
      <c r="BX157" s="122"/>
      <c r="BY157" s="122"/>
      <c r="BZ157" s="122"/>
      <c r="CA157" s="122"/>
      <c r="CB157" s="122"/>
      <c r="CC157" s="122"/>
      <c r="CD157" s="122"/>
      <c r="CE157" s="122"/>
      <c r="CF157" s="122"/>
      <c r="CG157" s="122"/>
      <c r="CH157" s="122"/>
      <c r="CI157" s="122"/>
      <c r="CJ157" s="122"/>
      <c r="CK157" s="122"/>
      <c r="CL157" s="122"/>
      <c r="CM157" s="122"/>
      <c r="CN157" s="122"/>
      <c r="CO157" s="122"/>
      <c r="CP157" s="122"/>
      <c r="CQ157" s="122"/>
      <c r="CR157" s="122"/>
      <c r="CS157" s="122"/>
      <c r="CT157" s="122"/>
      <c r="CU157" s="122"/>
      <c r="CV157" s="122"/>
      <c r="CW157" s="122"/>
      <c r="CX157" s="122"/>
      <c r="CY157" s="122"/>
      <c r="CZ157" s="122"/>
      <c r="DA157" s="122"/>
      <c r="DB157" s="122"/>
      <c r="DC157" s="122"/>
      <c r="DD157" s="122"/>
      <c r="DE157" s="122"/>
      <c r="DF157" s="122"/>
      <c r="DG157" s="122"/>
      <c r="DH157" s="122"/>
      <c r="DI157" s="122"/>
      <c r="DJ157" s="122"/>
      <c r="DK157" s="122"/>
      <c r="DL157" s="122"/>
      <c r="DM157" s="122"/>
      <c r="DN157" s="122"/>
      <c r="DO157" s="122"/>
      <c r="DP157" s="122"/>
      <c r="DQ157" s="122"/>
      <c r="DR157" s="122"/>
      <c r="DS157" s="122"/>
      <c r="DT157" s="122"/>
      <c r="DU157" s="122"/>
      <c r="DV157" s="122"/>
      <c r="DW157" s="122"/>
      <c r="DX157" s="122"/>
      <c r="DY157" s="122"/>
      <c r="DZ157" s="122"/>
      <c r="EA157" s="122"/>
      <c r="EB157" s="122"/>
      <c r="EC157" s="122"/>
      <c r="ED157" s="122"/>
      <c r="EE157" s="122"/>
      <c r="EF157" s="122"/>
      <c r="EG157" s="122"/>
      <c r="EH157" s="122"/>
      <c r="EI157" s="122"/>
      <c r="EJ157" s="122"/>
      <c r="EK157" s="122"/>
      <c r="EL157" s="122"/>
      <c r="EM157" s="122"/>
      <c r="EN157" s="122"/>
      <c r="EO157" s="122"/>
      <c r="EP157" s="122"/>
      <c r="EQ157" s="122"/>
      <c r="ER157" s="122"/>
      <c r="ES157" s="122"/>
      <c r="ET157" s="122"/>
      <c r="EU157" s="122"/>
      <c r="EV157" s="122"/>
      <c r="EW157" s="122"/>
      <c r="EX157" s="122"/>
      <c r="EY157" s="122"/>
      <c r="EZ157" s="122"/>
      <c r="FA157" s="122"/>
      <c r="FB157" s="122"/>
      <c r="FC157" s="122"/>
      <c r="FD157" s="122"/>
      <c r="FE157" s="122"/>
      <c r="FF157" s="122"/>
      <c r="FG157" s="122"/>
      <c r="FH157" s="122"/>
      <c r="FI157" s="122"/>
      <c r="FJ157" s="122"/>
      <c r="FK157" s="122"/>
      <c r="FL157" s="122"/>
      <c r="FM157" s="122"/>
      <c r="FN157" s="122"/>
      <c r="FO157" s="122"/>
      <c r="FP157" s="122"/>
      <c r="FQ157" s="122"/>
      <c r="FR157" s="122"/>
      <c r="FS157" s="122"/>
      <c r="FT157" s="122"/>
      <c r="FU157" s="122"/>
      <c r="FV157" s="122"/>
      <c r="FW157" s="122"/>
      <c r="FX157" s="122"/>
      <c r="FY157" s="122"/>
      <c r="FZ157" s="122"/>
      <c r="GA157" s="122"/>
      <c r="GB157" s="122"/>
      <c r="GC157" s="122"/>
      <c r="GD157" s="122"/>
      <c r="GE157" s="122"/>
      <c r="GF157" s="122"/>
      <c r="GG157" s="122"/>
      <c r="GH157" s="122"/>
      <c r="GI157" s="122"/>
    </row>
    <row r="158" spans="1:191" s="13" customFormat="1" ht="20.25" customHeight="1">
      <c r="A158" s="117"/>
      <c r="B158" s="124"/>
      <c r="C158" s="120"/>
      <c r="D158" s="121"/>
      <c r="E158" s="103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  <c r="AS158" s="122"/>
      <c r="AT158" s="122"/>
      <c r="AU158" s="122"/>
      <c r="AV158" s="122"/>
      <c r="AW158" s="122"/>
      <c r="AX158" s="122"/>
      <c r="AY158" s="122"/>
      <c r="AZ158" s="122"/>
      <c r="BA158" s="122"/>
      <c r="BB158" s="122"/>
      <c r="BC158" s="122"/>
      <c r="BD158" s="122"/>
      <c r="BE158" s="122"/>
      <c r="BF158" s="122"/>
      <c r="BG158" s="122"/>
      <c r="BH158" s="122"/>
      <c r="BI158" s="122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23"/>
      <c r="BT158" s="123"/>
      <c r="BU158" s="122"/>
      <c r="BV158" s="122"/>
      <c r="BW158" s="122"/>
      <c r="BX158" s="122"/>
      <c r="BY158" s="122"/>
      <c r="BZ158" s="122"/>
      <c r="CA158" s="122"/>
      <c r="CB158" s="122"/>
      <c r="CC158" s="122"/>
      <c r="CD158" s="122"/>
      <c r="CE158" s="122"/>
      <c r="CF158" s="122"/>
      <c r="CG158" s="122"/>
      <c r="CH158" s="122"/>
      <c r="CI158" s="122"/>
      <c r="CJ158" s="122"/>
      <c r="CK158" s="122"/>
      <c r="CL158" s="122"/>
      <c r="CM158" s="122"/>
      <c r="CN158" s="122"/>
      <c r="CO158" s="122"/>
      <c r="CP158" s="122"/>
      <c r="CQ158" s="122"/>
      <c r="CR158" s="122"/>
      <c r="CS158" s="122"/>
      <c r="CT158" s="122"/>
      <c r="CU158" s="122"/>
      <c r="CV158" s="122"/>
      <c r="CW158" s="122"/>
      <c r="CX158" s="122"/>
      <c r="CY158" s="122"/>
      <c r="CZ158" s="122"/>
      <c r="DA158" s="122"/>
      <c r="DB158" s="122"/>
      <c r="DC158" s="122"/>
      <c r="DD158" s="122"/>
      <c r="DE158" s="122"/>
      <c r="DF158" s="122"/>
      <c r="DG158" s="122"/>
      <c r="DH158" s="122"/>
      <c r="DI158" s="122"/>
      <c r="DJ158" s="122"/>
      <c r="DK158" s="122"/>
      <c r="DL158" s="122"/>
      <c r="DM158" s="122"/>
      <c r="DN158" s="122"/>
      <c r="DO158" s="122"/>
      <c r="DP158" s="122"/>
      <c r="DQ158" s="122"/>
      <c r="DR158" s="122"/>
      <c r="DS158" s="122"/>
      <c r="DT158" s="122"/>
      <c r="DU158" s="122"/>
      <c r="DV158" s="122"/>
      <c r="DW158" s="122"/>
      <c r="DX158" s="122"/>
      <c r="DY158" s="122"/>
      <c r="DZ158" s="122"/>
      <c r="EA158" s="122"/>
      <c r="EB158" s="122"/>
      <c r="EC158" s="122"/>
      <c r="ED158" s="122"/>
      <c r="EE158" s="122"/>
      <c r="EF158" s="122"/>
      <c r="EG158" s="122"/>
      <c r="EH158" s="122"/>
      <c r="EI158" s="122"/>
      <c r="EJ158" s="122"/>
      <c r="EK158" s="122"/>
      <c r="EL158" s="122"/>
      <c r="EM158" s="122"/>
      <c r="EN158" s="122"/>
      <c r="EO158" s="122"/>
      <c r="EP158" s="122"/>
      <c r="EQ158" s="122"/>
      <c r="ER158" s="122"/>
      <c r="ES158" s="122"/>
      <c r="ET158" s="122"/>
      <c r="EU158" s="122"/>
      <c r="EV158" s="122"/>
      <c r="EW158" s="122"/>
      <c r="EX158" s="122"/>
      <c r="EY158" s="122"/>
      <c r="EZ158" s="122"/>
      <c r="FA158" s="122"/>
      <c r="FB158" s="122"/>
      <c r="FC158" s="122"/>
      <c r="FD158" s="122"/>
      <c r="FE158" s="122"/>
      <c r="FF158" s="122"/>
      <c r="FG158" s="122"/>
      <c r="FH158" s="122"/>
      <c r="FI158" s="122"/>
      <c r="FJ158" s="122"/>
      <c r="FK158" s="122"/>
      <c r="FL158" s="122"/>
      <c r="FM158" s="122"/>
      <c r="FN158" s="122"/>
      <c r="FO158" s="122"/>
      <c r="FP158" s="122"/>
      <c r="FQ158" s="122"/>
      <c r="FR158" s="122"/>
      <c r="FS158" s="122"/>
      <c r="FT158" s="122"/>
      <c r="FU158" s="122"/>
      <c r="FV158" s="122"/>
      <c r="FW158" s="122"/>
      <c r="FX158" s="122"/>
      <c r="FY158" s="122"/>
      <c r="FZ158" s="122"/>
      <c r="GA158" s="122"/>
      <c r="GB158" s="122"/>
      <c r="GC158" s="122"/>
      <c r="GD158" s="122"/>
      <c r="GE158" s="122"/>
      <c r="GF158" s="122"/>
      <c r="GG158" s="122"/>
      <c r="GH158" s="122"/>
      <c r="GI158" s="122"/>
    </row>
    <row r="159" spans="1:191" s="13" customFormat="1" ht="20.25" customHeight="1">
      <c r="A159" s="117">
        <v>76</v>
      </c>
      <c r="B159" s="124"/>
      <c r="C159" s="120"/>
      <c r="D159" s="102">
        <f t="shared" ref="D159" si="78">IFERROR(SUMPRODUCT(F159:HE159,$F$6:$HE$6)/100,0)</f>
        <v>0</v>
      </c>
      <c r="E159" s="103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  <c r="AS159" s="122"/>
      <c r="AT159" s="122"/>
      <c r="AU159" s="122"/>
      <c r="AV159" s="122"/>
      <c r="AW159" s="122"/>
      <c r="AX159" s="122"/>
      <c r="AY159" s="122"/>
      <c r="AZ159" s="122"/>
      <c r="BA159" s="122"/>
      <c r="BB159" s="122"/>
      <c r="BC159" s="122"/>
      <c r="BD159" s="122"/>
      <c r="BE159" s="122"/>
      <c r="BF159" s="122"/>
      <c r="BG159" s="122"/>
      <c r="BH159" s="122"/>
      <c r="BI159" s="122"/>
      <c r="BJ159" s="122"/>
      <c r="BK159" s="122"/>
      <c r="BL159" s="122"/>
      <c r="BM159" s="122"/>
      <c r="BN159" s="122"/>
      <c r="BO159" s="122"/>
      <c r="BP159" s="122"/>
      <c r="BQ159" s="122"/>
      <c r="BR159" s="122"/>
      <c r="BS159" s="123"/>
      <c r="BT159" s="123"/>
      <c r="BU159" s="122"/>
      <c r="BV159" s="122"/>
      <c r="BW159" s="122"/>
      <c r="BX159" s="122"/>
      <c r="BY159" s="122"/>
      <c r="BZ159" s="122"/>
      <c r="CA159" s="122"/>
      <c r="CB159" s="122"/>
      <c r="CC159" s="122"/>
      <c r="CD159" s="122"/>
      <c r="CE159" s="122"/>
      <c r="CF159" s="122"/>
      <c r="CG159" s="122"/>
      <c r="CH159" s="122"/>
      <c r="CI159" s="122"/>
      <c r="CJ159" s="122"/>
      <c r="CK159" s="122"/>
      <c r="CL159" s="122"/>
      <c r="CM159" s="122"/>
      <c r="CN159" s="122"/>
      <c r="CO159" s="122"/>
      <c r="CP159" s="122"/>
      <c r="CQ159" s="122"/>
      <c r="CR159" s="122"/>
      <c r="CS159" s="122"/>
      <c r="CT159" s="122"/>
      <c r="CU159" s="122"/>
      <c r="CV159" s="122"/>
      <c r="CW159" s="122"/>
      <c r="CX159" s="122"/>
      <c r="CY159" s="122"/>
      <c r="CZ159" s="122"/>
      <c r="DA159" s="122"/>
      <c r="DB159" s="122"/>
      <c r="DC159" s="122"/>
      <c r="DD159" s="122"/>
      <c r="DE159" s="122"/>
      <c r="DF159" s="122"/>
      <c r="DG159" s="122"/>
      <c r="DH159" s="122"/>
      <c r="DI159" s="122"/>
      <c r="DJ159" s="122"/>
      <c r="DK159" s="122"/>
      <c r="DL159" s="122"/>
      <c r="DM159" s="122"/>
      <c r="DN159" s="122"/>
      <c r="DO159" s="122"/>
      <c r="DP159" s="122"/>
      <c r="DQ159" s="122"/>
      <c r="DR159" s="122"/>
      <c r="DS159" s="122"/>
      <c r="DT159" s="122"/>
      <c r="DU159" s="122"/>
      <c r="DV159" s="122"/>
      <c r="DW159" s="122"/>
      <c r="DX159" s="122"/>
      <c r="DY159" s="122"/>
      <c r="DZ159" s="122"/>
      <c r="EA159" s="122"/>
      <c r="EB159" s="122"/>
      <c r="EC159" s="122"/>
      <c r="ED159" s="122"/>
      <c r="EE159" s="122"/>
      <c r="EF159" s="122"/>
      <c r="EG159" s="122"/>
      <c r="EH159" s="122"/>
      <c r="EI159" s="122"/>
      <c r="EJ159" s="122"/>
      <c r="EK159" s="122"/>
      <c r="EL159" s="122"/>
      <c r="EM159" s="122"/>
      <c r="EN159" s="122"/>
      <c r="EO159" s="122"/>
      <c r="EP159" s="122"/>
      <c r="EQ159" s="122"/>
      <c r="ER159" s="122"/>
      <c r="ES159" s="122"/>
      <c r="ET159" s="122"/>
      <c r="EU159" s="122"/>
      <c r="EV159" s="122"/>
      <c r="EW159" s="122"/>
      <c r="EX159" s="122"/>
      <c r="EY159" s="122"/>
      <c r="EZ159" s="122"/>
      <c r="FA159" s="122"/>
      <c r="FB159" s="122"/>
      <c r="FC159" s="122"/>
      <c r="FD159" s="122"/>
      <c r="FE159" s="122"/>
      <c r="FF159" s="122"/>
      <c r="FG159" s="122"/>
      <c r="FH159" s="122"/>
      <c r="FI159" s="122"/>
      <c r="FJ159" s="122"/>
      <c r="FK159" s="122"/>
      <c r="FL159" s="122"/>
      <c r="FM159" s="122"/>
      <c r="FN159" s="122"/>
      <c r="FO159" s="122"/>
      <c r="FP159" s="122"/>
      <c r="FQ159" s="122"/>
      <c r="FR159" s="122"/>
      <c r="FS159" s="122"/>
      <c r="FT159" s="122"/>
      <c r="FU159" s="122"/>
      <c r="FV159" s="122"/>
      <c r="FW159" s="122"/>
      <c r="FX159" s="122"/>
      <c r="FY159" s="122"/>
      <c r="FZ159" s="122"/>
      <c r="GA159" s="122"/>
      <c r="GB159" s="122"/>
      <c r="GC159" s="122"/>
      <c r="GD159" s="122"/>
      <c r="GE159" s="122"/>
      <c r="GF159" s="122"/>
      <c r="GG159" s="122"/>
      <c r="GH159" s="122"/>
      <c r="GI159" s="122"/>
    </row>
    <row r="160" spans="1:191" s="13" customFormat="1" ht="20.25" customHeight="1">
      <c r="A160" s="117"/>
      <c r="B160" s="124"/>
      <c r="C160" s="120"/>
      <c r="D160" s="121"/>
      <c r="E160" s="103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  <c r="BH160" s="122"/>
      <c r="BI160" s="122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23"/>
      <c r="BT160" s="123"/>
      <c r="BU160" s="122"/>
      <c r="BV160" s="122"/>
      <c r="BW160" s="122"/>
      <c r="BX160" s="122"/>
      <c r="BY160" s="122"/>
      <c r="BZ160" s="122"/>
      <c r="CA160" s="122"/>
      <c r="CB160" s="122"/>
      <c r="CC160" s="122"/>
      <c r="CD160" s="122"/>
      <c r="CE160" s="122"/>
      <c r="CF160" s="122"/>
      <c r="CG160" s="122"/>
      <c r="CH160" s="122"/>
      <c r="CI160" s="122"/>
      <c r="CJ160" s="122"/>
      <c r="CK160" s="122"/>
      <c r="CL160" s="122"/>
      <c r="CM160" s="122"/>
      <c r="CN160" s="122"/>
      <c r="CO160" s="122"/>
      <c r="CP160" s="122"/>
      <c r="CQ160" s="122"/>
      <c r="CR160" s="122"/>
      <c r="CS160" s="122"/>
      <c r="CT160" s="122"/>
      <c r="CU160" s="122"/>
      <c r="CV160" s="122"/>
      <c r="CW160" s="122"/>
      <c r="CX160" s="122"/>
      <c r="CY160" s="122"/>
      <c r="CZ160" s="122"/>
      <c r="DA160" s="122"/>
      <c r="DB160" s="122"/>
      <c r="DC160" s="122"/>
      <c r="DD160" s="122"/>
      <c r="DE160" s="122"/>
      <c r="DF160" s="122"/>
      <c r="DG160" s="122"/>
      <c r="DH160" s="122"/>
      <c r="DI160" s="122"/>
      <c r="DJ160" s="122"/>
      <c r="DK160" s="122"/>
      <c r="DL160" s="122"/>
      <c r="DM160" s="122"/>
      <c r="DN160" s="122"/>
      <c r="DO160" s="122"/>
      <c r="DP160" s="122"/>
      <c r="DQ160" s="122"/>
      <c r="DR160" s="122"/>
      <c r="DS160" s="122"/>
      <c r="DT160" s="122"/>
      <c r="DU160" s="122"/>
      <c r="DV160" s="122"/>
      <c r="DW160" s="122"/>
      <c r="DX160" s="122"/>
      <c r="DY160" s="122"/>
      <c r="DZ160" s="122"/>
      <c r="EA160" s="122"/>
      <c r="EB160" s="122"/>
      <c r="EC160" s="122"/>
      <c r="ED160" s="122"/>
      <c r="EE160" s="122"/>
      <c r="EF160" s="122"/>
      <c r="EG160" s="122"/>
      <c r="EH160" s="122"/>
      <c r="EI160" s="122"/>
      <c r="EJ160" s="122"/>
      <c r="EK160" s="122"/>
      <c r="EL160" s="122"/>
      <c r="EM160" s="122"/>
      <c r="EN160" s="122"/>
      <c r="EO160" s="122"/>
      <c r="EP160" s="122"/>
      <c r="EQ160" s="122"/>
      <c r="ER160" s="122"/>
      <c r="ES160" s="122"/>
      <c r="ET160" s="122"/>
      <c r="EU160" s="122"/>
      <c r="EV160" s="122"/>
      <c r="EW160" s="122"/>
      <c r="EX160" s="122"/>
      <c r="EY160" s="122"/>
      <c r="EZ160" s="122"/>
      <c r="FA160" s="122"/>
      <c r="FB160" s="122"/>
      <c r="FC160" s="122"/>
      <c r="FD160" s="122"/>
      <c r="FE160" s="122"/>
      <c r="FF160" s="122"/>
      <c r="FG160" s="122"/>
      <c r="FH160" s="122"/>
      <c r="FI160" s="122"/>
      <c r="FJ160" s="122"/>
      <c r="FK160" s="122"/>
      <c r="FL160" s="122"/>
      <c r="FM160" s="122"/>
      <c r="FN160" s="122"/>
      <c r="FO160" s="122"/>
      <c r="FP160" s="122"/>
      <c r="FQ160" s="122"/>
      <c r="FR160" s="122"/>
      <c r="FS160" s="122"/>
      <c r="FT160" s="122"/>
      <c r="FU160" s="122"/>
      <c r="FV160" s="122"/>
      <c r="FW160" s="122"/>
      <c r="FX160" s="122"/>
      <c r="FY160" s="122"/>
      <c r="FZ160" s="122"/>
      <c r="GA160" s="122"/>
      <c r="GB160" s="122"/>
      <c r="GC160" s="122"/>
      <c r="GD160" s="122"/>
      <c r="GE160" s="122"/>
      <c r="GF160" s="122"/>
      <c r="GG160" s="122"/>
      <c r="GH160" s="122"/>
      <c r="GI160" s="122"/>
    </row>
    <row r="161" spans="1:191" s="13" customFormat="1" ht="20.25" customHeight="1">
      <c r="A161" s="117">
        <v>77</v>
      </c>
      <c r="B161" s="124"/>
      <c r="C161" s="120"/>
      <c r="D161" s="102">
        <f t="shared" ref="D161" si="79">IFERROR(SUMPRODUCT(F161:HE161,$F$6:$HE$6)/100,0)</f>
        <v>0</v>
      </c>
      <c r="E161" s="103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  <c r="AS161" s="122"/>
      <c r="AT161" s="122"/>
      <c r="AU161" s="122"/>
      <c r="AV161" s="122"/>
      <c r="AW161" s="122"/>
      <c r="AX161" s="122"/>
      <c r="AY161" s="122"/>
      <c r="AZ161" s="122"/>
      <c r="BA161" s="122"/>
      <c r="BB161" s="122"/>
      <c r="BC161" s="122"/>
      <c r="BD161" s="122"/>
      <c r="BE161" s="122"/>
      <c r="BF161" s="122"/>
      <c r="BG161" s="122"/>
      <c r="BH161" s="122"/>
      <c r="BI161" s="122"/>
      <c r="BJ161" s="122"/>
      <c r="BK161" s="122"/>
      <c r="BL161" s="122"/>
      <c r="BM161" s="122"/>
      <c r="BN161" s="122"/>
      <c r="BO161" s="122"/>
      <c r="BP161" s="122"/>
      <c r="BQ161" s="122"/>
      <c r="BR161" s="122"/>
      <c r="BS161" s="123"/>
      <c r="BT161" s="123"/>
      <c r="BU161" s="122"/>
      <c r="BV161" s="122"/>
      <c r="BW161" s="122"/>
      <c r="BX161" s="122"/>
      <c r="BY161" s="122"/>
      <c r="BZ161" s="122"/>
      <c r="CA161" s="122"/>
      <c r="CB161" s="122"/>
      <c r="CC161" s="122"/>
      <c r="CD161" s="122"/>
      <c r="CE161" s="122"/>
      <c r="CF161" s="122"/>
      <c r="CG161" s="122"/>
      <c r="CH161" s="122"/>
      <c r="CI161" s="122"/>
      <c r="CJ161" s="122"/>
      <c r="CK161" s="122"/>
      <c r="CL161" s="122"/>
      <c r="CM161" s="122"/>
      <c r="CN161" s="122"/>
      <c r="CO161" s="122"/>
      <c r="CP161" s="122"/>
      <c r="CQ161" s="122"/>
      <c r="CR161" s="122"/>
      <c r="CS161" s="122"/>
      <c r="CT161" s="122"/>
      <c r="CU161" s="122"/>
      <c r="CV161" s="122"/>
      <c r="CW161" s="122"/>
      <c r="CX161" s="122"/>
      <c r="CY161" s="122"/>
      <c r="CZ161" s="122"/>
      <c r="DA161" s="122"/>
      <c r="DB161" s="122"/>
      <c r="DC161" s="122"/>
      <c r="DD161" s="122"/>
      <c r="DE161" s="122"/>
      <c r="DF161" s="122"/>
      <c r="DG161" s="122"/>
      <c r="DH161" s="122"/>
      <c r="DI161" s="122"/>
      <c r="DJ161" s="122"/>
      <c r="DK161" s="122"/>
      <c r="DL161" s="122"/>
      <c r="DM161" s="122"/>
      <c r="DN161" s="122"/>
      <c r="DO161" s="122"/>
      <c r="DP161" s="122"/>
      <c r="DQ161" s="122"/>
      <c r="DR161" s="122"/>
      <c r="DS161" s="122"/>
      <c r="DT161" s="122"/>
      <c r="DU161" s="122"/>
      <c r="DV161" s="122"/>
      <c r="DW161" s="122"/>
      <c r="DX161" s="122"/>
      <c r="DY161" s="122"/>
      <c r="DZ161" s="122"/>
      <c r="EA161" s="122"/>
      <c r="EB161" s="122"/>
      <c r="EC161" s="122"/>
      <c r="ED161" s="122"/>
      <c r="EE161" s="122"/>
      <c r="EF161" s="122"/>
      <c r="EG161" s="122"/>
      <c r="EH161" s="122"/>
      <c r="EI161" s="122"/>
      <c r="EJ161" s="122"/>
      <c r="EK161" s="122"/>
      <c r="EL161" s="122"/>
      <c r="EM161" s="122"/>
      <c r="EN161" s="122"/>
      <c r="EO161" s="122"/>
      <c r="EP161" s="122"/>
      <c r="EQ161" s="122"/>
      <c r="ER161" s="122"/>
      <c r="ES161" s="122"/>
      <c r="ET161" s="122"/>
      <c r="EU161" s="122"/>
      <c r="EV161" s="122"/>
      <c r="EW161" s="122"/>
      <c r="EX161" s="122"/>
      <c r="EY161" s="122"/>
      <c r="EZ161" s="122"/>
      <c r="FA161" s="122"/>
      <c r="FB161" s="122"/>
      <c r="FC161" s="122"/>
      <c r="FD161" s="122"/>
      <c r="FE161" s="122"/>
      <c r="FF161" s="122"/>
      <c r="FG161" s="122"/>
      <c r="FH161" s="122"/>
      <c r="FI161" s="122"/>
      <c r="FJ161" s="122"/>
      <c r="FK161" s="122"/>
      <c r="FL161" s="122"/>
      <c r="FM161" s="122"/>
      <c r="FN161" s="122"/>
      <c r="FO161" s="122"/>
      <c r="FP161" s="122"/>
      <c r="FQ161" s="122"/>
      <c r="FR161" s="122"/>
      <c r="FS161" s="122"/>
      <c r="FT161" s="122"/>
      <c r="FU161" s="122"/>
      <c r="FV161" s="122"/>
      <c r="FW161" s="122"/>
      <c r="FX161" s="122"/>
      <c r="FY161" s="122"/>
      <c r="FZ161" s="122"/>
      <c r="GA161" s="122"/>
      <c r="GB161" s="122"/>
      <c r="GC161" s="122"/>
      <c r="GD161" s="122"/>
      <c r="GE161" s="122"/>
      <c r="GF161" s="122"/>
      <c r="GG161" s="122"/>
      <c r="GH161" s="122"/>
      <c r="GI161" s="122"/>
    </row>
    <row r="162" spans="1:191" s="13" customFormat="1" ht="20.25" customHeight="1">
      <c r="A162" s="117"/>
      <c r="B162" s="124"/>
      <c r="C162" s="120"/>
      <c r="D162" s="121"/>
      <c r="E162" s="103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  <c r="AS162" s="122"/>
      <c r="AT162" s="122"/>
      <c r="AU162" s="122"/>
      <c r="AV162" s="122"/>
      <c r="AW162" s="122"/>
      <c r="AX162" s="122"/>
      <c r="AY162" s="122"/>
      <c r="AZ162" s="122"/>
      <c r="BA162" s="122"/>
      <c r="BB162" s="122"/>
      <c r="BC162" s="122"/>
      <c r="BD162" s="122"/>
      <c r="BE162" s="122"/>
      <c r="BF162" s="122"/>
      <c r="BG162" s="122"/>
      <c r="BH162" s="122"/>
      <c r="BI162" s="122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23"/>
      <c r="BT162" s="123"/>
      <c r="BU162" s="122"/>
      <c r="BV162" s="122"/>
      <c r="BW162" s="122"/>
      <c r="BX162" s="122"/>
      <c r="BY162" s="122"/>
      <c r="BZ162" s="122"/>
      <c r="CA162" s="122"/>
      <c r="CB162" s="122"/>
      <c r="CC162" s="122"/>
      <c r="CD162" s="122"/>
      <c r="CE162" s="122"/>
      <c r="CF162" s="122"/>
      <c r="CG162" s="122"/>
      <c r="CH162" s="122"/>
      <c r="CI162" s="122"/>
      <c r="CJ162" s="122"/>
      <c r="CK162" s="122"/>
      <c r="CL162" s="122"/>
      <c r="CM162" s="122"/>
      <c r="CN162" s="122"/>
      <c r="CO162" s="122"/>
      <c r="CP162" s="122"/>
      <c r="CQ162" s="122"/>
      <c r="CR162" s="122"/>
      <c r="CS162" s="122"/>
      <c r="CT162" s="122"/>
      <c r="CU162" s="122"/>
      <c r="CV162" s="122"/>
      <c r="CW162" s="122"/>
      <c r="CX162" s="122"/>
      <c r="CY162" s="122"/>
      <c r="CZ162" s="122"/>
      <c r="DA162" s="122"/>
      <c r="DB162" s="122"/>
      <c r="DC162" s="122"/>
      <c r="DD162" s="122"/>
      <c r="DE162" s="122"/>
      <c r="DF162" s="122"/>
      <c r="DG162" s="122"/>
      <c r="DH162" s="122"/>
      <c r="DI162" s="122"/>
      <c r="DJ162" s="122"/>
      <c r="DK162" s="122"/>
      <c r="DL162" s="122"/>
      <c r="DM162" s="122"/>
      <c r="DN162" s="122"/>
      <c r="DO162" s="122"/>
      <c r="DP162" s="122"/>
      <c r="DQ162" s="122"/>
      <c r="DR162" s="122"/>
      <c r="DS162" s="122"/>
      <c r="DT162" s="122"/>
      <c r="DU162" s="122"/>
      <c r="DV162" s="122"/>
      <c r="DW162" s="122"/>
      <c r="DX162" s="122"/>
      <c r="DY162" s="122"/>
      <c r="DZ162" s="122"/>
      <c r="EA162" s="122"/>
      <c r="EB162" s="122"/>
      <c r="EC162" s="122"/>
      <c r="ED162" s="122"/>
      <c r="EE162" s="122"/>
      <c r="EF162" s="122"/>
      <c r="EG162" s="122"/>
      <c r="EH162" s="122"/>
      <c r="EI162" s="122"/>
      <c r="EJ162" s="122"/>
      <c r="EK162" s="122"/>
      <c r="EL162" s="122"/>
      <c r="EM162" s="122"/>
      <c r="EN162" s="122"/>
      <c r="EO162" s="122"/>
      <c r="EP162" s="122"/>
      <c r="EQ162" s="122"/>
      <c r="ER162" s="122"/>
      <c r="ES162" s="122"/>
      <c r="ET162" s="122"/>
      <c r="EU162" s="122"/>
      <c r="EV162" s="122"/>
      <c r="EW162" s="122"/>
      <c r="EX162" s="122"/>
      <c r="EY162" s="122"/>
      <c r="EZ162" s="122"/>
      <c r="FA162" s="122"/>
      <c r="FB162" s="122"/>
      <c r="FC162" s="122"/>
      <c r="FD162" s="122"/>
      <c r="FE162" s="122"/>
      <c r="FF162" s="122"/>
      <c r="FG162" s="122"/>
      <c r="FH162" s="122"/>
      <c r="FI162" s="122"/>
      <c r="FJ162" s="122"/>
      <c r="FK162" s="122"/>
      <c r="FL162" s="122"/>
      <c r="FM162" s="122"/>
      <c r="FN162" s="122"/>
      <c r="FO162" s="122"/>
      <c r="FP162" s="122"/>
      <c r="FQ162" s="122"/>
      <c r="FR162" s="122"/>
      <c r="FS162" s="122"/>
      <c r="FT162" s="122"/>
      <c r="FU162" s="122"/>
      <c r="FV162" s="122"/>
      <c r="FW162" s="122"/>
      <c r="FX162" s="122"/>
      <c r="FY162" s="122"/>
      <c r="FZ162" s="122"/>
      <c r="GA162" s="122"/>
      <c r="GB162" s="122"/>
      <c r="GC162" s="122"/>
      <c r="GD162" s="122"/>
      <c r="GE162" s="122"/>
      <c r="GF162" s="122"/>
      <c r="GG162" s="122"/>
      <c r="GH162" s="122"/>
      <c r="GI162" s="122"/>
    </row>
    <row r="163" spans="1:191" s="13" customFormat="1" ht="20.25" customHeight="1">
      <c r="A163" s="117">
        <v>78</v>
      </c>
      <c r="B163" s="147"/>
      <c r="C163" s="143"/>
      <c r="D163" s="102">
        <f t="shared" ref="D163" si="80">IFERROR(SUMPRODUCT(F163:HE163,$F$6:$HE$6)/100,0)</f>
        <v>0</v>
      </c>
      <c r="E163" s="103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  <c r="AS163" s="122"/>
      <c r="AT163" s="122"/>
      <c r="AU163" s="122"/>
      <c r="AV163" s="122"/>
      <c r="AW163" s="122"/>
      <c r="AX163" s="122"/>
      <c r="AY163" s="122"/>
      <c r="AZ163" s="122"/>
      <c r="BA163" s="122"/>
      <c r="BB163" s="122"/>
      <c r="BC163" s="122"/>
      <c r="BD163" s="122"/>
      <c r="BE163" s="122"/>
      <c r="BF163" s="122"/>
      <c r="BG163" s="122"/>
      <c r="BH163" s="122"/>
      <c r="BI163" s="122"/>
      <c r="BJ163" s="122"/>
      <c r="BK163" s="122"/>
      <c r="BL163" s="122"/>
      <c r="BM163" s="122"/>
      <c r="BN163" s="122"/>
      <c r="BO163" s="122"/>
      <c r="BP163" s="122"/>
      <c r="BQ163" s="122"/>
      <c r="BR163" s="122"/>
      <c r="BS163" s="123"/>
      <c r="BT163" s="123"/>
      <c r="BU163" s="122"/>
      <c r="BV163" s="122"/>
      <c r="BW163" s="122"/>
      <c r="BX163" s="122"/>
      <c r="BY163" s="122"/>
      <c r="BZ163" s="122"/>
      <c r="CA163" s="122"/>
      <c r="CB163" s="122"/>
      <c r="CC163" s="122"/>
      <c r="CD163" s="122"/>
      <c r="CE163" s="122"/>
      <c r="CF163" s="122"/>
      <c r="CG163" s="122"/>
      <c r="CH163" s="122"/>
      <c r="CI163" s="122"/>
      <c r="CJ163" s="122"/>
      <c r="CK163" s="122"/>
      <c r="CL163" s="122"/>
      <c r="CM163" s="122"/>
      <c r="CN163" s="122"/>
      <c r="CO163" s="122"/>
      <c r="CP163" s="122"/>
      <c r="CQ163" s="122"/>
      <c r="CR163" s="122"/>
      <c r="CS163" s="122"/>
      <c r="CT163" s="122"/>
      <c r="CU163" s="122"/>
      <c r="CV163" s="122"/>
      <c r="CW163" s="122"/>
      <c r="CX163" s="122"/>
      <c r="CY163" s="122"/>
      <c r="CZ163" s="122"/>
      <c r="DA163" s="122"/>
      <c r="DB163" s="122"/>
      <c r="DC163" s="122"/>
      <c r="DD163" s="122"/>
      <c r="DE163" s="122"/>
      <c r="DF163" s="122"/>
      <c r="DG163" s="122"/>
      <c r="DH163" s="122"/>
      <c r="DI163" s="122"/>
      <c r="DJ163" s="122"/>
      <c r="DK163" s="122"/>
      <c r="DL163" s="122"/>
      <c r="DM163" s="122"/>
      <c r="DN163" s="122"/>
      <c r="DO163" s="122"/>
      <c r="DP163" s="122"/>
      <c r="DQ163" s="122"/>
      <c r="DR163" s="122"/>
      <c r="DS163" s="122"/>
      <c r="DT163" s="122"/>
      <c r="DU163" s="122"/>
      <c r="DV163" s="122"/>
      <c r="DW163" s="122"/>
      <c r="DX163" s="122"/>
      <c r="DY163" s="122"/>
      <c r="DZ163" s="122"/>
      <c r="EA163" s="122"/>
      <c r="EB163" s="122"/>
      <c r="EC163" s="122"/>
      <c r="ED163" s="122"/>
      <c r="EE163" s="122"/>
      <c r="EF163" s="122"/>
      <c r="EG163" s="122"/>
      <c r="EH163" s="122"/>
      <c r="EI163" s="122"/>
      <c r="EJ163" s="122"/>
      <c r="EK163" s="122"/>
      <c r="EL163" s="122"/>
      <c r="EM163" s="122"/>
      <c r="EN163" s="122"/>
      <c r="EO163" s="122"/>
      <c r="EP163" s="122"/>
      <c r="EQ163" s="122"/>
      <c r="ER163" s="122"/>
      <c r="ES163" s="122"/>
      <c r="ET163" s="122"/>
      <c r="EU163" s="122"/>
      <c r="EV163" s="122"/>
      <c r="EW163" s="122"/>
      <c r="EX163" s="122"/>
      <c r="EY163" s="122"/>
      <c r="EZ163" s="122"/>
      <c r="FA163" s="122"/>
      <c r="FB163" s="122"/>
      <c r="FC163" s="122"/>
      <c r="FD163" s="122"/>
      <c r="FE163" s="122"/>
      <c r="FF163" s="122"/>
      <c r="FG163" s="122"/>
      <c r="FH163" s="122"/>
      <c r="FI163" s="122"/>
      <c r="FJ163" s="122"/>
      <c r="FK163" s="122"/>
      <c r="FL163" s="122"/>
      <c r="FM163" s="122"/>
      <c r="FN163" s="122"/>
      <c r="FO163" s="122"/>
      <c r="FP163" s="122"/>
      <c r="FQ163" s="122"/>
      <c r="FR163" s="122"/>
      <c r="FS163" s="122"/>
      <c r="FT163" s="122"/>
      <c r="FU163" s="122"/>
      <c r="FV163" s="122"/>
      <c r="FW163" s="122"/>
      <c r="FX163" s="122"/>
      <c r="FY163" s="122"/>
      <c r="FZ163" s="122"/>
      <c r="GA163" s="122"/>
      <c r="GB163" s="122"/>
      <c r="GC163" s="122"/>
      <c r="GD163" s="122"/>
      <c r="GE163" s="122"/>
      <c r="GF163" s="122"/>
      <c r="GG163" s="122"/>
      <c r="GH163" s="122"/>
      <c r="GI163" s="122"/>
    </row>
    <row r="164" spans="1:191" s="13" customFormat="1" ht="20.25" customHeight="1">
      <c r="A164" s="117"/>
      <c r="B164" s="147"/>
      <c r="C164" s="143"/>
      <c r="D164" s="121"/>
      <c r="E164" s="103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  <c r="AS164" s="122"/>
      <c r="AT164" s="122"/>
      <c r="AU164" s="122"/>
      <c r="AV164" s="122"/>
      <c r="AW164" s="122"/>
      <c r="AX164" s="122"/>
      <c r="AY164" s="122"/>
      <c r="AZ164" s="122"/>
      <c r="BA164" s="122"/>
      <c r="BB164" s="122"/>
      <c r="BC164" s="122"/>
      <c r="BD164" s="122"/>
      <c r="BE164" s="122"/>
      <c r="BF164" s="122"/>
      <c r="BG164" s="122"/>
      <c r="BH164" s="122"/>
      <c r="BI164" s="122"/>
      <c r="BJ164" s="122"/>
      <c r="BK164" s="122"/>
      <c r="BL164" s="122"/>
      <c r="BM164" s="122"/>
      <c r="BN164" s="122"/>
      <c r="BO164" s="122"/>
      <c r="BP164" s="122"/>
      <c r="BQ164" s="122"/>
      <c r="BR164" s="122"/>
      <c r="BS164" s="123"/>
      <c r="BT164" s="123"/>
      <c r="BU164" s="122"/>
      <c r="BV164" s="122"/>
      <c r="BW164" s="122"/>
      <c r="BX164" s="122"/>
      <c r="BY164" s="122"/>
      <c r="BZ164" s="122"/>
      <c r="CA164" s="122"/>
      <c r="CB164" s="122"/>
      <c r="CC164" s="122"/>
      <c r="CD164" s="122"/>
      <c r="CE164" s="122"/>
      <c r="CF164" s="122"/>
      <c r="CG164" s="122"/>
      <c r="CH164" s="122"/>
      <c r="CI164" s="122"/>
      <c r="CJ164" s="122"/>
      <c r="CK164" s="122"/>
      <c r="CL164" s="122"/>
      <c r="CM164" s="122"/>
      <c r="CN164" s="122"/>
      <c r="CO164" s="122"/>
      <c r="CP164" s="122"/>
      <c r="CQ164" s="122"/>
      <c r="CR164" s="122"/>
      <c r="CS164" s="122"/>
      <c r="CT164" s="122"/>
      <c r="CU164" s="122"/>
      <c r="CV164" s="122"/>
      <c r="CW164" s="122"/>
      <c r="CX164" s="122"/>
      <c r="CY164" s="122"/>
      <c r="CZ164" s="122"/>
      <c r="DA164" s="122"/>
      <c r="DB164" s="122"/>
      <c r="DC164" s="122"/>
      <c r="DD164" s="122"/>
      <c r="DE164" s="122"/>
      <c r="DF164" s="122"/>
      <c r="DG164" s="122"/>
      <c r="DH164" s="122"/>
      <c r="DI164" s="122"/>
      <c r="DJ164" s="122"/>
      <c r="DK164" s="122"/>
      <c r="DL164" s="122"/>
      <c r="DM164" s="122"/>
      <c r="DN164" s="122"/>
      <c r="DO164" s="122"/>
      <c r="DP164" s="122"/>
      <c r="DQ164" s="122"/>
      <c r="DR164" s="122"/>
      <c r="DS164" s="122"/>
      <c r="DT164" s="122"/>
      <c r="DU164" s="122"/>
      <c r="DV164" s="122"/>
      <c r="DW164" s="122"/>
      <c r="DX164" s="122"/>
      <c r="DY164" s="122"/>
      <c r="DZ164" s="122"/>
      <c r="EA164" s="122"/>
      <c r="EB164" s="122"/>
      <c r="EC164" s="122"/>
      <c r="ED164" s="122"/>
      <c r="EE164" s="122"/>
      <c r="EF164" s="122"/>
      <c r="EG164" s="122"/>
      <c r="EH164" s="122"/>
      <c r="EI164" s="122"/>
      <c r="EJ164" s="122"/>
      <c r="EK164" s="122"/>
      <c r="EL164" s="122"/>
      <c r="EM164" s="122"/>
      <c r="EN164" s="122"/>
      <c r="EO164" s="122"/>
      <c r="EP164" s="122"/>
      <c r="EQ164" s="122"/>
      <c r="ER164" s="122"/>
      <c r="ES164" s="122"/>
      <c r="ET164" s="122"/>
      <c r="EU164" s="122"/>
      <c r="EV164" s="122"/>
      <c r="EW164" s="122"/>
      <c r="EX164" s="122"/>
      <c r="EY164" s="122"/>
      <c r="EZ164" s="122"/>
      <c r="FA164" s="122"/>
      <c r="FB164" s="122"/>
      <c r="FC164" s="122"/>
      <c r="FD164" s="122"/>
      <c r="FE164" s="122"/>
      <c r="FF164" s="122"/>
      <c r="FG164" s="122"/>
      <c r="FH164" s="122"/>
      <c r="FI164" s="122"/>
      <c r="FJ164" s="122"/>
      <c r="FK164" s="122"/>
      <c r="FL164" s="122"/>
      <c r="FM164" s="122"/>
      <c r="FN164" s="122"/>
      <c r="FO164" s="122"/>
      <c r="FP164" s="122"/>
      <c r="FQ164" s="122"/>
      <c r="FR164" s="122"/>
      <c r="FS164" s="122"/>
      <c r="FT164" s="122"/>
      <c r="FU164" s="122"/>
      <c r="FV164" s="122"/>
      <c r="FW164" s="122"/>
      <c r="FX164" s="122"/>
      <c r="FY164" s="122"/>
      <c r="FZ164" s="122"/>
      <c r="GA164" s="122"/>
      <c r="GB164" s="122"/>
      <c r="GC164" s="122"/>
      <c r="GD164" s="122"/>
      <c r="GE164" s="122"/>
      <c r="GF164" s="122"/>
      <c r="GG164" s="122"/>
      <c r="GH164" s="122"/>
      <c r="GI164" s="122"/>
    </row>
    <row r="165" spans="1:191" s="13" customFormat="1" ht="20.25" customHeight="1">
      <c r="A165" s="117">
        <v>79</v>
      </c>
      <c r="B165" s="147"/>
      <c r="C165" s="143"/>
      <c r="D165" s="102">
        <f t="shared" ref="D165" si="81">IFERROR(SUMPRODUCT(F165:HE165,$F$6:$HE$6)/100,0)</f>
        <v>0</v>
      </c>
      <c r="E165" s="103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  <c r="AS165" s="122"/>
      <c r="AT165" s="122"/>
      <c r="AU165" s="122"/>
      <c r="AV165" s="122"/>
      <c r="AW165" s="122"/>
      <c r="AX165" s="122"/>
      <c r="AY165" s="122"/>
      <c r="AZ165" s="122"/>
      <c r="BA165" s="122"/>
      <c r="BB165" s="122"/>
      <c r="BC165" s="122"/>
      <c r="BD165" s="122"/>
      <c r="BE165" s="122"/>
      <c r="BF165" s="122"/>
      <c r="BG165" s="122"/>
      <c r="BH165" s="122"/>
      <c r="BI165" s="122"/>
      <c r="BJ165" s="122"/>
      <c r="BK165" s="122"/>
      <c r="BL165" s="122"/>
      <c r="BM165" s="122"/>
      <c r="BN165" s="122"/>
      <c r="BO165" s="122"/>
      <c r="BP165" s="122"/>
      <c r="BQ165" s="122"/>
      <c r="BR165" s="122"/>
      <c r="BS165" s="123"/>
      <c r="BT165" s="123"/>
      <c r="BU165" s="122"/>
      <c r="BV165" s="122"/>
      <c r="BW165" s="122"/>
      <c r="BX165" s="122"/>
      <c r="BY165" s="122"/>
      <c r="BZ165" s="122"/>
      <c r="CA165" s="122"/>
      <c r="CB165" s="122"/>
      <c r="CC165" s="122"/>
      <c r="CD165" s="122"/>
      <c r="CE165" s="122"/>
      <c r="CF165" s="122"/>
      <c r="CG165" s="122"/>
      <c r="CH165" s="122"/>
      <c r="CI165" s="122"/>
      <c r="CJ165" s="122"/>
      <c r="CK165" s="122"/>
      <c r="CL165" s="122"/>
      <c r="CM165" s="122"/>
      <c r="CN165" s="122"/>
      <c r="CO165" s="122"/>
      <c r="CP165" s="122"/>
      <c r="CQ165" s="122"/>
      <c r="CR165" s="122"/>
      <c r="CS165" s="122"/>
      <c r="CT165" s="122"/>
      <c r="CU165" s="122"/>
      <c r="CV165" s="122"/>
      <c r="CW165" s="122"/>
      <c r="CX165" s="122"/>
      <c r="CY165" s="122"/>
      <c r="CZ165" s="122"/>
      <c r="DA165" s="122"/>
      <c r="DB165" s="122"/>
      <c r="DC165" s="122"/>
      <c r="DD165" s="122"/>
      <c r="DE165" s="122"/>
      <c r="DF165" s="122"/>
      <c r="DG165" s="122"/>
      <c r="DH165" s="122"/>
      <c r="DI165" s="122"/>
      <c r="DJ165" s="122"/>
      <c r="DK165" s="122"/>
      <c r="DL165" s="122"/>
      <c r="DM165" s="122"/>
      <c r="DN165" s="122"/>
      <c r="DO165" s="122"/>
      <c r="DP165" s="122"/>
      <c r="DQ165" s="122"/>
      <c r="DR165" s="122"/>
      <c r="DS165" s="122"/>
      <c r="DT165" s="122"/>
      <c r="DU165" s="122"/>
      <c r="DV165" s="122"/>
      <c r="DW165" s="122"/>
      <c r="DX165" s="122"/>
      <c r="DY165" s="122"/>
      <c r="DZ165" s="122"/>
      <c r="EA165" s="122"/>
      <c r="EB165" s="122"/>
      <c r="EC165" s="122"/>
      <c r="ED165" s="122"/>
      <c r="EE165" s="122"/>
      <c r="EF165" s="122"/>
      <c r="EG165" s="122"/>
      <c r="EH165" s="122"/>
      <c r="EI165" s="122"/>
      <c r="EJ165" s="122"/>
      <c r="EK165" s="122"/>
      <c r="EL165" s="122"/>
      <c r="EM165" s="122"/>
      <c r="EN165" s="122"/>
      <c r="EO165" s="122"/>
      <c r="EP165" s="122"/>
      <c r="EQ165" s="122"/>
      <c r="ER165" s="122"/>
      <c r="ES165" s="122"/>
      <c r="ET165" s="122"/>
      <c r="EU165" s="122"/>
      <c r="EV165" s="122"/>
      <c r="EW165" s="122"/>
      <c r="EX165" s="122"/>
      <c r="EY165" s="122"/>
      <c r="EZ165" s="122"/>
      <c r="FA165" s="122"/>
      <c r="FB165" s="122"/>
      <c r="FC165" s="122"/>
      <c r="FD165" s="122"/>
      <c r="FE165" s="122"/>
      <c r="FF165" s="122"/>
      <c r="FG165" s="122"/>
      <c r="FH165" s="122"/>
      <c r="FI165" s="122"/>
      <c r="FJ165" s="122"/>
      <c r="FK165" s="122"/>
      <c r="FL165" s="122"/>
      <c r="FM165" s="122"/>
      <c r="FN165" s="122"/>
      <c r="FO165" s="122"/>
      <c r="FP165" s="122"/>
      <c r="FQ165" s="122"/>
      <c r="FR165" s="122"/>
      <c r="FS165" s="122"/>
      <c r="FT165" s="122"/>
      <c r="FU165" s="122"/>
      <c r="FV165" s="122"/>
      <c r="FW165" s="122"/>
      <c r="FX165" s="122"/>
      <c r="FY165" s="122"/>
      <c r="FZ165" s="122"/>
      <c r="GA165" s="122"/>
      <c r="GB165" s="122"/>
      <c r="GC165" s="122"/>
      <c r="GD165" s="122"/>
      <c r="GE165" s="122"/>
      <c r="GF165" s="122"/>
      <c r="GG165" s="122"/>
      <c r="GH165" s="122"/>
      <c r="GI165" s="122"/>
    </row>
    <row r="166" spans="1:191" s="13" customFormat="1" ht="20.25" customHeight="1">
      <c r="A166" s="117"/>
      <c r="B166" s="124"/>
      <c r="C166" s="120"/>
      <c r="D166" s="121"/>
      <c r="E166" s="103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  <c r="AS166" s="122"/>
      <c r="AT166" s="122"/>
      <c r="AU166" s="122"/>
      <c r="AV166" s="122"/>
      <c r="AW166" s="122"/>
      <c r="AX166" s="122"/>
      <c r="AY166" s="122"/>
      <c r="AZ166" s="122"/>
      <c r="BA166" s="122"/>
      <c r="BB166" s="122"/>
      <c r="BC166" s="122"/>
      <c r="BD166" s="122"/>
      <c r="BE166" s="122"/>
      <c r="BF166" s="122"/>
      <c r="BG166" s="122"/>
      <c r="BH166" s="122"/>
      <c r="BI166" s="122"/>
      <c r="BJ166" s="122"/>
      <c r="BK166" s="122"/>
      <c r="BL166" s="122"/>
      <c r="BM166" s="122"/>
      <c r="BN166" s="122"/>
      <c r="BO166" s="122"/>
      <c r="BP166" s="122"/>
      <c r="BQ166" s="122"/>
      <c r="BR166" s="122"/>
      <c r="BS166" s="123"/>
      <c r="BT166" s="123"/>
      <c r="BU166" s="122"/>
      <c r="BV166" s="122"/>
      <c r="BW166" s="122"/>
      <c r="BX166" s="122"/>
      <c r="BY166" s="122"/>
      <c r="BZ166" s="122"/>
      <c r="CA166" s="122"/>
      <c r="CB166" s="122"/>
      <c r="CC166" s="122"/>
      <c r="CD166" s="122"/>
      <c r="CE166" s="122"/>
      <c r="CF166" s="122"/>
      <c r="CG166" s="122"/>
      <c r="CH166" s="122"/>
      <c r="CI166" s="122"/>
      <c r="CJ166" s="122"/>
      <c r="CK166" s="122"/>
      <c r="CL166" s="122"/>
      <c r="CM166" s="122"/>
      <c r="CN166" s="122"/>
      <c r="CO166" s="122"/>
      <c r="CP166" s="122"/>
      <c r="CQ166" s="122"/>
      <c r="CR166" s="122"/>
      <c r="CS166" s="122"/>
      <c r="CT166" s="122"/>
      <c r="CU166" s="122"/>
      <c r="CV166" s="122"/>
      <c r="CW166" s="122"/>
      <c r="CX166" s="122"/>
      <c r="CY166" s="122"/>
      <c r="CZ166" s="122"/>
      <c r="DA166" s="122"/>
      <c r="DB166" s="122"/>
      <c r="DC166" s="122"/>
      <c r="DD166" s="122"/>
      <c r="DE166" s="122"/>
      <c r="DF166" s="122"/>
      <c r="DG166" s="122"/>
      <c r="DH166" s="122"/>
      <c r="DI166" s="122"/>
      <c r="DJ166" s="122"/>
      <c r="DK166" s="122"/>
      <c r="DL166" s="122"/>
      <c r="DM166" s="122"/>
      <c r="DN166" s="122"/>
      <c r="DO166" s="122"/>
      <c r="DP166" s="122"/>
      <c r="DQ166" s="122"/>
      <c r="DR166" s="122"/>
      <c r="DS166" s="122"/>
      <c r="DT166" s="122"/>
      <c r="DU166" s="122"/>
      <c r="DV166" s="122"/>
      <c r="DW166" s="122"/>
      <c r="DX166" s="122"/>
      <c r="DY166" s="122"/>
      <c r="DZ166" s="122"/>
      <c r="EA166" s="122"/>
      <c r="EB166" s="122"/>
      <c r="EC166" s="122"/>
      <c r="ED166" s="122"/>
      <c r="EE166" s="122"/>
      <c r="EF166" s="122"/>
      <c r="EG166" s="122"/>
      <c r="EH166" s="122"/>
      <c r="EI166" s="122"/>
      <c r="EJ166" s="122"/>
      <c r="EK166" s="122"/>
      <c r="EL166" s="122"/>
      <c r="EM166" s="122"/>
      <c r="EN166" s="122"/>
      <c r="EO166" s="122"/>
      <c r="EP166" s="122"/>
      <c r="EQ166" s="122"/>
      <c r="ER166" s="122"/>
      <c r="ES166" s="122"/>
      <c r="ET166" s="122"/>
      <c r="EU166" s="122"/>
      <c r="EV166" s="122"/>
      <c r="EW166" s="122"/>
      <c r="EX166" s="122"/>
      <c r="EY166" s="122"/>
      <c r="EZ166" s="122"/>
      <c r="FA166" s="122"/>
      <c r="FB166" s="122"/>
      <c r="FC166" s="122"/>
      <c r="FD166" s="122"/>
      <c r="FE166" s="122"/>
      <c r="FF166" s="122"/>
      <c r="FG166" s="122"/>
      <c r="FH166" s="122"/>
      <c r="FI166" s="122"/>
      <c r="FJ166" s="122"/>
      <c r="FK166" s="122"/>
      <c r="FL166" s="122"/>
      <c r="FM166" s="122"/>
      <c r="FN166" s="122"/>
      <c r="FO166" s="122"/>
      <c r="FP166" s="122"/>
      <c r="FQ166" s="122"/>
      <c r="FR166" s="122"/>
      <c r="FS166" s="122"/>
      <c r="FT166" s="122"/>
      <c r="FU166" s="122"/>
      <c r="FV166" s="122"/>
      <c r="FW166" s="122"/>
      <c r="FX166" s="122"/>
      <c r="FY166" s="122"/>
      <c r="FZ166" s="122"/>
      <c r="GA166" s="122"/>
      <c r="GB166" s="122"/>
      <c r="GC166" s="122"/>
      <c r="GD166" s="122"/>
      <c r="GE166" s="122"/>
      <c r="GF166" s="122"/>
      <c r="GG166" s="122"/>
      <c r="GH166" s="122"/>
      <c r="GI166" s="122"/>
    </row>
    <row r="167" spans="1:191" s="13" customFormat="1" ht="20.25" customHeight="1">
      <c r="A167" s="117">
        <v>80</v>
      </c>
      <c r="B167" s="124"/>
      <c r="C167" s="120"/>
      <c r="D167" s="102">
        <f t="shared" ref="D167" si="82">IFERROR(SUMPRODUCT(F167:HE167,$F$6:$HE$6)/100,0)</f>
        <v>0</v>
      </c>
      <c r="E167" s="103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  <c r="AS167" s="122"/>
      <c r="AT167" s="122"/>
      <c r="AU167" s="122"/>
      <c r="AV167" s="122"/>
      <c r="AW167" s="122"/>
      <c r="AX167" s="122"/>
      <c r="AY167" s="122"/>
      <c r="AZ167" s="122"/>
      <c r="BA167" s="122"/>
      <c r="BB167" s="122"/>
      <c r="BC167" s="122"/>
      <c r="BD167" s="122"/>
      <c r="BE167" s="122"/>
      <c r="BF167" s="122"/>
      <c r="BG167" s="122"/>
      <c r="BH167" s="122"/>
      <c r="BI167" s="122"/>
      <c r="BJ167" s="122"/>
      <c r="BK167" s="122"/>
      <c r="BL167" s="122"/>
      <c r="BM167" s="122"/>
      <c r="BN167" s="122"/>
      <c r="BO167" s="122"/>
      <c r="BP167" s="122"/>
      <c r="BQ167" s="122"/>
      <c r="BR167" s="122"/>
      <c r="BS167" s="123"/>
      <c r="BT167" s="123"/>
      <c r="BU167" s="122"/>
      <c r="BV167" s="122"/>
      <c r="BW167" s="122"/>
      <c r="BX167" s="122"/>
      <c r="BY167" s="122"/>
      <c r="BZ167" s="122"/>
      <c r="CA167" s="122"/>
      <c r="CB167" s="122"/>
      <c r="CC167" s="122"/>
      <c r="CD167" s="122"/>
      <c r="CE167" s="122"/>
      <c r="CF167" s="122"/>
      <c r="CG167" s="122"/>
      <c r="CH167" s="122"/>
      <c r="CI167" s="122"/>
      <c r="CJ167" s="122"/>
      <c r="CK167" s="122"/>
      <c r="CL167" s="122"/>
      <c r="CM167" s="122"/>
      <c r="CN167" s="122"/>
      <c r="CO167" s="122"/>
      <c r="CP167" s="122"/>
      <c r="CQ167" s="122"/>
      <c r="CR167" s="122"/>
      <c r="CS167" s="122"/>
      <c r="CT167" s="122"/>
      <c r="CU167" s="122"/>
      <c r="CV167" s="122"/>
      <c r="CW167" s="122"/>
      <c r="CX167" s="122"/>
      <c r="CY167" s="122"/>
      <c r="CZ167" s="122"/>
      <c r="DA167" s="122"/>
      <c r="DB167" s="122"/>
      <c r="DC167" s="122"/>
      <c r="DD167" s="122"/>
      <c r="DE167" s="122"/>
      <c r="DF167" s="122"/>
      <c r="DG167" s="122"/>
      <c r="DH167" s="122"/>
      <c r="DI167" s="122"/>
      <c r="DJ167" s="122"/>
      <c r="DK167" s="122"/>
      <c r="DL167" s="122"/>
      <c r="DM167" s="122"/>
      <c r="DN167" s="122"/>
      <c r="DO167" s="122"/>
      <c r="DP167" s="122"/>
      <c r="DQ167" s="122"/>
      <c r="DR167" s="122"/>
      <c r="DS167" s="122"/>
      <c r="DT167" s="122"/>
      <c r="DU167" s="122"/>
      <c r="DV167" s="122"/>
      <c r="DW167" s="122"/>
      <c r="DX167" s="122"/>
      <c r="DY167" s="122"/>
      <c r="DZ167" s="122"/>
      <c r="EA167" s="122"/>
      <c r="EB167" s="122"/>
      <c r="EC167" s="122"/>
      <c r="ED167" s="122"/>
      <c r="EE167" s="122"/>
      <c r="EF167" s="122"/>
      <c r="EG167" s="122"/>
      <c r="EH167" s="122"/>
      <c r="EI167" s="122"/>
      <c r="EJ167" s="122"/>
      <c r="EK167" s="122"/>
      <c r="EL167" s="122"/>
      <c r="EM167" s="122"/>
      <c r="EN167" s="122"/>
      <c r="EO167" s="122"/>
      <c r="EP167" s="122"/>
      <c r="EQ167" s="122"/>
      <c r="ER167" s="122"/>
      <c r="ES167" s="122"/>
      <c r="ET167" s="122"/>
      <c r="EU167" s="122"/>
      <c r="EV167" s="122"/>
      <c r="EW167" s="122"/>
      <c r="EX167" s="122"/>
      <c r="EY167" s="122"/>
      <c r="EZ167" s="122"/>
      <c r="FA167" s="122"/>
      <c r="FB167" s="122"/>
      <c r="FC167" s="122"/>
      <c r="FD167" s="122"/>
      <c r="FE167" s="122"/>
      <c r="FF167" s="122"/>
      <c r="FG167" s="122"/>
      <c r="FH167" s="122"/>
      <c r="FI167" s="122"/>
      <c r="FJ167" s="122"/>
      <c r="FK167" s="122"/>
      <c r="FL167" s="122"/>
      <c r="FM167" s="122"/>
      <c r="FN167" s="122"/>
      <c r="FO167" s="122"/>
      <c r="FP167" s="122"/>
      <c r="FQ167" s="122"/>
      <c r="FR167" s="122"/>
      <c r="FS167" s="122"/>
      <c r="FT167" s="122"/>
      <c r="FU167" s="122"/>
      <c r="FV167" s="122"/>
      <c r="FW167" s="122"/>
      <c r="FX167" s="122"/>
      <c r="FY167" s="122"/>
      <c r="FZ167" s="122"/>
      <c r="GA167" s="122"/>
      <c r="GB167" s="122"/>
      <c r="GC167" s="122"/>
      <c r="GD167" s="122"/>
      <c r="GE167" s="122"/>
      <c r="GF167" s="122"/>
      <c r="GG167" s="122"/>
      <c r="GH167" s="122"/>
      <c r="GI167" s="122"/>
    </row>
    <row r="168" spans="1:191" s="13" customFormat="1" ht="20.25" customHeight="1">
      <c r="A168" s="117"/>
      <c r="B168" s="124"/>
      <c r="C168" s="120"/>
      <c r="D168" s="121"/>
      <c r="E168" s="103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  <c r="AS168" s="122"/>
      <c r="AT168" s="122"/>
      <c r="AU168" s="122"/>
      <c r="AV168" s="122"/>
      <c r="AW168" s="122"/>
      <c r="AX168" s="122"/>
      <c r="AY168" s="122"/>
      <c r="AZ168" s="122"/>
      <c r="BA168" s="122"/>
      <c r="BB168" s="122"/>
      <c r="BC168" s="122"/>
      <c r="BD168" s="122"/>
      <c r="BE168" s="122"/>
      <c r="BF168" s="122"/>
      <c r="BG168" s="122"/>
      <c r="BH168" s="122"/>
      <c r="BI168" s="122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23"/>
      <c r="BT168" s="123"/>
      <c r="BU168" s="122"/>
      <c r="BV168" s="122"/>
      <c r="BW168" s="122"/>
      <c r="BX168" s="122"/>
      <c r="BY168" s="122"/>
      <c r="BZ168" s="122"/>
      <c r="CA168" s="122"/>
      <c r="CB168" s="122"/>
      <c r="CC168" s="122"/>
      <c r="CD168" s="122"/>
      <c r="CE168" s="122"/>
      <c r="CF168" s="122"/>
      <c r="CG168" s="122"/>
      <c r="CH168" s="122"/>
      <c r="CI168" s="122"/>
      <c r="CJ168" s="122"/>
      <c r="CK168" s="122"/>
      <c r="CL168" s="122"/>
      <c r="CM168" s="122"/>
      <c r="CN168" s="122"/>
      <c r="CO168" s="122"/>
      <c r="CP168" s="122"/>
      <c r="CQ168" s="122"/>
      <c r="CR168" s="122"/>
      <c r="CS168" s="122"/>
      <c r="CT168" s="122"/>
      <c r="CU168" s="122"/>
      <c r="CV168" s="122"/>
      <c r="CW168" s="122"/>
      <c r="CX168" s="122"/>
      <c r="CY168" s="122"/>
      <c r="CZ168" s="122"/>
      <c r="DA168" s="122"/>
      <c r="DB168" s="122"/>
      <c r="DC168" s="122"/>
      <c r="DD168" s="122"/>
      <c r="DE168" s="122"/>
      <c r="DF168" s="122"/>
      <c r="DG168" s="122"/>
      <c r="DH168" s="122"/>
      <c r="DI168" s="122"/>
      <c r="DJ168" s="122"/>
      <c r="DK168" s="122"/>
      <c r="DL168" s="122"/>
      <c r="DM168" s="122"/>
      <c r="DN168" s="122"/>
      <c r="DO168" s="122"/>
      <c r="DP168" s="122"/>
      <c r="DQ168" s="122"/>
      <c r="DR168" s="122"/>
      <c r="DS168" s="122"/>
      <c r="DT168" s="122"/>
      <c r="DU168" s="122"/>
      <c r="DV168" s="122"/>
      <c r="DW168" s="122"/>
      <c r="DX168" s="122"/>
      <c r="DY168" s="122"/>
      <c r="DZ168" s="122"/>
      <c r="EA168" s="122"/>
      <c r="EB168" s="122"/>
      <c r="EC168" s="122"/>
      <c r="ED168" s="122"/>
      <c r="EE168" s="122"/>
      <c r="EF168" s="122"/>
      <c r="EG168" s="122"/>
      <c r="EH168" s="122"/>
      <c r="EI168" s="122"/>
      <c r="EJ168" s="122"/>
      <c r="EK168" s="122"/>
      <c r="EL168" s="122"/>
      <c r="EM168" s="122"/>
      <c r="EN168" s="122"/>
      <c r="EO168" s="122"/>
      <c r="EP168" s="122"/>
      <c r="EQ168" s="122"/>
      <c r="ER168" s="122"/>
      <c r="ES168" s="122"/>
      <c r="ET168" s="122"/>
      <c r="EU168" s="122"/>
      <c r="EV168" s="122"/>
      <c r="EW168" s="122"/>
      <c r="EX168" s="122"/>
      <c r="EY168" s="122"/>
      <c r="EZ168" s="122"/>
      <c r="FA168" s="122"/>
      <c r="FB168" s="122"/>
      <c r="FC168" s="122"/>
      <c r="FD168" s="122"/>
      <c r="FE168" s="122"/>
      <c r="FF168" s="122"/>
      <c r="FG168" s="122"/>
      <c r="FH168" s="122"/>
      <c r="FI168" s="122"/>
      <c r="FJ168" s="122"/>
      <c r="FK168" s="122"/>
      <c r="FL168" s="122"/>
      <c r="FM168" s="122"/>
      <c r="FN168" s="122"/>
      <c r="FO168" s="122"/>
      <c r="FP168" s="122"/>
      <c r="FQ168" s="122"/>
      <c r="FR168" s="122"/>
      <c r="FS168" s="122"/>
      <c r="FT168" s="122"/>
      <c r="FU168" s="122"/>
      <c r="FV168" s="122"/>
      <c r="FW168" s="122"/>
      <c r="FX168" s="122"/>
      <c r="FY168" s="122"/>
      <c r="FZ168" s="122"/>
      <c r="GA168" s="122"/>
      <c r="GB168" s="122"/>
      <c r="GC168" s="122"/>
      <c r="GD168" s="122"/>
      <c r="GE168" s="122"/>
      <c r="GF168" s="122"/>
      <c r="GG168" s="122"/>
      <c r="GH168" s="122"/>
      <c r="GI168" s="122"/>
    </row>
    <row r="169" spans="1:191" s="13" customFormat="1" ht="20.25" customHeight="1">
      <c r="A169" s="117">
        <v>81</v>
      </c>
      <c r="B169" s="124"/>
      <c r="C169" s="120"/>
      <c r="D169" s="102">
        <f t="shared" ref="D169" si="83">IFERROR(SUMPRODUCT(F169:HE169,$F$6:$HE$6)/100,0)</f>
        <v>0</v>
      </c>
      <c r="E169" s="103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  <c r="BJ169" s="122"/>
      <c r="BK169" s="122"/>
      <c r="BL169" s="122"/>
      <c r="BM169" s="122"/>
      <c r="BN169" s="122"/>
      <c r="BO169" s="122"/>
      <c r="BP169" s="122"/>
      <c r="BQ169" s="122"/>
      <c r="BR169" s="122"/>
      <c r="BS169" s="123"/>
      <c r="BT169" s="123"/>
      <c r="BU169" s="122"/>
      <c r="BV169" s="122"/>
      <c r="BW169" s="122"/>
      <c r="BX169" s="122"/>
      <c r="BY169" s="122"/>
      <c r="BZ169" s="122"/>
      <c r="CA169" s="122"/>
      <c r="CB169" s="122"/>
      <c r="CC169" s="122"/>
      <c r="CD169" s="122"/>
      <c r="CE169" s="122"/>
      <c r="CF169" s="122"/>
      <c r="CG169" s="122"/>
      <c r="CH169" s="122"/>
      <c r="CI169" s="122"/>
      <c r="CJ169" s="122"/>
      <c r="CK169" s="122"/>
      <c r="CL169" s="122"/>
      <c r="CM169" s="122"/>
      <c r="CN169" s="122"/>
      <c r="CO169" s="122"/>
      <c r="CP169" s="122"/>
      <c r="CQ169" s="122"/>
      <c r="CR169" s="122"/>
      <c r="CS169" s="122"/>
      <c r="CT169" s="122"/>
      <c r="CU169" s="122"/>
      <c r="CV169" s="122"/>
      <c r="CW169" s="122"/>
      <c r="CX169" s="122"/>
      <c r="CY169" s="122"/>
      <c r="CZ169" s="122"/>
      <c r="DA169" s="122"/>
      <c r="DB169" s="122"/>
      <c r="DC169" s="122"/>
      <c r="DD169" s="122"/>
      <c r="DE169" s="122"/>
      <c r="DF169" s="122"/>
      <c r="DG169" s="122"/>
      <c r="DH169" s="122"/>
      <c r="DI169" s="122"/>
      <c r="DJ169" s="122"/>
      <c r="DK169" s="122"/>
      <c r="DL169" s="122"/>
      <c r="DM169" s="122"/>
      <c r="DN169" s="122"/>
      <c r="DO169" s="122"/>
      <c r="DP169" s="122"/>
      <c r="DQ169" s="122"/>
      <c r="DR169" s="122"/>
      <c r="DS169" s="122"/>
      <c r="DT169" s="122"/>
      <c r="DU169" s="122"/>
      <c r="DV169" s="122"/>
      <c r="DW169" s="122"/>
      <c r="DX169" s="122"/>
      <c r="DY169" s="122"/>
      <c r="DZ169" s="122"/>
      <c r="EA169" s="122"/>
      <c r="EB169" s="122"/>
      <c r="EC169" s="122"/>
      <c r="ED169" s="122"/>
      <c r="EE169" s="122"/>
      <c r="EF169" s="122"/>
      <c r="EG169" s="122"/>
      <c r="EH169" s="122"/>
      <c r="EI169" s="122"/>
      <c r="EJ169" s="122"/>
      <c r="EK169" s="122"/>
      <c r="EL169" s="122"/>
      <c r="EM169" s="122"/>
      <c r="EN169" s="122"/>
      <c r="EO169" s="122"/>
      <c r="EP169" s="122"/>
      <c r="EQ169" s="122"/>
      <c r="ER169" s="122"/>
      <c r="ES169" s="122"/>
      <c r="ET169" s="122"/>
      <c r="EU169" s="122"/>
      <c r="EV169" s="122"/>
      <c r="EW169" s="122"/>
      <c r="EX169" s="122"/>
      <c r="EY169" s="122"/>
      <c r="EZ169" s="122"/>
      <c r="FA169" s="122"/>
      <c r="FB169" s="122"/>
      <c r="FC169" s="122"/>
      <c r="FD169" s="122"/>
      <c r="FE169" s="122"/>
      <c r="FF169" s="122"/>
      <c r="FG169" s="122"/>
      <c r="FH169" s="122"/>
      <c r="FI169" s="122"/>
      <c r="FJ169" s="122"/>
      <c r="FK169" s="122"/>
      <c r="FL169" s="122"/>
      <c r="FM169" s="122"/>
      <c r="FN169" s="122"/>
      <c r="FO169" s="122"/>
      <c r="FP169" s="122"/>
      <c r="FQ169" s="122"/>
      <c r="FR169" s="122"/>
      <c r="FS169" s="122"/>
      <c r="FT169" s="122"/>
      <c r="FU169" s="122"/>
      <c r="FV169" s="122"/>
      <c r="FW169" s="122"/>
      <c r="FX169" s="122"/>
      <c r="FY169" s="122"/>
      <c r="FZ169" s="122"/>
      <c r="GA169" s="122"/>
      <c r="GB169" s="122"/>
      <c r="GC169" s="122"/>
      <c r="GD169" s="122"/>
      <c r="GE169" s="122"/>
      <c r="GF169" s="122"/>
      <c r="GG169" s="122"/>
      <c r="GH169" s="122"/>
      <c r="GI169" s="122"/>
    </row>
    <row r="170" spans="1:191" s="13" customFormat="1" ht="20.25" customHeight="1">
      <c r="A170" s="117"/>
      <c r="B170" s="124"/>
      <c r="C170" s="120"/>
      <c r="D170" s="121"/>
      <c r="E170" s="103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  <c r="AS170" s="122"/>
      <c r="AT170" s="122"/>
      <c r="AU170" s="122"/>
      <c r="AV170" s="122"/>
      <c r="AW170" s="122"/>
      <c r="AX170" s="122"/>
      <c r="AY170" s="122"/>
      <c r="AZ170" s="122"/>
      <c r="BA170" s="122"/>
      <c r="BB170" s="122"/>
      <c r="BC170" s="122"/>
      <c r="BD170" s="122"/>
      <c r="BE170" s="122"/>
      <c r="BF170" s="122"/>
      <c r="BG170" s="122"/>
      <c r="BH170" s="122"/>
      <c r="BI170" s="122"/>
      <c r="BJ170" s="122"/>
      <c r="BK170" s="122"/>
      <c r="BL170" s="122"/>
      <c r="BM170" s="122"/>
      <c r="BN170" s="122"/>
      <c r="BO170" s="122"/>
      <c r="BP170" s="122"/>
      <c r="BQ170" s="122"/>
      <c r="BR170" s="122"/>
      <c r="BS170" s="123"/>
      <c r="BT170" s="123"/>
      <c r="BU170" s="122"/>
      <c r="BV170" s="122"/>
      <c r="BW170" s="122"/>
      <c r="BX170" s="122"/>
      <c r="BY170" s="122"/>
      <c r="BZ170" s="122"/>
      <c r="CA170" s="122"/>
      <c r="CB170" s="122"/>
      <c r="CC170" s="122"/>
      <c r="CD170" s="122"/>
      <c r="CE170" s="122"/>
      <c r="CF170" s="122"/>
      <c r="CG170" s="122"/>
      <c r="CH170" s="122"/>
      <c r="CI170" s="122"/>
      <c r="CJ170" s="122"/>
      <c r="CK170" s="122"/>
      <c r="CL170" s="122"/>
      <c r="CM170" s="122"/>
      <c r="CN170" s="122"/>
      <c r="CO170" s="122"/>
      <c r="CP170" s="122"/>
      <c r="CQ170" s="122"/>
      <c r="CR170" s="122"/>
      <c r="CS170" s="122"/>
      <c r="CT170" s="122"/>
      <c r="CU170" s="122"/>
      <c r="CV170" s="122"/>
      <c r="CW170" s="122"/>
      <c r="CX170" s="122"/>
      <c r="CY170" s="122"/>
      <c r="CZ170" s="122"/>
      <c r="DA170" s="122"/>
      <c r="DB170" s="122"/>
      <c r="DC170" s="122"/>
      <c r="DD170" s="122"/>
      <c r="DE170" s="122"/>
      <c r="DF170" s="122"/>
      <c r="DG170" s="122"/>
      <c r="DH170" s="122"/>
      <c r="DI170" s="122"/>
      <c r="DJ170" s="122"/>
      <c r="DK170" s="122"/>
      <c r="DL170" s="122"/>
      <c r="DM170" s="122"/>
      <c r="DN170" s="122"/>
      <c r="DO170" s="122"/>
      <c r="DP170" s="122"/>
      <c r="DQ170" s="122"/>
      <c r="DR170" s="122"/>
      <c r="DS170" s="122"/>
      <c r="DT170" s="122"/>
      <c r="DU170" s="122"/>
      <c r="DV170" s="122"/>
      <c r="DW170" s="122"/>
      <c r="DX170" s="122"/>
      <c r="DY170" s="122"/>
      <c r="DZ170" s="122"/>
      <c r="EA170" s="122"/>
      <c r="EB170" s="122"/>
      <c r="EC170" s="122"/>
      <c r="ED170" s="122"/>
      <c r="EE170" s="122"/>
      <c r="EF170" s="122"/>
      <c r="EG170" s="122"/>
      <c r="EH170" s="122"/>
      <c r="EI170" s="122"/>
      <c r="EJ170" s="122"/>
      <c r="EK170" s="122"/>
      <c r="EL170" s="122"/>
      <c r="EM170" s="122"/>
      <c r="EN170" s="122"/>
      <c r="EO170" s="122"/>
      <c r="EP170" s="122"/>
      <c r="EQ170" s="122"/>
      <c r="ER170" s="122"/>
      <c r="ES170" s="122"/>
      <c r="ET170" s="122"/>
      <c r="EU170" s="122"/>
      <c r="EV170" s="122"/>
      <c r="EW170" s="122"/>
      <c r="EX170" s="122"/>
      <c r="EY170" s="122"/>
      <c r="EZ170" s="122"/>
      <c r="FA170" s="122"/>
      <c r="FB170" s="122"/>
      <c r="FC170" s="122"/>
      <c r="FD170" s="122"/>
      <c r="FE170" s="122"/>
      <c r="FF170" s="122"/>
      <c r="FG170" s="122"/>
      <c r="FH170" s="122"/>
      <c r="FI170" s="122"/>
      <c r="FJ170" s="122"/>
      <c r="FK170" s="122"/>
      <c r="FL170" s="122"/>
      <c r="FM170" s="122"/>
      <c r="FN170" s="122"/>
      <c r="FO170" s="122"/>
      <c r="FP170" s="122"/>
      <c r="FQ170" s="122"/>
      <c r="FR170" s="122"/>
      <c r="FS170" s="122"/>
      <c r="FT170" s="122"/>
      <c r="FU170" s="122"/>
      <c r="FV170" s="122"/>
      <c r="FW170" s="122"/>
      <c r="FX170" s="122"/>
      <c r="FY170" s="122"/>
      <c r="FZ170" s="122"/>
      <c r="GA170" s="122"/>
      <c r="GB170" s="122"/>
      <c r="GC170" s="122"/>
      <c r="GD170" s="122"/>
      <c r="GE170" s="122"/>
      <c r="GF170" s="122"/>
      <c r="GG170" s="122"/>
      <c r="GH170" s="122"/>
      <c r="GI170" s="122"/>
    </row>
    <row r="171" spans="1:191" s="13" customFormat="1" ht="20.25" customHeight="1">
      <c r="A171" s="117">
        <v>82</v>
      </c>
      <c r="B171" s="124"/>
      <c r="C171" s="120"/>
      <c r="D171" s="102">
        <f t="shared" ref="D171" si="84">IFERROR(SUMPRODUCT(F171:HE171,$F$6:$HE$6)/100,0)</f>
        <v>0</v>
      </c>
      <c r="E171" s="103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  <c r="AS171" s="122"/>
      <c r="AT171" s="122"/>
      <c r="AU171" s="122"/>
      <c r="AV171" s="122"/>
      <c r="AW171" s="122"/>
      <c r="AX171" s="122"/>
      <c r="AY171" s="122"/>
      <c r="AZ171" s="122"/>
      <c r="BA171" s="122"/>
      <c r="BB171" s="122"/>
      <c r="BC171" s="122"/>
      <c r="BD171" s="122"/>
      <c r="BE171" s="122"/>
      <c r="BF171" s="122"/>
      <c r="BG171" s="122"/>
      <c r="BH171" s="122"/>
      <c r="BI171" s="122"/>
      <c r="BJ171" s="122"/>
      <c r="BK171" s="122"/>
      <c r="BL171" s="122"/>
      <c r="BM171" s="122"/>
      <c r="BN171" s="122"/>
      <c r="BO171" s="122"/>
      <c r="BP171" s="122"/>
      <c r="BQ171" s="122"/>
      <c r="BR171" s="122"/>
      <c r="BS171" s="123"/>
      <c r="BT171" s="123"/>
      <c r="BU171" s="122"/>
      <c r="BV171" s="122"/>
      <c r="BW171" s="122"/>
      <c r="BX171" s="122"/>
      <c r="BY171" s="122"/>
      <c r="BZ171" s="122"/>
      <c r="CA171" s="122"/>
      <c r="CB171" s="122"/>
      <c r="CC171" s="122"/>
      <c r="CD171" s="122"/>
      <c r="CE171" s="122"/>
      <c r="CF171" s="122"/>
      <c r="CG171" s="122"/>
      <c r="CH171" s="122"/>
      <c r="CI171" s="122"/>
      <c r="CJ171" s="122"/>
      <c r="CK171" s="122"/>
      <c r="CL171" s="122"/>
      <c r="CM171" s="122"/>
      <c r="CN171" s="122"/>
      <c r="CO171" s="122"/>
      <c r="CP171" s="122"/>
      <c r="CQ171" s="122"/>
      <c r="CR171" s="122"/>
      <c r="CS171" s="122"/>
      <c r="CT171" s="122"/>
      <c r="CU171" s="122"/>
      <c r="CV171" s="122"/>
      <c r="CW171" s="122"/>
      <c r="CX171" s="122"/>
      <c r="CY171" s="122"/>
      <c r="CZ171" s="122"/>
      <c r="DA171" s="122"/>
      <c r="DB171" s="122"/>
      <c r="DC171" s="122"/>
      <c r="DD171" s="122"/>
      <c r="DE171" s="122"/>
      <c r="DF171" s="122"/>
      <c r="DG171" s="122"/>
      <c r="DH171" s="122"/>
      <c r="DI171" s="122"/>
      <c r="DJ171" s="122"/>
      <c r="DK171" s="122"/>
      <c r="DL171" s="122"/>
      <c r="DM171" s="122"/>
      <c r="DN171" s="122"/>
      <c r="DO171" s="122"/>
      <c r="DP171" s="122"/>
      <c r="DQ171" s="122"/>
      <c r="DR171" s="122"/>
      <c r="DS171" s="122"/>
      <c r="DT171" s="122"/>
      <c r="DU171" s="122"/>
      <c r="DV171" s="122"/>
      <c r="DW171" s="122"/>
      <c r="DX171" s="122"/>
      <c r="DY171" s="122"/>
      <c r="DZ171" s="122"/>
      <c r="EA171" s="122"/>
      <c r="EB171" s="122"/>
      <c r="EC171" s="122"/>
      <c r="ED171" s="122"/>
      <c r="EE171" s="122"/>
      <c r="EF171" s="122"/>
      <c r="EG171" s="122"/>
      <c r="EH171" s="122"/>
      <c r="EI171" s="122"/>
      <c r="EJ171" s="122"/>
      <c r="EK171" s="122"/>
      <c r="EL171" s="122"/>
      <c r="EM171" s="122"/>
      <c r="EN171" s="122"/>
      <c r="EO171" s="122"/>
      <c r="EP171" s="122"/>
      <c r="EQ171" s="122"/>
      <c r="ER171" s="122"/>
      <c r="ES171" s="122"/>
      <c r="ET171" s="122"/>
      <c r="EU171" s="122"/>
      <c r="EV171" s="122"/>
      <c r="EW171" s="122"/>
      <c r="EX171" s="122"/>
      <c r="EY171" s="122"/>
      <c r="EZ171" s="122"/>
      <c r="FA171" s="122"/>
      <c r="FB171" s="122"/>
      <c r="FC171" s="122"/>
      <c r="FD171" s="122"/>
      <c r="FE171" s="122"/>
      <c r="FF171" s="122"/>
      <c r="FG171" s="122"/>
      <c r="FH171" s="122"/>
      <c r="FI171" s="122"/>
      <c r="FJ171" s="122"/>
      <c r="FK171" s="122"/>
      <c r="FL171" s="122"/>
      <c r="FM171" s="122"/>
      <c r="FN171" s="122"/>
      <c r="FO171" s="122"/>
      <c r="FP171" s="122"/>
      <c r="FQ171" s="122"/>
      <c r="FR171" s="122"/>
      <c r="FS171" s="122"/>
      <c r="FT171" s="122"/>
      <c r="FU171" s="122"/>
      <c r="FV171" s="122"/>
      <c r="FW171" s="122"/>
      <c r="FX171" s="122"/>
      <c r="FY171" s="122"/>
      <c r="FZ171" s="122"/>
      <c r="GA171" s="122"/>
      <c r="GB171" s="122"/>
      <c r="GC171" s="122"/>
      <c r="GD171" s="122"/>
      <c r="GE171" s="122"/>
      <c r="GF171" s="122"/>
      <c r="GG171" s="122"/>
      <c r="GH171" s="122"/>
      <c r="GI171" s="122"/>
    </row>
    <row r="172" spans="1:191" s="13" customFormat="1" ht="20.25" customHeight="1">
      <c r="A172" s="117"/>
      <c r="B172" s="124"/>
      <c r="C172" s="120"/>
      <c r="D172" s="121"/>
      <c r="E172" s="103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  <c r="AS172" s="122"/>
      <c r="AT172" s="122"/>
      <c r="AU172" s="122"/>
      <c r="AV172" s="122"/>
      <c r="AW172" s="122"/>
      <c r="AX172" s="122"/>
      <c r="AY172" s="122"/>
      <c r="AZ172" s="122"/>
      <c r="BA172" s="122"/>
      <c r="BB172" s="122"/>
      <c r="BC172" s="122"/>
      <c r="BD172" s="122"/>
      <c r="BE172" s="122"/>
      <c r="BF172" s="122"/>
      <c r="BG172" s="122"/>
      <c r="BH172" s="122"/>
      <c r="BI172" s="122"/>
      <c r="BJ172" s="122"/>
      <c r="BK172" s="122"/>
      <c r="BL172" s="122"/>
      <c r="BM172" s="122"/>
      <c r="BN172" s="122"/>
      <c r="BO172" s="122"/>
      <c r="BP172" s="122"/>
      <c r="BQ172" s="122"/>
      <c r="BR172" s="122"/>
      <c r="BS172" s="123"/>
      <c r="BT172" s="123"/>
      <c r="BU172" s="122"/>
      <c r="BV172" s="122"/>
      <c r="BW172" s="122"/>
      <c r="BX172" s="122"/>
      <c r="BY172" s="122"/>
      <c r="BZ172" s="122"/>
      <c r="CA172" s="122"/>
      <c r="CB172" s="122"/>
      <c r="CC172" s="122"/>
      <c r="CD172" s="122"/>
      <c r="CE172" s="122"/>
      <c r="CF172" s="122"/>
      <c r="CG172" s="122"/>
      <c r="CH172" s="122"/>
      <c r="CI172" s="122"/>
      <c r="CJ172" s="122"/>
      <c r="CK172" s="122"/>
      <c r="CL172" s="122"/>
      <c r="CM172" s="122"/>
      <c r="CN172" s="122"/>
      <c r="CO172" s="122"/>
      <c r="CP172" s="122"/>
      <c r="CQ172" s="122"/>
      <c r="CR172" s="122"/>
      <c r="CS172" s="122"/>
      <c r="CT172" s="122"/>
      <c r="CU172" s="122"/>
      <c r="CV172" s="122"/>
      <c r="CW172" s="122"/>
      <c r="CX172" s="122"/>
      <c r="CY172" s="122"/>
      <c r="CZ172" s="122"/>
      <c r="DA172" s="122"/>
      <c r="DB172" s="122"/>
      <c r="DC172" s="122"/>
      <c r="DD172" s="122"/>
      <c r="DE172" s="122"/>
      <c r="DF172" s="122"/>
      <c r="DG172" s="122"/>
      <c r="DH172" s="122"/>
      <c r="DI172" s="122"/>
      <c r="DJ172" s="122"/>
      <c r="DK172" s="122"/>
      <c r="DL172" s="122"/>
      <c r="DM172" s="122"/>
      <c r="DN172" s="122"/>
      <c r="DO172" s="122"/>
      <c r="DP172" s="122"/>
      <c r="DQ172" s="122"/>
      <c r="DR172" s="122"/>
      <c r="DS172" s="122"/>
      <c r="DT172" s="122"/>
      <c r="DU172" s="122"/>
      <c r="DV172" s="122"/>
      <c r="DW172" s="122"/>
      <c r="DX172" s="122"/>
      <c r="DY172" s="122"/>
      <c r="DZ172" s="122"/>
      <c r="EA172" s="122"/>
      <c r="EB172" s="122"/>
      <c r="EC172" s="122"/>
      <c r="ED172" s="122"/>
      <c r="EE172" s="122"/>
      <c r="EF172" s="122"/>
      <c r="EG172" s="122"/>
      <c r="EH172" s="122"/>
      <c r="EI172" s="122"/>
      <c r="EJ172" s="122"/>
      <c r="EK172" s="122"/>
      <c r="EL172" s="122"/>
      <c r="EM172" s="122"/>
      <c r="EN172" s="122"/>
      <c r="EO172" s="122"/>
      <c r="EP172" s="122"/>
      <c r="EQ172" s="122"/>
      <c r="ER172" s="122"/>
      <c r="ES172" s="122"/>
      <c r="ET172" s="122"/>
      <c r="EU172" s="122"/>
      <c r="EV172" s="122"/>
      <c r="EW172" s="122"/>
      <c r="EX172" s="122"/>
      <c r="EY172" s="122"/>
      <c r="EZ172" s="122"/>
      <c r="FA172" s="122"/>
      <c r="FB172" s="122"/>
      <c r="FC172" s="122"/>
      <c r="FD172" s="122"/>
      <c r="FE172" s="122"/>
      <c r="FF172" s="122"/>
      <c r="FG172" s="122"/>
      <c r="FH172" s="122"/>
      <c r="FI172" s="122"/>
      <c r="FJ172" s="122"/>
      <c r="FK172" s="122"/>
      <c r="FL172" s="122"/>
      <c r="FM172" s="122"/>
      <c r="FN172" s="122"/>
      <c r="FO172" s="122"/>
      <c r="FP172" s="122"/>
      <c r="FQ172" s="122"/>
      <c r="FR172" s="122"/>
      <c r="FS172" s="122"/>
      <c r="FT172" s="122"/>
      <c r="FU172" s="122"/>
      <c r="FV172" s="122"/>
      <c r="FW172" s="122"/>
      <c r="FX172" s="122"/>
      <c r="FY172" s="122"/>
      <c r="FZ172" s="122"/>
      <c r="GA172" s="122"/>
      <c r="GB172" s="122"/>
      <c r="GC172" s="122"/>
      <c r="GD172" s="122"/>
      <c r="GE172" s="122"/>
      <c r="GF172" s="122"/>
      <c r="GG172" s="122"/>
      <c r="GH172" s="122"/>
      <c r="GI172" s="122"/>
    </row>
    <row r="173" spans="1:191" s="13" customFormat="1" ht="20.25" customHeight="1">
      <c r="A173" s="117">
        <v>83</v>
      </c>
      <c r="B173" s="124"/>
      <c r="C173" s="120"/>
      <c r="D173" s="102">
        <f t="shared" ref="D173" si="85">IFERROR(SUMPRODUCT(F173:HE173,$F$6:$HE$6)/100,0)</f>
        <v>0</v>
      </c>
      <c r="E173" s="103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122"/>
      <c r="AQ173" s="122"/>
      <c r="AR173" s="122"/>
      <c r="AS173" s="122"/>
      <c r="AT173" s="122"/>
      <c r="AU173" s="122"/>
      <c r="AV173" s="122"/>
      <c r="AW173" s="122"/>
      <c r="AX173" s="122"/>
      <c r="AY173" s="122"/>
      <c r="AZ173" s="122"/>
      <c r="BA173" s="122"/>
      <c r="BB173" s="122"/>
      <c r="BC173" s="122"/>
      <c r="BD173" s="122"/>
      <c r="BE173" s="122"/>
      <c r="BF173" s="122"/>
      <c r="BG173" s="122"/>
      <c r="BH173" s="122"/>
      <c r="BI173" s="122"/>
      <c r="BJ173" s="122"/>
      <c r="BK173" s="122"/>
      <c r="BL173" s="122"/>
      <c r="BM173" s="122"/>
      <c r="BN173" s="122"/>
      <c r="BO173" s="122"/>
      <c r="BP173" s="122"/>
      <c r="BQ173" s="122"/>
      <c r="BR173" s="122"/>
      <c r="BS173" s="123"/>
      <c r="BT173" s="123"/>
      <c r="BU173" s="122"/>
      <c r="BV173" s="122"/>
      <c r="BW173" s="122"/>
      <c r="BX173" s="122"/>
      <c r="BY173" s="122"/>
      <c r="BZ173" s="122"/>
      <c r="CA173" s="122"/>
      <c r="CB173" s="122"/>
      <c r="CC173" s="122"/>
      <c r="CD173" s="122"/>
      <c r="CE173" s="122"/>
      <c r="CF173" s="122"/>
      <c r="CG173" s="122"/>
      <c r="CH173" s="122"/>
      <c r="CI173" s="122"/>
      <c r="CJ173" s="122"/>
      <c r="CK173" s="122"/>
      <c r="CL173" s="122"/>
      <c r="CM173" s="122"/>
      <c r="CN173" s="122"/>
      <c r="CO173" s="122"/>
      <c r="CP173" s="122"/>
      <c r="CQ173" s="122"/>
      <c r="CR173" s="122"/>
      <c r="CS173" s="122"/>
      <c r="CT173" s="122"/>
      <c r="CU173" s="122"/>
      <c r="CV173" s="122"/>
      <c r="CW173" s="122"/>
      <c r="CX173" s="122"/>
      <c r="CY173" s="122"/>
      <c r="CZ173" s="122"/>
      <c r="DA173" s="122"/>
      <c r="DB173" s="122"/>
      <c r="DC173" s="122"/>
      <c r="DD173" s="122"/>
      <c r="DE173" s="122"/>
      <c r="DF173" s="122"/>
      <c r="DG173" s="122"/>
      <c r="DH173" s="122"/>
      <c r="DI173" s="122"/>
      <c r="DJ173" s="122"/>
      <c r="DK173" s="122"/>
      <c r="DL173" s="122"/>
      <c r="DM173" s="122"/>
      <c r="DN173" s="122"/>
      <c r="DO173" s="122"/>
      <c r="DP173" s="122"/>
      <c r="DQ173" s="122"/>
      <c r="DR173" s="122"/>
      <c r="DS173" s="122"/>
      <c r="DT173" s="122"/>
      <c r="DU173" s="122"/>
      <c r="DV173" s="122"/>
      <c r="DW173" s="122"/>
      <c r="DX173" s="122"/>
      <c r="DY173" s="122"/>
      <c r="DZ173" s="122"/>
      <c r="EA173" s="122"/>
      <c r="EB173" s="122"/>
      <c r="EC173" s="122"/>
      <c r="ED173" s="122"/>
      <c r="EE173" s="122"/>
      <c r="EF173" s="122"/>
      <c r="EG173" s="122"/>
      <c r="EH173" s="122"/>
      <c r="EI173" s="122"/>
      <c r="EJ173" s="122"/>
      <c r="EK173" s="122"/>
      <c r="EL173" s="122"/>
      <c r="EM173" s="122"/>
      <c r="EN173" s="122"/>
      <c r="EO173" s="122"/>
      <c r="EP173" s="122"/>
      <c r="EQ173" s="122"/>
      <c r="ER173" s="122"/>
      <c r="ES173" s="122"/>
      <c r="ET173" s="122"/>
      <c r="EU173" s="122"/>
      <c r="EV173" s="122"/>
      <c r="EW173" s="122"/>
      <c r="EX173" s="122"/>
      <c r="EY173" s="122"/>
      <c r="EZ173" s="122"/>
      <c r="FA173" s="122"/>
      <c r="FB173" s="122"/>
      <c r="FC173" s="122"/>
      <c r="FD173" s="122"/>
      <c r="FE173" s="122"/>
      <c r="FF173" s="122"/>
      <c r="FG173" s="122"/>
      <c r="FH173" s="122"/>
      <c r="FI173" s="122"/>
      <c r="FJ173" s="122"/>
      <c r="FK173" s="122"/>
      <c r="FL173" s="122"/>
      <c r="FM173" s="122"/>
      <c r="FN173" s="122"/>
      <c r="FO173" s="122"/>
      <c r="FP173" s="122"/>
      <c r="FQ173" s="122"/>
      <c r="FR173" s="122"/>
      <c r="FS173" s="122"/>
      <c r="FT173" s="122"/>
      <c r="FU173" s="122"/>
      <c r="FV173" s="122"/>
      <c r="FW173" s="122"/>
      <c r="FX173" s="122"/>
      <c r="FY173" s="122"/>
      <c r="FZ173" s="122"/>
      <c r="GA173" s="122"/>
      <c r="GB173" s="122"/>
      <c r="GC173" s="122"/>
      <c r="GD173" s="122"/>
      <c r="GE173" s="122"/>
      <c r="GF173" s="122"/>
      <c r="GG173" s="122"/>
      <c r="GH173" s="122"/>
      <c r="GI173" s="122"/>
    </row>
    <row r="174" spans="1:191" s="13" customFormat="1" ht="20.25" customHeight="1">
      <c r="A174" s="117"/>
      <c r="B174" s="125"/>
      <c r="C174" s="126"/>
      <c r="D174" s="121"/>
      <c r="E174" s="103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122"/>
      <c r="AQ174" s="122"/>
      <c r="AR174" s="122"/>
      <c r="AS174" s="122"/>
      <c r="AT174" s="122"/>
      <c r="AU174" s="122"/>
      <c r="AV174" s="122"/>
      <c r="AW174" s="122"/>
      <c r="AX174" s="122"/>
      <c r="AY174" s="122"/>
      <c r="AZ174" s="122"/>
      <c r="BA174" s="122"/>
      <c r="BB174" s="122"/>
      <c r="BC174" s="122"/>
      <c r="BD174" s="122"/>
      <c r="BE174" s="122"/>
      <c r="BF174" s="122"/>
      <c r="BG174" s="122"/>
      <c r="BH174" s="122"/>
      <c r="BI174" s="122"/>
      <c r="BJ174" s="122"/>
      <c r="BK174" s="122"/>
      <c r="BL174" s="122"/>
      <c r="BM174" s="122"/>
      <c r="BN174" s="122"/>
      <c r="BO174" s="122"/>
      <c r="BP174" s="122"/>
      <c r="BQ174" s="122"/>
      <c r="BR174" s="122"/>
      <c r="BS174" s="123"/>
      <c r="BT174" s="123"/>
      <c r="BU174" s="122"/>
      <c r="BV174" s="122"/>
      <c r="BW174" s="122"/>
      <c r="BX174" s="122"/>
      <c r="BY174" s="122"/>
      <c r="BZ174" s="122"/>
      <c r="CA174" s="122"/>
      <c r="CB174" s="122"/>
      <c r="CC174" s="122"/>
      <c r="CD174" s="122"/>
      <c r="CE174" s="122"/>
      <c r="CF174" s="122"/>
      <c r="CG174" s="122"/>
      <c r="CH174" s="122"/>
      <c r="CI174" s="122"/>
      <c r="CJ174" s="122"/>
      <c r="CK174" s="122"/>
      <c r="CL174" s="122"/>
      <c r="CM174" s="122"/>
      <c r="CN174" s="122"/>
      <c r="CO174" s="122"/>
      <c r="CP174" s="122"/>
      <c r="CQ174" s="122"/>
      <c r="CR174" s="122"/>
      <c r="CS174" s="122"/>
      <c r="CT174" s="122"/>
      <c r="CU174" s="122"/>
      <c r="CV174" s="122"/>
      <c r="CW174" s="122"/>
      <c r="CX174" s="122"/>
      <c r="CY174" s="122"/>
      <c r="CZ174" s="122"/>
      <c r="DA174" s="122"/>
      <c r="DB174" s="122"/>
      <c r="DC174" s="122"/>
      <c r="DD174" s="122"/>
      <c r="DE174" s="122"/>
      <c r="DF174" s="122"/>
      <c r="DG174" s="122"/>
      <c r="DH174" s="122"/>
      <c r="DI174" s="122"/>
      <c r="DJ174" s="122"/>
      <c r="DK174" s="122"/>
      <c r="DL174" s="122"/>
      <c r="DM174" s="122"/>
      <c r="DN174" s="122"/>
      <c r="DO174" s="122"/>
      <c r="DP174" s="122"/>
      <c r="DQ174" s="122"/>
      <c r="DR174" s="122"/>
      <c r="DS174" s="122"/>
      <c r="DT174" s="122"/>
      <c r="DU174" s="122"/>
      <c r="DV174" s="122"/>
      <c r="DW174" s="122"/>
      <c r="DX174" s="122"/>
      <c r="DY174" s="122"/>
      <c r="DZ174" s="122"/>
      <c r="EA174" s="122"/>
      <c r="EB174" s="122"/>
      <c r="EC174" s="122"/>
      <c r="ED174" s="122"/>
      <c r="EE174" s="122"/>
      <c r="EF174" s="122"/>
      <c r="EG174" s="122"/>
      <c r="EH174" s="122"/>
      <c r="EI174" s="122"/>
      <c r="EJ174" s="122"/>
      <c r="EK174" s="122"/>
      <c r="EL174" s="122"/>
      <c r="EM174" s="122"/>
      <c r="EN174" s="122"/>
      <c r="EO174" s="122"/>
      <c r="EP174" s="122"/>
      <c r="EQ174" s="122"/>
      <c r="ER174" s="122"/>
      <c r="ES174" s="122"/>
      <c r="ET174" s="122"/>
      <c r="EU174" s="122"/>
      <c r="EV174" s="122"/>
      <c r="EW174" s="122"/>
      <c r="EX174" s="122"/>
      <c r="EY174" s="122"/>
      <c r="EZ174" s="122"/>
      <c r="FA174" s="122"/>
      <c r="FB174" s="122"/>
      <c r="FC174" s="122"/>
      <c r="FD174" s="122"/>
      <c r="FE174" s="122"/>
      <c r="FF174" s="122"/>
      <c r="FG174" s="122"/>
      <c r="FH174" s="122"/>
      <c r="FI174" s="122"/>
      <c r="FJ174" s="122"/>
      <c r="FK174" s="122"/>
      <c r="FL174" s="122"/>
      <c r="FM174" s="122"/>
      <c r="FN174" s="122"/>
      <c r="FO174" s="122"/>
      <c r="FP174" s="122"/>
      <c r="FQ174" s="122"/>
      <c r="FR174" s="122"/>
      <c r="FS174" s="122"/>
      <c r="FT174" s="122"/>
      <c r="FU174" s="122"/>
      <c r="FV174" s="122"/>
      <c r="FW174" s="122"/>
      <c r="FX174" s="122"/>
      <c r="FY174" s="122"/>
      <c r="FZ174" s="122"/>
      <c r="GA174" s="122"/>
      <c r="GB174" s="122"/>
      <c r="GC174" s="122"/>
      <c r="GD174" s="122"/>
      <c r="GE174" s="122"/>
      <c r="GF174" s="122"/>
      <c r="GG174" s="122"/>
      <c r="GH174" s="122"/>
      <c r="GI174" s="122"/>
    </row>
    <row r="175" spans="1:191" s="13" customFormat="1" ht="20.25" customHeight="1">
      <c r="A175" s="117">
        <v>84</v>
      </c>
      <c r="B175" s="125"/>
      <c r="C175" s="126"/>
      <c r="D175" s="102">
        <f t="shared" ref="D175" si="86">IFERROR(SUMPRODUCT(F175:HE175,$F$6:$HE$6)/100,0)</f>
        <v>0</v>
      </c>
      <c r="E175" s="103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122"/>
      <c r="AQ175" s="122"/>
      <c r="AR175" s="122"/>
      <c r="AS175" s="122"/>
      <c r="AT175" s="122"/>
      <c r="AU175" s="122"/>
      <c r="AV175" s="122"/>
      <c r="AW175" s="122"/>
      <c r="AX175" s="122"/>
      <c r="AY175" s="122"/>
      <c r="AZ175" s="122"/>
      <c r="BA175" s="122"/>
      <c r="BB175" s="122"/>
      <c r="BC175" s="122"/>
      <c r="BD175" s="122"/>
      <c r="BE175" s="122"/>
      <c r="BF175" s="122"/>
      <c r="BG175" s="122"/>
      <c r="BH175" s="122"/>
      <c r="BI175" s="122"/>
      <c r="BJ175" s="122"/>
      <c r="BK175" s="122"/>
      <c r="BL175" s="122"/>
      <c r="BM175" s="122"/>
      <c r="BN175" s="122"/>
      <c r="BO175" s="122"/>
      <c r="BP175" s="122"/>
      <c r="BQ175" s="122"/>
      <c r="BR175" s="122"/>
      <c r="BS175" s="123"/>
      <c r="BT175" s="123"/>
      <c r="BU175" s="122"/>
      <c r="BV175" s="122"/>
      <c r="BW175" s="122"/>
      <c r="BX175" s="122"/>
      <c r="BY175" s="122"/>
      <c r="BZ175" s="122"/>
      <c r="CA175" s="122"/>
      <c r="CB175" s="122"/>
      <c r="CC175" s="122"/>
      <c r="CD175" s="122"/>
      <c r="CE175" s="122"/>
      <c r="CF175" s="122"/>
      <c r="CG175" s="122"/>
      <c r="CH175" s="122"/>
      <c r="CI175" s="122"/>
      <c r="CJ175" s="122"/>
      <c r="CK175" s="122"/>
      <c r="CL175" s="122"/>
      <c r="CM175" s="122"/>
      <c r="CN175" s="122"/>
      <c r="CO175" s="122"/>
      <c r="CP175" s="122"/>
      <c r="CQ175" s="122"/>
      <c r="CR175" s="122"/>
      <c r="CS175" s="122"/>
      <c r="CT175" s="122"/>
      <c r="CU175" s="122"/>
      <c r="CV175" s="122"/>
      <c r="CW175" s="122"/>
      <c r="CX175" s="122"/>
      <c r="CY175" s="122"/>
      <c r="CZ175" s="122"/>
      <c r="DA175" s="122"/>
      <c r="DB175" s="122"/>
      <c r="DC175" s="122"/>
      <c r="DD175" s="122"/>
      <c r="DE175" s="122"/>
      <c r="DF175" s="122"/>
      <c r="DG175" s="122"/>
      <c r="DH175" s="122"/>
      <c r="DI175" s="122"/>
      <c r="DJ175" s="122"/>
      <c r="DK175" s="122"/>
      <c r="DL175" s="122"/>
      <c r="DM175" s="122"/>
      <c r="DN175" s="122"/>
      <c r="DO175" s="122"/>
      <c r="DP175" s="122"/>
      <c r="DQ175" s="122"/>
      <c r="DR175" s="122"/>
      <c r="DS175" s="122"/>
      <c r="DT175" s="122"/>
      <c r="DU175" s="122"/>
      <c r="DV175" s="122"/>
      <c r="DW175" s="122"/>
      <c r="DX175" s="122"/>
      <c r="DY175" s="122"/>
      <c r="DZ175" s="122"/>
      <c r="EA175" s="122"/>
      <c r="EB175" s="122"/>
      <c r="EC175" s="122"/>
      <c r="ED175" s="122"/>
      <c r="EE175" s="122"/>
      <c r="EF175" s="122"/>
      <c r="EG175" s="122"/>
      <c r="EH175" s="122"/>
      <c r="EI175" s="122"/>
      <c r="EJ175" s="122"/>
      <c r="EK175" s="122"/>
      <c r="EL175" s="122"/>
      <c r="EM175" s="122"/>
      <c r="EN175" s="122"/>
      <c r="EO175" s="122"/>
      <c r="EP175" s="122"/>
      <c r="EQ175" s="122"/>
      <c r="ER175" s="122"/>
      <c r="ES175" s="122"/>
      <c r="ET175" s="122"/>
      <c r="EU175" s="122"/>
      <c r="EV175" s="122"/>
      <c r="EW175" s="122"/>
      <c r="EX175" s="122"/>
      <c r="EY175" s="122"/>
      <c r="EZ175" s="122"/>
      <c r="FA175" s="122"/>
      <c r="FB175" s="122"/>
      <c r="FC175" s="122"/>
      <c r="FD175" s="122"/>
      <c r="FE175" s="122"/>
      <c r="FF175" s="122"/>
      <c r="FG175" s="122"/>
      <c r="FH175" s="122"/>
      <c r="FI175" s="122"/>
      <c r="FJ175" s="122"/>
      <c r="FK175" s="122"/>
      <c r="FL175" s="122"/>
      <c r="FM175" s="122"/>
      <c r="FN175" s="122"/>
      <c r="FO175" s="122"/>
      <c r="FP175" s="122"/>
      <c r="FQ175" s="122"/>
      <c r="FR175" s="122"/>
      <c r="FS175" s="122"/>
      <c r="FT175" s="122"/>
      <c r="FU175" s="122"/>
      <c r="FV175" s="122"/>
      <c r="FW175" s="122"/>
      <c r="FX175" s="122"/>
      <c r="FY175" s="122"/>
      <c r="FZ175" s="122"/>
      <c r="GA175" s="122"/>
      <c r="GB175" s="122"/>
      <c r="GC175" s="122"/>
      <c r="GD175" s="122"/>
      <c r="GE175" s="122"/>
      <c r="GF175" s="122"/>
      <c r="GG175" s="122"/>
      <c r="GH175" s="122"/>
      <c r="GI175" s="122"/>
    </row>
    <row r="176" spans="1:191" s="13" customFormat="1" ht="20.25" customHeight="1">
      <c r="A176" s="117"/>
      <c r="B176" s="125"/>
      <c r="C176" s="126"/>
      <c r="D176" s="121"/>
      <c r="E176" s="103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122"/>
      <c r="AQ176" s="122"/>
      <c r="AR176" s="122"/>
      <c r="AS176" s="122"/>
      <c r="AT176" s="122"/>
      <c r="AU176" s="122"/>
      <c r="AV176" s="122"/>
      <c r="AW176" s="122"/>
      <c r="AX176" s="122"/>
      <c r="AY176" s="122"/>
      <c r="AZ176" s="122"/>
      <c r="BA176" s="122"/>
      <c r="BB176" s="122"/>
      <c r="BC176" s="122"/>
      <c r="BD176" s="122"/>
      <c r="BE176" s="122"/>
      <c r="BF176" s="122"/>
      <c r="BG176" s="122"/>
      <c r="BH176" s="122"/>
      <c r="BI176" s="122"/>
      <c r="BJ176" s="122"/>
      <c r="BK176" s="122"/>
      <c r="BL176" s="122"/>
      <c r="BM176" s="122"/>
      <c r="BN176" s="122"/>
      <c r="BO176" s="122"/>
      <c r="BP176" s="122"/>
      <c r="BQ176" s="122"/>
      <c r="BR176" s="122"/>
      <c r="BS176" s="123"/>
      <c r="BT176" s="123"/>
      <c r="BU176" s="122"/>
      <c r="BV176" s="122"/>
      <c r="BW176" s="122"/>
      <c r="BX176" s="122"/>
      <c r="BY176" s="122"/>
      <c r="BZ176" s="122"/>
      <c r="CA176" s="122"/>
      <c r="CB176" s="122"/>
      <c r="CC176" s="122"/>
      <c r="CD176" s="122"/>
      <c r="CE176" s="122"/>
      <c r="CF176" s="122"/>
      <c r="CG176" s="122"/>
      <c r="CH176" s="122"/>
      <c r="CI176" s="122"/>
      <c r="CJ176" s="122"/>
      <c r="CK176" s="122"/>
      <c r="CL176" s="122"/>
      <c r="CM176" s="122"/>
      <c r="CN176" s="122"/>
      <c r="CO176" s="122"/>
      <c r="CP176" s="122"/>
      <c r="CQ176" s="122"/>
      <c r="CR176" s="122"/>
      <c r="CS176" s="122"/>
      <c r="CT176" s="122"/>
      <c r="CU176" s="122"/>
      <c r="CV176" s="122"/>
      <c r="CW176" s="122"/>
      <c r="CX176" s="122"/>
      <c r="CY176" s="122"/>
      <c r="CZ176" s="122"/>
      <c r="DA176" s="122"/>
      <c r="DB176" s="122"/>
      <c r="DC176" s="122"/>
      <c r="DD176" s="122"/>
      <c r="DE176" s="122"/>
      <c r="DF176" s="122"/>
      <c r="DG176" s="122"/>
      <c r="DH176" s="122"/>
      <c r="DI176" s="122"/>
      <c r="DJ176" s="122"/>
      <c r="DK176" s="122"/>
      <c r="DL176" s="122"/>
      <c r="DM176" s="122"/>
      <c r="DN176" s="122"/>
      <c r="DO176" s="122"/>
      <c r="DP176" s="122"/>
      <c r="DQ176" s="122"/>
      <c r="DR176" s="122"/>
      <c r="DS176" s="122"/>
      <c r="DT176" s="122"/>
      <c r="DU176" s="122"/>
      <c r="DV176" s="122"/>
      <c r="DW176" s="122"/>
      <c r="DX176" s="122"/>
      <c r="DY176" s="122"/>
      <c r="DZ176" s="122"/>
      <c r="EA176" s="122"/>
      <c r="EB176" s="122"/>
      <c r="EC176" s="122"/>
      <c r="ED176" s="122"/>
      <c r="EE176" s="122"/>
      <c r="EF176" s="122"/>
      <c r="EG176" s="122"/>
      <c r="EH176" s="122"/>
      <c r="EI176" s="122"/>
      <c r="EJ176" s="122"/>
      <c r="EK176" s="122"/>
      <c r="EL176" s="122"/>
      <c r="EM176" s="122"/>
      <c r="EN176" s="122"/>
      <c r="EO176" s="122"/>
      <c r="EP176" s="122"/>
      <c r="EQ176" s="122"/>
      <c r="ER176" s="122"/>
      <c r="ES176" s="122"/>
      <c r="ET176" s="122"/>
      <c r="EU176" s="122"/>
      <c r="EV176" s="122"/>
      <c r="EW176" s="122"/>
      <c r="EX176" s="122"/>
      <c r="EY176" s="122"/>
      <c r="EZ176" s="122"/>
      <c r="FA176" s="122"/>
      <c r="FB176" s="122"/>
      <c r="FC176" s="122"/>
      <c r="FD176" s="122"/>
      <c r="FE176" s="122"/>
      <c r="FF176" s="122"/>
      <c r="FG176" s="122"/>
      <c r="FH176" s="122"/>
      <c r="FI176" s="122"/>
      <c r="FJ176" s="122"/>
      <c r="FK176" s="122"/>
      <c r="FL176" s="122"/>
      <c r="FM176" s="122"/>
      <c r="FN176" s="122"/>
      <c r="FO176" s="122"/>
      <c r="FP176" s="122"/>
      <c r="FQ176" s="122"/>
      <c r="FR176" s="122"/>
      <c r="FS176" s="122"/>
      <c r="FT176" s="122"/>
      <c r="FU176" s="122"/>
      <c r="FV176" s="122"/>
      <c r="FW176" s="122"/>
      <c r="FX176" s="122"/>
      <c r="FY176" s="122"/>
      <c r="FZ176" s="122"/>
      <c r="GA176" s="122"/>
      <c r="GB176" s="122"/>
      <c r="GC176" s="122"/>
      <c r="GD176" s="122"/>
      <c r="GE176" s="122"/>
      <c r="GF176" s="122"/>
      <c r="GG176" s="122"/>
      <c r="GH176" s="122"/>
      <c r="GI176" s="122"/>
    </row>
    <row r="177" spans="1:191" s="13" customFormat="1" ht="20.25" customHeight="1">
      <c r="A177" s="117">
        <v>85</v>
      </c>
      <c r="B177" s="125"/>
      <c r="C177" s="126"/>
      <c r="D177" s="102">
        <f t="shared" ref="D177" si="87">IFERROR(SUMPRODUCT(F177:HE177,$F$6:$HE$6)/100,0)</f>
        <v>0</v>
      </c>
      <c r="E177" s="103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122"/>
      <c r="AQ177" s="122"/>
      <c r="AR177" s="122"/>
      <c r="AS177" s="122"/>
      <c r="AT177" s="122"/>
      <c r="AU177" s="122"/>
      <c r="AV177" s="122"/>
      <c r="AW177" s="122"/>
      <c r="AX177" s="122"/>
      <c r="AY177" s="122"/>
      <c r="AZ177" s="122"/>
      <c r="BA177" s="122"/>
      <c r="BB177" s="122"/>
      <c r="BC177" s="122"/>
      <c r="BD177" s="122"/>
      <c r="BE177" s="122"/>
      <c r="BF177" s="122"/>
      <c r="BG177" s="122"/>
      <c r="BH177" s="122"/>
      <c r="BI177" s="122"/>
      <c r="BJ177" s="122"/>
      <c r="BK177" s="122"/>
      <c r="BL177" s="122"/>
      <c r="BM177" s="122"/>
      <c r="BN177" s="122"/>
      <c r="BO177" s="122"/>
      <c r="BP177" s="122"/>
      <c r="BQ177" s="122"/>
      <c r="BR177" s="122"/>
      <c r="BS177" s="123"/>
      <c r="BT177" s="123"/>
      <c r="BU177" s="122"/>
      <c r="BV177" s="122"/>
      <c r="BW177" s="122"/>
      <c r="BX177" s="122"/>
      <c r="BY177" s="122"/>
      <c r="BZ177" s="122"/>
      <c r="CA177" s="122"/>
      <c r="CB177" s="122"/>
      <c r="CC177" s="122"/>
      <c r="CD177" s="122"/>
      <c r="CE177" s="122"/>
      <c r="CF177" s="122"/>
      <c r="CG177" s="122"/>
      <c r="CH177" s="122"/>
      <c r="CI177" s="122"/>
      <c r="CJ177" s="122"/>
      <c r="CK177" s="122"/>
      <c r="CL177" s="122"/>
      <c r="CM177" s="122"/>
      <c r="CN177" s="122"/>
      <c r="CO177" s="122"/>
      <c r="CP177" s="122"/>
      <c r="CQ177" s="122"/>
      <c r="CR177" s="122"/>
      <c r="CS177" s="122"/>
      <c r="CT177" s="122"/>
      <c r="CU177" s="122"/>
      <c r="CV177" s="122"/>
      <c r="CW177" s="122"/>
      <c r="CX177" s="122"/>
      <c r="CY177" s="122"/>
      <c r="CZ177" s="122"/>
      <c r="DA177" s="122"/>
      <c r="DB177" s="122"/>
      <c r="DC177" s="122"/>
      <c r="DD177" s="122"/>
      <c r="DE177" s="122"/>
      <c r="DF177" s="122"/>
      <c r="DG177" s="122"/>
      <c r="DH177" s="122"/>
      <c r="DI177" s="122"/>
      <c r="DJ177" s="122"/>
      <c r="DK177" s="122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22"/>
      <c r="DV177" s="122"/>
      <c r="DW177" s="122"/>
      <c r="DX177" s="122"/>
      <c r="DY177" s="122"/>
      <c r="DZ177" s="122"/>
      <c r="EA177" s="122"/>
      <c r="EB177" s="122"/>
      <c r="EC177" s="122"/>
      <c r="ED177" s="122"/>
      <c r="EE177" s="122"/>
      <c r="EF177" s="122"/>
      <c r="EG177" s="122"/>
      <c r="EH177" s="122"/>
      <c r="EI177" s="122"/>
      <c r="EJ177" s="122"/>
      <c r="EK177" s="122"/>
      <c r="EL177" s="122"/>
      <c r="EM177" s="122"/>
      <c r="EN177" s="122"/>
      <c r="EO177" s="122"/>
      <c r="EP177" s="122"/>
      <c r="EQ177" s="122"/>
      <c r="ER177" s="122"/>
      <c r="ES177" s="122"/>
      <c r="ET177" s="122"/>
      <c r="EU177" s="122"/>
      <c r="EV177" s="122"/>
      <c r="EW177" s="122"/>
      <c r="EX177" s="122"/>
      <c r="EY177" s="122"/>
      <c r="EZ177" s="122"/>
      <c r="FA177" s="122"/>
      <c r="FB177" s="122"/>
      <c r="FC177" s="122"/>
      <c r="FD177" s="122"/>
      <c r="FE177" s="122"/>
      <c r="FF177" s="122"/>
      <c r="FG177" s="122"/>
      <c r="FH177" s="122"/>
      <c r="FI177" s="122"/>
      <c r="FJ177" s="122"/>
      <c r="FK177" s="122"/>
      <c r="FL177" s="122"/>
      <c r="FM177" s="122"/>
      <c r="FN177" s="122"/>
      <c r="FO177" s="122"/>
      <c r="FP177" s="122"/>
      <c r="FQ177" s="122"/>
      <c r="FR177" s="122"/>
      <c r="FS177" s="122"/>
      <c r="FT177" s="122"/>
      <c r="FU177" s="122"/>
      <c r="FV177" s="122"/>
      <c r="FW177" s="122"/>
      <c r="FX177" s="122"/>
      <c r="FY177" s="122"/>
      <c r="FZ177" s="122"/>
      <c r="GA177" s="122"/>
      <c r="GB177" s="122"/>
      <c r="GC177" s="122"/>
      <c r="GD177" s="122"/>
      <c r="GE177" s="122"/>
      <c r="GF177" s="122"/>
      <c r="GG177" s="122"/>
      <c r="GH177" s="122"/>
      <c r="GI177" s="122"/>
    </row>
    <row r="178" spans="1:191" s="13" customFormat="1" ht="20.25" customHeight="1">
      <c r="A178" s="117"/>
      <c r="B178" s="125"/>
      <c r="C178" s="126"/>
      <c r="D178" s="121"/>
      <c r="E178" s="103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122"/>
      <c r="AQ178" s="122"/>
      <c r="AR178" s="122"/>
      <c r="AS178" s="122"/>
      <c r="AT178" s="122"/>
      <c r="AU178" s="122"/>
      <c r="AV178" s="122"/>
      <c r="AW178" s="122"/>
      <c r="AX178" s="122"/>
      <c r="AY178" s="122"/>
      <c r="AZ178" s="122"/>
      <c r="BA178" s="122"/>
      <c r="BB178" s="122"/>
      <c r="BC178" s="122"/>
      <c r="BD178" s="122"/>
      <c r="BE178" s="122"/>
      <c r="BF178" s="122"/>
      <c r="BG178" s="122"/>
      <c r="BH178" s="122"/>
      <c r="BI178" s="122"/>
      <c r="BJ178" s="122"/>
      <c r="BK178" s="122"/>
      <c r="BL178" s="122"/>
      <c r="BM178" s="122"/>
      <c r="BN178" s="122"/>
      <c r="BO178" s="122"/>
      <c r="BP178" s="122"/>
      <c r="BQ178" s="122"/>
      <c r="BR178" s="122"/>
      <c r="BS178" s="123"/>
      <c r="BT178" s="123"/>
      <c r="BU178" s="122"/>
      <c r="BV178" s="122"/>
      <c r="BW178" s="122"/>
      <c r="BX178" s="122"/>
      <c r="BY178" s="122"/>
      <c r="BZ178" s="122"/>
      <c r="CA178" s="122"/>
      <c r="CB178" s="122"/>
      <c r="CC178" s="122"/>
      <c r="CD178" s="122"/>
      <c r="CE178" s="122"/>
      <c r="CF178" s="122"/>
      <c r="CG178" s="122"/>
      <c r="CH178" s="122"/>
      <c r="CI178" s="122"/>
      <c r="CJ178" s="122"/>
      <c r="CK178" s="122"/>
      <c r="CL178" s="122"/>
      <c r="CM178" s="122"/>
      <c r="CN178" s="122"/>
      <c r="CO178" s="122"/>
      <c r="CP178" s="122"/>
      <c r="CQ178" s="122"/>
      <c r="CR178" s="122"/>
      <c r="CS178" s="122"/>
      <c r="CT178" s="122"/>
      <c r="CU178" s="122"/>
      <c r="CV178" s="122"/>
      <c r="CW178" s="122"/>
      <c r="CX178" s="122"/>
      <c r="CY178" s="122"/>
      <c r="CZ178" s="122"/>
      <c r="DA178" s="122"/>
      <c r="DB178" s="122"/>
      <c r="DC178" s="122"/>
      <c r="DD178" s="122"/>
      <c r="DE178" s="122"/>
      <c r="DF178" s="122"/>
      <c r="DG178" s="122"/>
      <c r="DH178" s="122"/>
      <c r="DI178" s="122"/>
      <c r="DJ178" s="122"/>
      <c r="DK178" s="122"/>
      <c r="DL178" s="122"/>
      <c r="DM178" s="122"/>
      <c r="DN178" s="122"/>
      <c r="DO178" s="122"/>
      <c r="DP178" s="122"/>
      <c r="DQ178" s="122"/>
      <c r="DR178" s="122"/>
      <c r="DS178" s="122"/>
      <c r="DT178" s="122"/>
      <c r="DU178" s="122"/>
      <c r="DV178" s="122"/>
      <c r="DW178" s="122"/>
      <c r="DX178" s="122"/>
      <c r="DY178" s="122"/>
      <c r="DZ178" s="122"/>
      <c r="EA178" s="122"/>
      <c r="EB178" s="122"/>
      <c r="EC178" s="122"/>
      <c r="ED178" s="122"/>
      <c r="EE178" s="122"/>
      <c r="EF178" s="122"/>
      <c r="EG178" s="122"/>
      <c r="EH178" s="122"/>
      <c r="EI178" s="122"/>
      <c r="EJ178" s="122"/>
      <c r="EK178" s="122"/>
      <c r="EL178" s="122"/>
      <c r="EM178" s="122"/>
      <c r="EN178" s="122"/>
      <c r="EO178" s="122"/>
      <c r="EP178" s="122"/>
      <c r="EQ178" s="122"/>
      <c r="ER178" s="122"/>
      <c r="ES178" s="122"/>
      <c r="ET178" s="122"/>
      <c r="EU178" s="122"/>
      <c r="EV178" s="122"/>
      <c r="EW178" s="122"/>
      <c r="EX178" s="122"/>
      <c r="EY178" s="122"/>
      <c r="EZ178" s="122"/>
      <c r="FA178" s="122"/>
      <c r="FB178" s="122"/>
      <c r="FC178" s="122"/>
      <c r="FD178" s="122"/>
      <c r="FE178" s="122"/>
      <c r="FF178" s="122"/>
      <c r="FG178" s="122"/>
      <c r="FH178" s="122"/>
      <c r="FI178" s="122"/>
      <c r="FJ178" s="122"/>
      <c r="FK178" s="122"/>
      <c r="FL178" s="122"/>
      <c r="FM178" s="122"/>
      <c r="FN178" s="122"/>
      <c r="FO178" s="122"/>
      <c r="FP178" s="122"/>
      <c r="FQ178" s="122"/>
      <c r="FR178" s="122"/>
      <c r="FS178" s="122"/>
      <c r="FT178" s="122"/>
      <c r="FU178" s="122"/>
      <c r="FV178" s="122"/>
      <c r="FW178" s="122"/>
      <c r="FX178" s="122"/>
      <c r="FY178" s="122"/>
      <c r="FZ178" s="122"/>
      <c r="GA178" s="122"/>
      <c r="GB178" s="122"/>
      <c r="GC178" s="122"/>
      <c r="GD178" s="122"/>
      <c r="GE178" s="122"/>
      <c r="GF178" s="122"/>
      <c r="GG178" s="122"/>
      <c r="GH178" s="122"/>
      <c r="GI178" s="122"/>
    </row>
    <row r="179" spans="1:191" s="13" customFormat="1" ht="20.25" customHeight="1">
      <c r="A179" s="117">
        <v>86</v>
      </c>
      <c r="B179" s="125"/>
      <c r="C179" s="126"/>
      <c r="D179" s="102">
        <f t="shared" ref="D179" si="88">IFERROR(SUMPRODUCT(F179:HE179,$F$6:$HE$6)/100,0)</f>
        <v>0</v>
      </c>
      <c r="E179" s="103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122"/>
      <c r="AQ179" s="122"/>
      <c r="AR179" s="122"/>
      <c r="AS179" s="122"/>
      <c r="AT179" s="122"/>
      <c r="AU179" s="122"/>
      <c r="AV179" s="122"/>
      <c r="AW179" s="122"/>
      <c r="AX179" s="122"/>
      <c r="AY179" s="122"/>
      <c r="AZ179" s="122"/>
      <c r="BA179" s="122"/>
      <c r="BB179" s="122"/>
      <c r="BC179" s="122"/>
      <c r="BD179" s="122"/>
      <c r="BE179" s="122"/>
      <c r="BF179" s="122"/>
      <c r="BG179" s="122"/>
      <c r="BH179" s="122"/>
      <c r="BI179" s="122"/>
      <c r="BJ179" s="122"/>
      <c r="BK179" s="122"/>
      <c r="BL179" s="122"/>
      <c r="BM179" s="122"/>
      <c r="BN179" s="122"/>
      <c r="BO179" s="122"/>
      <c r="BP179" s="122"/>
      <c r="BQ179" s="122"/>
      <c r="BR179" s="122"/>
      <c r="BS179" s="123"/>
      <c r="BT179" s="123"/>
      <c r="BU179" s="122"/>
      <c r="BV179" s="122"/>
      <c r="BW179" s="122"/>
      <c r="BX179" s="122"/>
      <c r="BY179" s="122"/>
      <c r="BZ179" s="122"/>
      <c r="CA179" s="122"/>
      <c r="CB179" s="122"/>
      <c r="CC179" s="122"/>
      <c r="CD179" s="122"/>
      <c r="CE179" s="122"/>
      <c r="CF179" s="122"/>
      <c r="CG179" s="122"/>
      <c r="CH179" s="122"/>
      <c r="CI179" s="122"/>
      <c r="CJ179" s="122"/>
      <c r="CK179" s="122"/>
      <c r="CL179" s="122"/>
      <c r="CM179" s="122"/>
      <c r="CN179" s="122"/>
      <c r="CO179" s="122"/>
      <c r="CP179" s="122"/>
      <c r="CQ179" s="122"/>
      <c r="CR179" s="122"/>
      <c r="CS179" s="122"/>
      <c r="CT179" s="122"/>
      <c r="CU179" s="122"/>
      <c r="CV179" s="122"/>
      <c r="CW179" s="122"/>
      <c r="CX179" s="122"/>
      <c r="CY179" s="122"/>
      <c r="CZ179" s="122"/>
      <c r="DA179" s="122"/>
      <c r="DB179" s="122"/>
      <c r="DC179" s="122"/>
      <c r="DD179" s="122"/>
      <c r="DE179" s="122"/>
      <c r="DF179" s="122"/>
      <c r="DG179" s="122"/>
      <c r="DH179" s="122"/>
      <c r="DI179" s="122"/>
      <c r="DJ179" s="122"/>
      <c r="DK179" s="122"/>
      <c r="DL179" s="122"/>
      <c r="DM179" s="122"/>
      <c r="DN179" s="122"/>
      <c r="DO179" s="122"/>
      <c r="DP179" s="122"/>
      <c r="DQ179" s="122"/>
      <c r="DR179" s="122"/>
      <c r="DS179" s="122"/>
      <c r="DT179" s="122"/>
      <c r="DU179" s="122"/>
      <c r="DV179" s="122"/>
      <c r="DW179" s="122"/>
      <c r="DX179" s="122"/>
      <c r="DY179" s="122"/>
      <c r="DZ179" s="122"/>
      <c r="EA179" s="122"/>
      <c r="EB179" s="122"/>
      <c r="EC179" s="122"/>
      <c r="ED179" s="122"/>
      <c r="EE179" s="122"/>
      <c r="EF179" s="122"/>
      <c r="EG179" s="122"/>
      <c r="EH179" s="122"/>
      <c r="EI179" s="122"/>
      <c r="EJ179" s="122"/>
      <c r="EK179" s="122"/>
      <c r="EL179" s="122"/>
      <c r="EM179" s="122"/>
      <c r="EN179" s="122"/>
      <c r="EO179" s="122"/>
      <c r="EP179" s="122"/>
      <c r="EQ179" s="122"/>
      <c r="ER179" s="122"/>
      <c r="ES179" s="122"/>
      <c r="ET179" s="122"/>
      <c r="EU179" s="122"/>
      <c r="EV179" s="122"/>
      <c r="EW179" s="122"/>
      <c r="EX179" s="122"/>
      <c r="EY179" s="122"/>
      <c r="EZ179" s="122"/>
      <c r="FA179" s="122"/>
      <c r="FB179" s="122"/>
      <c r="FC179" s="122"/>
      <c r="FD179" s="122"/>
      <c r="FE179" s="122"/>
      <c r="FF179" s="122"/>
      <c r="FG179" s="122"/>
      <c r="FH179" s="122"/>
      <c r="FI179" s="122"/>
      <c r="FJ179" s="122"/>
      <c r="FK179" s="122"/>
      <c r="FL179" s="122"/>
      <c r="FM179" s="122"/>
      <c r="FN179" s="122"/>
      <c r="FO179" s="122"/>
      <c r="FP179" s="122"/>
      <c r="FQ179" s="122"/>
      <c r="FR179" s="122"/>
      <c r="FS179" s="122"/>
      <c r="FT179" s="122"/>
      <c r="FU179" s="122"/>
      <c r="FV179" s="122"/>
      <c r="FW179" s="122"/>
      <c r="FX179" s="122"/>
      <c r="FY179" s="122"/>
      <c r="FZ179" s="122"/>
      <c r="GA179" s="122"/>
      <c r="GB179" s="122"/>
      <c r="GC179" s="122"/>
      <c r="GD179" s="122"/>
      <c r="GE179" s="122"/>
      <c r="GF179" s="122"/>
      <c r="GG179" s="122"/>
      <c r="GH179" s="122"/>
      <c r="GI179" s="122"/>
    </row>
    <row r="180" spans="1:191" s="13" customFormat="1" ht="20.25" customHeight="1">
      <c r="A180" s="117"/>
      <c r="B180" s="125"/>
      <c r="C180" s="126"/>
      <c r="D180" s="121"/>
      <c r="E180" s="103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122"/>
      <c r="AQ180" s="122"/>
      <c r="AR180" s="122"/>
      <c r="AS180" s="122"/>
      <c r="AT180" s="122"/>
      <c r="AU180" s="122"/>
      <c r="AV180" s="122"/>
      <c r="AW180" s="122"/>
      <c r="AX180" s="122"/>
      <c r="AY180" s="122"/>
      <c r="AZ180" s="122"/>
      <c r="BA180" s="122"/>
      <c r="BB180" s="122"/>
      <c r="BC180" s="122"/>
      <c r="BD180" s="122"/>
      <c r="BE180" s="122"/>
      <c r="BF180" s="122"/>
      <c r="BG180" s="122"/>
      <c r="BH180" s="122"/>
      <c r="BI180" s="122"/>
      <c r="BJ180" s="122"/>
      <c r="BK180" s="122"/>
      <c r="BL180" s="122"/>
      <c r="BM180" s="122"/>
      <c r="BN180" s="122"/>
      <c r="BO180" s="122"/>
      <c r="BP180" s="122"/>
      <c r="BQ180" s="122"/>
      <c r="BR180" s="122"/>
      <c r="BS180" s="123"/>
      <c r="BT180" s="123"/>
      <c r="BU180" s="122"/>
      <c r="BV180" s="122"/>
      <c r="BW180" s="122"/>
      <c r="BX180" s="122"/>
      <c r="BY180" s="122"/>
      <c r="BZ180" s="122"/>
      <c r="CA180" s="122"/>
      <c r="CB180" s="122"/>
      <c r="CC180" s="122"/>
      <c r="CD180" s="122"/>
      <c r="CE180" s="122"/>
      <c r="CF180" s="122"/>
      <c r="CG180" s="122"/>
      <c r="CH180" s="122"/>
      <c r="CI180" s="122"/>
      <c r="CJ180" s="122"/>
      <c r="CK180" s="122"/>
      <c r="CL180" s="122"/>
      <c r="CM180" s="122"/>
      <c r="CN180" s="122"/>
      <c r="CO180" s="122"/>
      <c r="CP180" s="122"/>
      <c r="CQ180" s="122"/>
      <c r="CR180" s="122"/>
      <c r="CS180" s="122"/>
      <c r="CT180" s="122"/>
      <c r="CU180" s="122"/>
      <c r="CV180" s="122"/>
      <c r="CW180" s="122"/>
      <c r="CX180" s="122"/>
      <c r="CY180" s="122"/>
      <c r="CZ180" s="122"/>
      <c r="DA180" s="122"/>
      <c r="DB180" s="122"/>
      <c r="DC180" s="122"/>
      <c r="DD180" s="122"/>
      <c r="DE180" s="122"/>
      <c r="DF180" s="122"/>
      <c r="DG180" s="122"/>
      <c r="DH180" s="122"/>
      <c r="DI180" s="122"/>
      <c r="DJ180" s="122"/>
      <c r="DK180" s="122"/>
      <c r="DL180" s="122"/>
      <c r="DM180" s="122"/>
      <c r="DN180" s="122"/>
      <c r="DO180" s="122"/>
      <c r="DP180" s="122"/>
      <c r="DQ180" s="122"/>
      <c r="DR180" s="122"/>
      <c r="DS180" s="122"/>
      <c r="DT180" s="122"/>
      <c r="DU180" s="122"/>
      <c r="DV180" s="122"/>
      <c r="DW180" s="122"/>
      <c r="DX180" s="122"/>
      <c r="DY180" s="122"/>
      <c r="DZ180" s="122"/>
      <c r="EA180" s="122"/>
      <c r="EB180" s="122"/>
      <c r="EC180" s="122"/>
      <c r="ED180" s="122"/>
      <c r="EE180" s="122"/>
      <c r="EF180" s="122"/>
      <c r="EG180" s="122"/>
      <c r="EH180" s="122"/>
      <c r="EI180" s="122"/>
      <c r="EJ180" s="122"/>
      <c r="EK180" s="122"/>
      <c r="EL180" s="122"/>
      <c r="EM180" s="122"/>
      <c r="EN180" s="122"/>
      <c r="EO180" s="122"/>
      <c r="EP180" s="122"/>
      <c r="EQ180" s="122"/>
      <c r="ER180" s="122"/>
      <c r="ES180" s="122"/>
      <c r="ET180" s="122"/>
      <c r="EU180" s="122"/>
      <c r="EV180" s="122"/>
      <c r="EW180" s="122"/>
      <c r="EX180" s="122"/>
      <c r="EY180" s="122"/>
      <c r="EZ180" s="122"/>
      <c r="FA180" s="122"/>
      <c r="FB180" s="122"/>
      <c r="FC180" s="122"/>
      <c r="FD180" s="122"/>
      <c r="FE180" s="122"/>
      <c r="FF180" s="122"/>
      <c r="FG180" s="122"/>
      <c r="FH180" s="122"/>
      <c r="FI180" s="122"/>
      <c r="FJ180" s="122"/>
      <c r="FK180" s="122"/>
      <c r="FL180" s="122"/>
      <c r="FM180" s="122"/>
      <c r="FN180" s="122"/>
      <c r="FO180" s="122"/>
      <c r="FP180" s="122"/>
      <c r="FQ180" s="122"/>
      <c r="FR180" s="122"/>
      <c r="FS180" s="122"/>
      <c r="FT180" s="122"/>
      <c r="FU180" s="122"/>
      <c r="FV180" s="122"/>
      <c r="FW180" s="122"/>
      <c r="FX180" s="122"/>
      <c r="FY180" s="122"/>
      <c r="FZ180" s="122"/>
      <c r="GA180" s="122"/>
      <c r="GB180" s="122"/>
      <c r="GC180" s="122"/>
      <c r="GD180" s="122"/>
      <c r="GE180" s="122"/>
      <c r="GF180" s="122"/>
      <c r="GG180" s="122"/>
      <c r="GH180" s="122"/>
      <c r="GI180" s="122"/>
    </row>
    <row r="181" spans="1:191" s="13" customFormat="1" ht="20.25" customHeight="1">
      <c r="A181" s="117">
        <v>87</v>
      </c>
      <c r="B181" s="147"/>
      <c r="C181" s="126"/>
      <c r="D181" s="102">
        <f t="shared" ref="D181" si="89">IFERROR(SUMPRODUCT(F181:HE181,$F$6:$HE$6)/100,0)</f>
        <v>0</v>
      </c>
      <c r="E181" s="103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122"/>
      <c r="AQ181" s="122"/>
      <c r="AR181" s="122"/>
      <c r="AS181" s="122"/>
      <c r="AT181" s="122"/>
      <c r="AU181" s="122"/>
      <c r="AV181" s="122"/>
      <c r="AW181" s="122"/>
      <c r="AX181" s="122"/>
      <c r="AY181" s="122"/>
      <c r="AZ181" s="122"/>
      <c r="BA181" s="122"/>
      <c r="BB181" s="122"/>
      <c r="BC181" s="122"/>
      <c r="BD181" s="122"/>
      <c r="BE181" s="122"/>
      <c r="BF181" s="122"/>
      <c r="BG181" s="122"/>
      <c r="BH181" s="122"/>
      <c r="BI181" s="122"/>
      <c r="BJ181" s="122"/>
      <c r="BK181" s="122"/>
      <c r="BL181" s="122"/>
      <c r="BM181" s="122"/>
      <c r="BN181" s="122"/>
      <c r="BO181" s="122"/>
      <c r="BP181" s="122"/>
      <c r="BQ181" s="122"/>
      <c r="BR181" s="122"/>
      <c r="BS181" s="123"/>
      <c r="BT181" s="123"/>
      <c r="BU181" s="122"/>
      <c r="BV181" s="122"/>
      <c r="BW181" s="122"/>
      <c r="BX181" s="122"/>
      <c r="BY181" s="122"/>
      <c r="BZ181" s="122"/>
      <c r="CA181" s="122"/>
      <c r="CB181" s="122"/>
      <c r="CC181" s="122"/>
      <c r="CD181" s="122"/>
      <c r="CE181" s="122"/>
      <c r="CF181" s="122"/>
      <c r="CG181" s="122"/>
      <c r="CH181" s="122"/>
      <c r="CI181" s="122"/>
      <c r="CJ181" s="122"/>
      <c r="CK181" s="122"/>
      <c r="CL181" s="122"/>
      <c r="CM181" s="122"/>
      <c r="CN181" s="122"/>
      <c r="CO181" s="122"/>
      <c r="CP181" s="122"/>
      <c r="CQ181" s="122"/>
      <c r="CR181" s="122"/>
      <c r="CS181" s="122"/>
      <c r="CT181" s="122"/>
      <c r="CU181" s="122"/>
      <c r="CV181" s="122"/>
      <c r="CW181" s="122"/>
      <c r="CX181" s="122"/>
      <c r="CY181" s="122"/>
      <c r="CZ181" s="122"/>
      <c r="DA181" s="122"/>
      <c r="DB181" s="122"/>
      <c r="DC181" s="122"/>
      <c r="DD181" s="122"/>
      <c r="DE181" s="122"/>
      <c r="DF181" s="122"/>
      <c r="DG181" s="122"/>
      <c r="DH181" s="122"/>
      <c r="DI181" s="122"/>
      <c r="DJ181" s="122"/>
      <c r="DK181" s="122"/>
      <c r="DL181" s="122"/>
      <c r="DM181" s="122"/>
      <c r="DN181" s="122"/>
      <c r="DO181" s="122"/>
      <c r="DP181" s="122"/>
      <c r="DQ181" s="122"/>
      <c r="DR181" s="122"/>
      <c r="DS181" s="122"/>
      <c r="DT181" s="122"/>
      <c r="DU181" s="122"/>
      <c r="DV181" s="122"/>
      <c r="DW181" s="122"/>
      <c r="DX181" s="122"/>
      <c r="DY181" s="122"/>
      <c r="DZ181" s="122"/>
      <c r="EA181" s="122"/>
      <c r="EB181" s="122"/>
      <c r="EC181" s="122"/>
      <c r="ED181" s="122"/>
      <c r="EE181" s="122"/>
      <c r="EF181" s="122"/>
      <c r="EG181" s="122"/>
      <c r="EH181" s="122"/>
      <c r="EI181" s="122"/>
      <c r="EJ181" s="122"/>
      <c r="EK181" s="122"/>
      <c r="EL181" s="122"/>
      <c r="EM181" s="122"/>
      <c r="EN181" s="122"/>
      <c r="EO181" s="122"/>
      <c r="EP181" s="122"/>
      <c r="EQ181" s="122"/>
      <c r="ER181" s="122"/>
      <c r="ES181" s="122"/>
      <c r="ET181" s="122"/>
      <c r="EU181" s="122"/>
      <c r="EV181" s="122"/>
      <c r="EW181" s="122"/>
      <c r="EX181" s="122"/>
      <c r="EY181" s="122"/>
      <c r="EZ181" s="122"/>
      <c r="FA181" s="122"/>
      <c r="FB181" s="122"/>
      <c r="FC181" s="122"/>
      <c r="FD181" s="122"/>
      <c r="FE181" s="122"/>
      <c r="FF181" s="122"/>
      <c r="FG181" s="122"/>
      <c r="FH181" s="122"/>
      <c r="FI181" s="122"/>
      <c r="FJ181" s="122"/>
      <c r="FK181" s="122"/>
      <c r="FL181" s="122"/>
      <c r="FM181" s="122"/>
      <c r="FN181" s="122"/>
      <c r="FO181" s="122"/>
      <c r="FP181" s="122"/>
      <c r="FQ181" s="122"/>
      <c r="FR181" s="122"/>
      <c r="FS181" s="122"/>
      <c r="FT181" s="122"/>
      <c r="FU181" s="122"/>
      <c r="FV181" s="122"/>
      <c r="FW181" s="122"/>
      <c r="FX181" s="122"/>
      <c r="FY181" s="122"/>
      <c r="FZ181" s="122"/>
      <c r="GA181" s="122"/>
      <c r="GB181" s="122"/>
      <c r="GC181" s="122"/>
      <c r="GD181" s="122"/>
      <c r="GE181" s="122"/>
      <c r="GF181" s="122"/>
      <c r="GG181" s="122"/>
      <c r="GH181" s="122"/>
      <c r="GI181" s="122"/>
    </row>
    <row r="182" spans="1:191" s="13" customFormat="1" ht="20.25" customHeight="1">
      <c r="A182" s="117"/>
      <c r="B182" s="147"/>
      <c r="C182" s="143"/>
      <c r="D182" s="121"/>
      <c r="E182" s="103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122"/>
      <c r="AQ182" s="122"/>
      <c r="AR182" s="122"/>
      <c r="AS182" s="122"/>
      <c r="AT182" s="122"/>
      <c r="AU182" s="122"/>
      <c r="AV182" s="122"/>
      <c r="AW182" s="122"/>
      <c r="AX182" s="122"/>
      <c r="AY182" s="122"/>
      <c r="AZ182" s="122"/>
      <c r="BA182" s="122"/>
      <c r="BB182" s="122"/>
      <c r="BC182" s="122"/>
      <c r="BD182" s="122"/>
      <c r="BE182" s="122"/>
      <c r="BF182" s="122"/>
      <c r="BG182" s="122"/>
      <c r="BH182" s="122"/>
      <c r="BI182" s="122"/>
      <c r="BJ182" s="122"/>
      <c r="BK182" s="122"/>
      <c r="BL182" s="122"/>
      <c r="BM182" s="122"/>
      <c r="BN182" s="122"/>
      <c r="BO182" s="122"/>
      <c r="BP182" s="122"/>
      <c r="BQ182" s="122"/>
      <c r="BR182" s="122"/>
      <c r="BS182" s="123"/>
      <c r="BT182" s="123"/>
      <c r="BU182" s="122"/>
      <c r="BV182" s="122"/>
      <c r="BW182" s="122"/>
      <c r="BX182" s="122"/>
      <c r="BY182" s="122"/>
      <c r="BZ182" s="122"/>
      <c r="CA182" s="122"/>
      <c r="CB182" s="122"/>
      <c r="CC182" s="122"/>
      <c r="CD182" s="122"/>
      <c r="CE182" s="122"/>
      <c r="CF182" s="122"/>
      <c r="CG182" s="122"/>
      <c r="CH182" s="122"/>
      <c r="CI182" s="122"/>
      <c r="CJ182" s="122"/>
      <c r="CK182" s="122"/>
      <c r="CL182" s="122"/>
      <c r="CM182" s="122"/>
      <c r="CN182" s="122"/>
      <c r="CO182" s="122"/>
      <c r="CP182" s="122"/>
      <c r="CQ182" s="122"/>
      <c r="CR182" s="122"/>
      <c r="CS182" s="122"/>
      <c r="CT182" s="122"/>
      <c r="CU182" s="122"/>
      <c r="CV182" s="122"/>
      <c r="CW182" s="122"/>
      <c r="CX182" s="122"/>
      <c r="CY182" s="122"/>
      <c r="CZ182" s="122"/>
      <c r="DA182" s="122"/>
      <c r="DB182" s="122"/>
      <c r="DC182" s="122"/>
      <c r="DD182" s="122"/>
      <c r="DE182" s="122"/>
      <c r="DF182" s="122"/>
      <c r="DG182" s="122"/>
      <c r="DH182" s="122"/>
      <c r="DI182" s="122"/>
      <c r="DJ182" s="122"/>
      <c r="DK182" s="122"/>
      <c r="DL182" s="122"/>
      <c r="DM182" s="122"/>
      <c r="DN182" s="122"/>
      <c r="DO182" s="122"/>
      <c r="DP182" s="122"/>
      <c r="DQ182" s="122"/>
      <c r="DR182" s="122"/>
      <c r="DS182" s="122"/>
      <c r="DT182" s="122"/>
      <c r="DU182" s="122"/>
      <c r="DV182" s="122"/>
      <c r="DW182" s="122"/>
      <c r="DX182" s="122"/>
      <c r="DY182" s="122"/>
      <c r="DZ182" s="122"/>
      <c r="EA182" s="122"/>
      <c r="EB182" s="122"/>
      <c r="EC182" s="122"/>
      <c r="ED182" s="122"/>
      <c r="EE182" s="122"/>
      <c r="EF182" s="122"/>
      <c r="EG182" s="122"/>
      <c r="EH182" s="122"/>
      <c r="EI182" s="122"/>
      <c r="EJ182" s="122"/>
      <c r="EK182" s="122"/>
      <c r="EL182" s="122"/>
      <c r="EM182" s="122"/>
      <c r="EN182" s="122"/>
      <c r="EO182" s="122"/>
      <c r="EP182" s="122"/>
      <c r="EQ182" s="122"/>
      <c r="ER182" s="122"/>
      <c r="ES182" s="122"/>
      <c r="ET182" s="122"/>
      <c r="EU182" s="122"/>
      <c r="EV182" s="122"/>
      <c r="EW182" s="122"/>
      <c r="EX182" s="122"/>
      <c r="EY182" s="122"/>
      <c r="EZ182" s="122"/>
      <c r="FA182" s="122"/>
      <c r="FB182" s="122"/>
      <c r="FC182" s="122"/>
      <c r="FD182" s="122"/>
      <c r="FE182" s="122"/>
      <c r="FF182" s="122"/>
      <c r="FG182" s="122"/>
      <c r="FH182" s="122"/>
      <c r="FI182" s="122"/>
      <c r="FJ182" s="122"/>
      <c r="FK182" s="122"/>
      <c r="FL182" s="122"/>
      <c r="FM182" s="122"/>
      <c r="FN182" s="122"/>
      <c r="FO182" s="122"/>
      <c r="FP182" s="122"/>
      <c r="FQ182" s="122"/>
      <c r="FR182" s="122"/>
      <c r="FS182" s="122"/>
      <c r="FT182" s="122"/>
      <c r="FU182" s="122"/>
      <c r="FV182" s="122"/>
      <c r="FW182" s="122"/>
      <c r="FX182" s="122"/>
      <c r="FY182" s="122"/>
      <c r="FZ182" s="122"/>
      <c r="GA182" s="122"/>
      <c r="GB182" s="122"/>
      <c r="GC182" s="122"/>
      <c r="GD182" s="122"/>
      <c r="GE182" s="122"/>
      <c r="GF182" s="122"/>
      <c r="GG182" s="122"/>
      <c r="GH182" s="122"/>
      <c r="GI182" s="122"/>
    </row>
    <row r="183" spans="1:191" s="13" customFormat="1" ht="20.25" customHeight="1">
      <c r="A183" s="117">
        <v>88</v>
      </c>
      <c r="B183" s="147"/>
      <c r="C183" s="143"/>
      <c r="D183" s="102">
        <f t="shared" ref="D183" si="90">IFERROR(SUMPRODUCT(F183:HE183,$F$6:$HE$6)/100,0)</f>
        <v>0</v>
      </c>
      <c r="E183" s="103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122"/>
      <c r="AQ183" s="122"/>
      <c r="AR183" s="122"/>
      <c r="AS183" s="122"/>
      <c r="AT183" s="122"/>
      <c r="AU183" s="122"/>
      <c r="AV183" s="122"/>
      <c r="AW183" s="122"/>
      <c r="AX183" s="122"/>
      <c r="AY183" s="122"/>
      <c r="AZ183" s="122"/>
      <c r="BA183" s="122"/>
      <c r="BB183" s="122"/>
      <c r="BC183" s="122"/>
      <c r="BD183" s="122"/>
      <c r="BE183" s="122"/>
      <c r="BF183" s="122"/>
      <c r="BG183" s="122"/>
      <c r="BH183" s="122"/>
      <c r="BI183" s="122"/>
      <c r="BJ183" s="122"/>
      <c r="BK183" s="122"/>
      <c r="BL183" s="122"/>
      <c r="BM183" s="122"/>
      <c r="BN183" s="122"/>
      <c r="BO183" s="122"/>
      <c r="BP183" s="122"/>
      <c r="BQ183" s="122"/>
      <c r="BR183" s="122"/>
      <c r="BS183" s="123"/>
      <c r="BT183" s="123"/>
      <c r="BU183" s="122"/>
      <c r="BV183" s="122"/>
      <c r="BW183" s="122"/>
      <c r="BX183" s="122"/>
      <c r="BY183" s="122"/>
      <c r="BZ183" s="122"/>
      <c r="CA183" s="122"/>
      <c r="CB183" s="122"/>
      <c r="CC183" s="122"/>
      <c r="CD183" s="122"/>
      <c r="CE183" s="122"/>
      <c r="CF183" s="122"/>
      <c r="CG183" s="122"/>
      <c r="CH183" s="122"/>
      <c r="CI183" s="122"/>
      <c r="CJ183" s="122"/>
      <c r="CK183" s="122"/>
      <c r="CL183" s="122"/>
      <c r="CM183" s="122"/>
      <c r="CN183" s="122"/>
      <c r="CO183" s="122"/>
      <c r="CP183" s="122"/>
      <c r="CQ183" s="122"/>
      <c r="CR183" s="122"/>
      <c r="CS183" s="122"/>
      <c r="CT183" s="122"/>
      <c r="CU183" s="122"/>
      <c r="CV183" s="122"/>
      <c r="CW183" s="122"/>
      <c r="CX183" s="122"/>
      <c r="CY183" s="122"/>
      <c r="CZ183" s="122"/>
      <c r="DA183" s="122"/>
      <c r="DB183" s="122"/>
      <c r="DC183" s="122"/>
      <c r="DD183" s="122"/>
      <c r="DE183" s="122"/>
      <c r="DF183" s="122"/>
      <c r="DG183" s="122"/>
      <c r="DH183" s="122"/>
      <c r="DI183" s="122"/>
      <c r="DJ183" s="122"/>
      <c r="DK183" s="122"/>
      <c r="DL183" s="122"/>
      <c r="DM183" s="122"/>
      <c r="DN183" s="122"/>
      <c r="DO183" s="122"/>
      <c r="DP183" s="122"/>
      <c r="DQ183" s="122"/>
      <c r="DR183" s="122"/>
      <c r="DS183" s="122"/>
      <c r="DT183" s="122"/>
      <c r="DU183" s="122"/>
      <c r="DV183" s="122"/>
      <c r="DW183" s="122"/>
      <c r="DX183" s="122"/>
      <c r="DY183" s="122"/>
      <c r="DZ183" s="122"/>
      <c r="EA183" s="122"/>
      <c r="EB183" s="122"/>
      <c r="EC183" s="122"/>
      <c r="ED183" s="122"/>
      <c r="EE183" s="122"/>
      <c r="EF183" s="122"/>
      <c r="EG183" s="122"/>
      <c r="EH183" s="122"/>
      <c r="EI183" s="122"/>
      <c r="EJ183" s="122"/>
      <c r="EK183" s="122"/>
      <c r="EL183" s="122"/>
      <c r="EM183" s="122"/>
      <c r="EN183" s="122"/>
      <c r="EO183" s="122"/>
      <c r="EP183" s="122"/>
      <c r="EQ183" s="122"/>
      <c r="ER183" s="122"/>
      <c r="ES183" s="122"/>
      <c r="ET183" s="122"/>
      <c r="EU183" s="122"/>
      <c r="EV183" s="122"/>
      <c r="EW183" s="122"/>
      <c r="EX183" s="122"/>
      <c r="EY183" s="122"/>
      <c r="EZ183" s="122"/>
      <c r="FA183" s="122"/>
      <c r="FB183" s="122"/>
      <c r="FC183" s="122"/>
      <c r="FD183" s="122"/>
      <c r="FE183" s="122"/>
      <c r="FF183" s="122"/>
      <c r="FG183" s="122"/>
      <c r="FH183" s="122"/>
      <c r="FI183" s="122"/>
      <c r="FJ183" s="122"/>
      <c r="FK183" s="122"/>
      <c r="FL183" s="122"/>
      <c r="FM183" s="122"/>
      <c r="FN183" s="122"/>
      <c r="FO183" s="122"/>
      <c r="FP183" s="122"/>
      <c r="FQ183" s="122"/>
      <c r="FR183" s="122"/>
      <c r="FS183" s="122"/>
      <c r="FT183" s="122"/>
      <c r="FU183" s="122"/>
      <c r="FV183" s="122"/>
      <c r="FW183" s="122"/>
      <c r="FX183" s="122"/>
      <c r="FY183" s="122"/>
      <c r="FZ183" s="122"/>
      <c r="GA183" s="122"/>
      <c r="GB183" s="122"/>
      <c r="GC183" s="122"/>
      <c r="GD183" s="122"/>
      <c r="GE183" s="122"/>
      <c r="GF183" s="122"/>
      <c r="GG183" s="122"/>
      <c r="GH183" s="122"/>
      <c r="GI183" s="122"/>
    </row>
    <row r="184" spans="1:191" s="13" customFormat="1" ht="20.25" customHeight="1">
      <c r="A184" s="117"/>
      <c r="B184" s="147"/>
      <c r="C184" s="143"/>
      <c r="D184" s="121"/>
      <c r="E184" s="103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122"/>
      <c r="AQ184" s="122"/>
      <c r="AR184" s="122"/>
      <c r="AS184" s="122"/>
      <c r="AT184" s="122"/>
      <c r="AU184" s="122"/>
      <c r="AV184" s="122"/>
      <c r="AW184" s="122"/>
      <c r="AX184" s="122"/>
      <c r="AY184" s="122"/>
      <c r="AZ184" s="122"/>
      <c r="BA184" s="122"/>
      <c r="BB184" s="122"/>
      <c r="BC184" s="122"/>
      <c r="BD184" s="122"/>
      <c r="BE184" s="122"/>
      <c r="BF184" s="122"/>
      <c r="BG184" s="122"/>
      <c r="BH184" s="122"/>
      <c r="BI184" s="122"/>
      <c r="BJ184" s="122"/>
      <c r="BK184" s="122"/>
      <c r="BL184" s="122"/>
      <c r="BM184" s="122"/>
      <c r="BN184" s="122"/>
      <c r="BO184" s="122"/>
      <c r="BP184" s="122"/>
      <c r="BQ184" s="122"/>
      <c r="BR184" s="122"/>
      <c r="BS184" s="123"/>
      <c r="BT184" s="123"/>
      <c r="BU184" s="122"/>
      <c r="BV184" s="122"/>
      <c r="BW184" s="122"/>
      <c r="BX184" s="122"/>
      <c r="BY184" s="122"/>
      <c r="BZ184" s="122"/>
      <c r="CA184" s="122"/>
      <c r="CB184" s="122"/>
      <c r="CC184" s="122"/>
      <c r="CD184" s="122"/>
      <c r="CE184" s="122"/>
      <c r="CF184" s="122"/>
      <c r="CG184" s="122"/>
      <c r="CH184" s="122"/>
      <c r="CI184" s="122"/>
      <c r="CJ184" s="122"/>
      <c r="CK184" s="122"/>
      <c r="CL184" s="122"/>
      <c r="CM184" s="122"/>
      <c r="CN184" s="122"/>
      <c r="CO184" s="122"/>
      <c r="CP184" s="122"/>
      <c r="CQ184" s="122"/>
      <c r="CR184" s="122"/>
      <c r="CS184" s="122"/>
      <c r="CT184" s="122"/>
      <c r="CU184" s="122"/>
      <c r="CV184" s="122"/>
      <c r="CW184" s="122"/>
      <c r="CX184" s="122"/>
      <c r="CY184" s="122"/>
      <c r="CZ184" s="122"/>
      <c r="DA184" s="122"/>
      <c r="DB184" s="122"/>
      <c r="DC184" s="122"/>
      <c r="DD184" s="122"/>
      <c r="DE184" s="122"/>
      <c r="DF184" s="122"/>
      <c r="DG184" s="122"/>
      <c r="DH184" s="122"/>
      <c r="DI184" s="122"/>
      <c r="DJ184" s="122"/>
      <c r="DK184" s="122"/>
      <c r="DL184" s="122"/>
      <c r="DM184" s="122"/>
      <c r="DN184" s="122"/>
      <c r="DO184" s="122"/>
      <c r="DP184" s="122"/>
      <c r="DQ184" s="122"/>
      <c r="DR184" s="122"/>
      <c r="DS184" s="122"/>
      <c r="DT184" s="122"/>
      <c r="DU184" s="122"/>
      <c r="DV184" s="122"/>
      <c r="DW184" s="122"/>
      <c r="DX184" s="122"/>
      <c r="DY184" s="122"/>
      <c r="DZ184" s="122"/>
      <c r="EA184" s="122"/>
      <c r="EB184" s="122"/>
      <c r="EC184" s="122"/>
      <c r="ED184" s="122"/>
      <c r="EE184" s="122"/>
      <c r="EF184" s="122"/>
      <c r="EG184" s="122"/>
      <c r="EH184" s="122"/>
      <c r="EI184" s="122"/>
      <c r="EJ184" s="122"/>
      <c r="EK184" s="122"/>
      <c r="EL184" s="122"/>
      <c r="EM184" s="122"/>
      <c r="EN184" s="122"/>
      <c r="EO184" s="122"/>
      <c r="EP184" s="122"/>
      <c r="EQ184" s="122"/>
      <c r="ER184" s="122"/>
      <c r="ES184" s="122"/>
      <c r="ET184" s="122"/>
      <c r="EU184" s="122"/>
      <c r="EV184" s="122"/>
      <c r="EW184" s="122"/>
      <c r="EX184" s="122"/>
      <c r="EY184" s="122"/>
      <c r="EZ184" s="122"/>
      <c r="FA184" s="122"/>
      <c r="FB184" s="122"/>
      <c r="FC184" s="122"/>
      <c r="FD184" s="122"/>
      <c r="FE184" s="122"/>
      <c r="FF184" s="122"/>
      <c r="FG184" s="122"/>
      <c r="FH184" s="122"/>
      <c r="FI184" s="122"/>
      <c r="FJ184" s="122"/>
      <c r="FK184" s="122"/>
      <c r="FL184" s="122"/>
      <c r="FM184" s="122"/>
      <c r="FN184" s="122"/>
      <c r="FO184" s="122"/>
      <c r="FP184" s="122"/>
      <c r="FQ184" s="122"/>
      <c r="FR184" s="122"/>
      <c r="FS184" s="122"/>
      <c r="FT184" s="122"/>
      <c r="FU184" s="122"/>
      <c r="FV184" s="122"/>
      <c r="FW184" s="122"/>
      <c r="FX184" s="122"/>
      <c r="FY184" s="122"/>
      <c r="FZ184" s="122"/>
      <c r="GA184" s="122"/>
      <c r="GB184" s="122"/>
      <c r="GC184" s="122"/>
      <c r="GD184" s="122"/>
      <c r="GE184" s="122"/>
      <c r="GF184" s="122"/>
      <c r="GG184" s="122"/>
      <c r="GH184" s="122"/>
      <c r="GI184" s="122"/>
    </row>
    <row r="185" spans="1:191" s="13" customFormat="1" ht="20.25" customHeight="1">
      <c r="A185" s="117">
        <v>89</v>
      </c>
      <c r="B185" s="147"/>
      <c r="C185" s="143"/>
      <c r="D185" s="102">
        <f t="shared" ref="D185" si="91">IFERROR(SUMPRODUCT(F185:HE185,$F$6:$HE$6)/100,0)</f>
        <v>0</v>
      </c>
      <c r="E185" s="103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122"/>
      <c r="AQ185" s="122"/>
      <c r="AR185" s="122"/>
      <c r="AS185" s="122"/>
      <c r="AT185" s="122"/>
      <c r="AU185" s="122"/>
      <c r="AV185" s="122"/>
      <c r="AW185" s="122"/>
      <c r="AX185" s="122"/>
      <c r="AY185" s="122"/>
      <c r="AZ185" s="122"/>
      <c r="BA185" s="122"/>
      <c r="BB185" s="122"/>
      <c r="BC185" s="122"/>
      <c r="BD185" s="122"/>
      <c r="BE185" s="122"/>
      <c r="BF185" s="122"/>
      <c r="BG185" s="122"/>
      <c r="BH185" s="122"/>
      <c r="BI185" s="122"/>
      <c r="BJ185" s="122"/>
      <c r="BK185" s="122"/>
      <c r="BL185" s="122"/>
      <c r="BM185" s="122"/>
      <c r="BN185" s="122"/>
      <c r="BO185" s="122"/>
      <c r="BP185" s="122"/>
      <c r="BQ185" s="122"/>
      <c r="BR185" s="123"/>
      <c r="BS185" s="123"/>
      <c r="BT185" s="123"/>
      <c r="BU185" s="122"/>
      <c r="BV185" s="122"/>
      <c r="BW185" s="122"/>
      <c r="BX185" s="122"/>
      <c r="BY185" s="122"/>
      <c r="BZ185" s="122"/>
      <c r="CA185" s="122"/>
      <c r="CB185" s="122"/>
      <c r="CC185" s="122"/>
      <c r="CD185" s="122"/>
      <c r="CE185" s="122"/>
      <c r="CF185" s="122"/>
      <c r="CG185" s="122"/>
      <c r="CH185" s="122"/>
      <c r="CI185" s="122"/>
      <c r="CJ185" s="122"/>
      <c r="CK185" s="122"/>
      <c r="CL185" s="122"/>
      <c r="CM185" s="122"/>
      <c r="CN185" s="122"/>
      <c r="CO185" s="122"/>
      <c r="CP185" s="122"/>
      <c r="CQ185" s="122"/>
      <c r="CR185" s="122"/>
      <c r="CS185" s="122"/>
      <c r="CT185" s="122"/>
      <c r="CU185" s="122"/>
      <c r="CV185" s="122"/>
      <c r="CW185" s="122"/>
      <c r="CX185" s="122"/>
      <c r="CY185" s="122"/>
      <c r="CZ185" s="122"/>
      <c r="DA185" s="122"/>
      <c r="DB185" s="122"/>
      <c r="DC185" s="122"/>
      <c r="DD185" s="122"/>
      <c r="DE185" s="122"/>
      <c r="DF185" s="122"/>
      <c r="DG185" s="122"/>
      <c r="DH185" s="122"/>
      <c r="DI185" s="122"/>
      <c r="DJ185" s="122"/>
      <c r="DK185" s="122"/>
      <c r="DL185" s="122"/>
      <c r="DM185" s="122"/>
      <c r="DN185" s="122"/>
      <c r="DO185" s="122"/>
      <c r="DP185" s="122"/>
      <c r="DQ185" s="122"/>
      <c r="DR185" s="122"/>
      <c r="DS185" s="122"/>
      <c r="DT185" s="122"/>
      <c r="DU185" s="122"/>
      <c r="DV185" s="122"/>
      <c r="DW185" s="122"/>
      <c r="DX185" s="122"/>
      <c r="DY185" s="122"/>
      <c r="DZ185" s="122"/>
      <c r="EA185" s="122"/>
      <c r="EB185" s="122"/>
      <c r="EC185" s="122"/>
      <c r="ED185" s="122"/>
      <c r="EE185" s="122"/>
      <c r="EF185" s="122"/>
      <c r="EG185" s="122"/>
      <c r="EH185" s="122"/>
      <c r="EI185" s="122"/>
      <c r="EJ185" s="122"/>
      <c r="EK185" s="122"/>
      <c r="EL185" s="122"/>
      <c r="EM185" s="122"/>
      <c r="EN185" s="122"/>
      <c r="EO185" s="122"/>
      <c r="EP185" s="122"/>
      <c r="EQ185" s="122"/>
      <c r="ER185" s="122"/>
      <c r="ES185" s="122"/>
      <c r="ET185" s="122"/>
      <c r="EU185" s="122"/>
      <c r="EV185" s="122"/>
      <c r="EW185" s="122"/>
      <c r="EX185" s="122"/>
      <c r="EY185" s="122"/>
      <c r="EZ185" s="122"/>
      <c r="FA185" s="122"/>
      <c r="FB185" s="122"/>
      <c r="FC185" s="122"/>
      <c r="FD185" s="122"/>
      <c r="FE185" s="122"/>
      <c r="FF185" s="122"/>
      <c r="FG185" s="122"/>
      <c r="FH185" s="122"/>
      <c r="FI185" s="122"/>
      <c r="FJ185" s="122"/>
      <c r="FK185" s="122"/>
      <c r="FL185" s="122"/>
      <c r="FM185" s="122"/>
      <c r="FN185" s="122"/>
      <c r="FO185" s="122"/>
      <c r="FP185" s="122"/>
      <c r="FQ185" s="122"/>
      <c r="FR185" s="122"/>
      <c r="FS185" s="122"/>
      <c r="FT185" s="122"/>
      <c r="FU185" s="122"/>
      <c r="FV185" s="122"/>
      <c r="FW185" s="122"/>
      <c r="FX185" s="122"/>
      <c r="FY185" s="122"/>
      <c r="FZ185" s="122"/>
      <c r="GA185" s="122"/>
      <c r="GB185" s="122"/>
      <c r="GC185" s="122"/>
      <c r="GD185" s="122"/>
      <c r="GE185" s="122"/>
      <c r="GF185" s="122"/>
      <c r="GG185" s="122"/>
      <c r="GH185" s="122"/>
      <c r="GI185" s="122"/>
    </row>
    <row r="186" spans="1:191" s="13" customFormat="1" ht="20.25" customHeight="1">
      <c r="A186" s="117"/>
      <c r="B186" s="147"/>
      <c r="C186" s="143"/>
      <c r="D186" s="121"/>
      <c r="E186" s="103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122"/>
      <c r="AQ186" s="122"/>
      <c r="AR186" s="122"/>
      <c r="AS186" s="122"/>
      <c r="AT186" s="122"/>
      <c r="AU186" s="122"/>
      <c r="AV186" s="122"/>
      <c r="AW186" s="122"/>
      <c r="AX186" s="122"/>
      <c r="AY186" s="122"/>
      <c r="AZ186" s="122"/>
      <c r="BA186" s="122"/>
      <c r="BB186" s="122"/>
      <c r="BC186" s="122"/>
      <c r="BD186" s="122"/>
      <c r="BE186" s="122"/>
      <c r="BF186" s="122"/>
      <c r="BG186" s="122"/>
      <c r="BH186" s="122"/>
      <c r="BI186" s="122"/>
      <c r="BJ186" s="122"/>
      <c r="BK186" s="122"/>
      <c r="BL186" s="122"/>
      <c r="BM186" s="122"/>
      <c r="BN186" s="122"/>
      <c r="BO186" s="122"/>
      <c r="BP186" s="122"/>
      <c r="BQ186" s="122"/>
      <c r="BR186" s="123"/>
      <c r="BS186" s="123"/>
      <c r="BT186" s="123"/>
      <c r="BU186" s="122"/>
      <c r="BV186" s="122"/>
      <c r="BW186" s="122"/>
      <c r="BX186" s="122"/>
      <c r="BY186" s="122"/>
      <c r="BZ186" s="122"/>
      <c r="CA186" s="122"/>
      <c r="CB186" s="122"/>
      <c r="CC186" s="122"/>
      <c r="CD186" s="122"/>
      <c r="CE186" s="122"/>
      <c r="CF186" s="122"/>
      <c r="CG186" s="122"/>
      <c r="CH186" s="122"/>
      <c r="CI186" s="122"/>
      <c r="CJ186" s="122"/>
      <c r="CK186" s="122"/>
      <c r="CL186" s="122"/>
      <c r="CM186" s="122"/>
      <c r="CN186" s="122"/>
      <c r="CO186" s="122"/>
      <c r="CP186" s="122"/>
      <c r="CQ186" s="122"/>
      <c r="CR186" s="122"/>
      <c r="CS186" s="122"/>
      <c r="CT186" s="122"/>
      <c r="CU186" s="122"/>
      <c r="CV186" s="122"/>
      <c r="CW186" s="122"/>
      <c r="CX186" s="122"/>
      <c r="CY186" s="122"/>
      <c r="CZ186" s="122"/>
      <c r="DA186" s="122"/>
      <c r="DB186" s="122"/>
      <c r="DC186" s="122"/>
      <c r="DD186" s="122"/>
      <c r="DE186" s="122"/>
      <c r="DF186" s="122"/>
      <c r="DG186" s="122"/>
      <c r="DH186" s="122"/>
      <c r="DI186" s="122"/>
      <c r="DJ186" s="122"/>
      <c r="DK186" s="122"/>
      <c r="DL186" s="122"/>
      <c r="DM186" s="122"/>
      <c r="DN186" s="122"/>
      <c r="DO186" s="122"/>
      <c r="DP186" s="122"/>
      <c r="DQ186" s="122"/>
      <c r="DR186" s="122"/>
      <c r="DS186" s="122"/>
      <c r="DT186" s="122"/>
      <c r="DU186" s="122"/>
      <c r="DV186" s="122"/>
      <c r="DW186" s="122"/>
      <c r="DX186" s="122"/>
      <c r="DY186" s="122"/>
      <c r="DZ186" s="122"/>
      <c r="EA186" s="122"/>
      <c r="EB186" s="122"/>
      <c r="EC186" s="122"/>
      <c r="ED186" s="122"/>
      <c r="EE186" s="122"/>
      <c r="EF186" s="122"/>
      <c r="EG186" s="122"/>
      <c r="EH186" s="122"/>
      <c r="EI186" s="122"/>
      <c r="EJ186" s="122"/>
      <c r="EK186" s="122"/>
      <c r="EL186" s="122"/>
      <c r="EM186" s="122"/>
      <c r="EN186" s="122"/>
      <c r="EO186" s="122"/>
      <c r="EP186" s="122"/>
      <c r="EQ186" s="122"/>
      <c r="ER186" s="122"/>
      <c r="ES186" s="122"/>
      <c r="ET186" s="122"/>
      <c r="EU186" s="122"/>
      <c r="EV186" s="122"/>
      <c r="EW186" s="122"/>
      <c r="EX186" s="122"/>
      <c r="EY186" s="122"/>
      <c r="EZ186" s="122"/>
      <c r="FA186" s="122"/>
      <c r="FB186" s="122"/>
      <c r="FC186" s="122"/>
      <c r="FD186" s="122"/>
      <c r="FE186" s="122"/>
      <c r="FF186" s="122"/>
      <c r="FG186" s="122"/>
      <c r="FH186" s="122"/>
      <c r="FI186" s="122"/>
      <c r="FJ186" s="122"/>
      <c r="FK186" s="122"/>
      <c r="FL186" s="122"/>
      <c r="FM186" s="122"/>
      <c r="FN186" s="122"/>
      <c r="FO186" s="122"/>
      <c r="FP186" s="122"/>
      <c r="FQ186" s="122"/>
      <c r="FR186" s="122"/>
      <c r="FS186" s="122"/>
      <c r="FT186" s="122"/>
      <c r="FU186" s="122"/>
      <c r="FV186" s="122"/>
      <c r="FW186" s="122"/>
      <c r="FX186" s="122"/>
      <c r="FY186" s="122"/>
      <c r="FZ186" s="122"/>
      <c r="GA186" s="122"/>
      <c r="GB186" s="122"/>
      <c r="GC186" s="122"/>
      <c r="GD186" s="122"/>
      <c r="GE186" s="122"/>
      <c r="GF186" s="122"/>
      <c r="GG186" s="122"/>
      <c r="GH186" s="122"/>
      <c r="GI186" s="122"/>
    </row>
    <row r="187" spans="1:191" s="13" customFormat="1" ht="20.25" customHeight="1">
      <c r="A187" s="117">
        <v>90</v>
      </c>
      <c r="B187" s="147"/>
      <c r="C187" s="143"/>
      <c r="D187" s="102">
        <f t="shared" ref="D187" si="92">IFERROR(SUMPRODUCT(F187:HE187,$F$6:$HE$6)/100,0)</f>
        <v>0</v>
      </c>
      <c r="E187" s="103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122"/>
      <c r="AQ187" s="122"/>
      <c r="AR187" s="122"/>
      <c r="AS187" s="122"/>
      <c r="AT187" s="122"/>
      <c r="AU187" s="122"/>
      <c r="AV187" s="122"/>
      <c r="AW187" s="122"/>
      <c r="AX187" s="122"/>
      <c r="AY187" s="122"/>
      <c r="AZ187" s="122"/>
      <c r="BA187" s="122"/>
      <c r="BB187" s="122"/>
      <c r="BC187" s="122"/>
      <c r="BD187" s="122"/>
      <c r="BE187" s="122"/>
      <c r="BF187" s="122"/>
      <c r="BG187" s="122"/>
      <c r="BH187" s="122"/>
      <c r="BI187" s="122"/>
      <c r="BJ187" s="122"/>
      <c r="BK187" s="122"/>
      <c r="BL187" s="122"/>
      <c r="BM187" s="122"/>
      <c r="BN187" s="122"/>
      <c r="BO187" s="122"/>
      <c r="BP187" s="122"/>
      <c r="BQ187" s="122"/>
      <c r="BR187" s="123"/>
      <c r="BS187" s="123"/>
      <c r="BT187" s="123"/>
      <c r="BU187" s="122"/>
      <c r="BV187" s="122"/>
      <c r="BW187" s="122"/>
      <c r="BX187" s="122"/>
      <c r="BY187" s="122"/>
      <c r="BZ187" s="122"/>
      <c r="CA187" s="122"/>
      <c r="CB187" s="122"/>
      <c r="CC187" s="122"/>
      <c r="CD187" s="122"/>
      <c r="CE187" s="122"/>
      <c r="CF187" s="122"/>
      <c r="CG187" s="122"/>
      <c r="CH187" s="122"/>
      <c r="CI187" s="122"/>
      <c r="CJ187" s="122"/>
      <c r="CK187" s="122"/>
      <c r="CL187" s="122"/>
      <c r="CM187" s="122"/>
      <c r="CN187" s="122"/>
      <c r="CO187" s="122"/>
      <c r="CP187" s="122"/>
      <c r="CQ187" s="122"/>
      <c r="CR187" s="122"/>
      <c r="CS187" s="122"/>
      <c r="CT187" s="122"/>
      <c r="CU187" s="122"/>
      <c r="CV187" s="122"/>
      <c r="CW187" s="122"/>
      <c r="CX187" s="122"/>
      <c r="CY187" s="122"/>
      <c r="CZ187" s="122"/>
      <c r="DA187" s="122"/>
      <c r="DB187" s="122"/>
      <c r="DC187" s="122"/>
      <c r="DD187" s="122"/>
      <c r="DE187" s="122"/>
      <c r="DF187" s="122"/>
      <c r="DG187" s="122"/>
      <c r="DH187" s="122"/>
      <c r="DI187" s="122"/>
      <c r="DJ187" s="122"/>
      <c r="DK187" s="122"/>
      <c r="DL187" s="122"/>
      <c r="DM187" s="122"/>
      <c r="DN187" s="122"/>
      <c r="DO187" s="122"/>
      <c r="DP187" s="122"/>
      <c r="DQ187" s="122"/>
      <c r="DR187" s="122"/>
      <c r="DS187" s="122"/>
      <c r="DT187" s="122"/>
      <c r="DU187" s="122"/>
      <c r="DV187" s="122"/>
      <c r="DW187" s="122"/>
      <c r="DX187" s="122"/>
      <c r="DY187" s="122"/>
      <c r="DZ187" s="122"/>
      <c r="EA187" s="122"/>
      <c r="EB187" s="122"/>
      <c r="EC187" s="122"/>
      <c r="ED187" s="122"/>
      <c r="EE187" s="122"/>
      <c r="EF187" s="122"/>
      <c r="EG187" s="122"/>
      <c r="EH187" s="122"/>
      <c r="EI187" s="122"/>
      <c r="EJ187" s="122"/>
      <c r="EK187" s="122"/>
      <c r="EL187" s="122"/>
      <c r="EM187" s="122"/>
      <c r="EN187" s="122"/>
      <c r="EO187" s="122"/>
      <c r="EP187" s="122"/>
      <c r="EQ187" s="122"/>
      <c r="ER187" s="122"/>
      <c r="ES187" s="122"/>
      <c r="ET187" s="122"/>
      <c r="EU187" s="122"/>
      <c r="EV187" s="122"/>
      <c r="EW187" s="122"/>
      <c r="EX187" s="122"/>
      <c r="EY187" s="122"/>
      <c r="EZ187" s="122"/>
      <c r="FA187" s="122"/>
      <c r="FB187" s="122"/>
      <c r="FC187" s="122"/>
      <c r="FD187" s="122"/>
      <c r="FE187" s="122"/>
      <c r="FF187" s="122"/>
      <c r="FG187" s="122"/>
      <c r="FH187" s="122"/>
      <c r="FI187" s="122"/>
      <c r="FJ187" s="122"/>
      <c r="FK187" s="122"/>
      <c r="FL187" s="122"/>
      <c r="FM187" s="122"/>
      <c r="FN187" s="122"/>
      <c r="FO187" s="122"/>
      <c r="FP187" s="122"/>
      <c r="FQ187" s="122"/>
      <c r="FR187" s="122"/>
      <c r="FS187" s="122"/>
      <c r="FT187" s="122"/>
      <c r="FU187" s="122"/>
      <c r="FV187" s="122"/>
      <c r="FW187" s="122"/>
      <c r="FX187" s="122"/>
      <c r="FY187" s="122"/>
      <c r="FZ187" s="122"/>
      <c r="GA187" s="122"/>
      <c r="GB187" s="122"/>
      <c r="GC187" s="122"/>
      <c r="GD187" s="122"/>
      <c r="GE187" s="122"/>
      <c r="GF187" s="122"/>
      <c r="GG187" s="122"/>
      <c r="GH187" s="122"/>
      <c r="GI187" s="122"/>
    </row>
    <row r="188" spans="1:191" s="13" customFormat="1" ht="20.25" customHeight="1">
      <c r="A188" s="117"/>
      <c r="B188" s="147"/>
      <c r="C188" s="143"/>
      <c r="D188" s="121"/>
      <c r="E188" s="103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122"/>
      <c r="AQ188" s="122"/>
      <c r="AR188" s="122"/>
      <c r="AS188" s="122"/>
      <c r="AT188" s="122"/>
      <c r="AU188" s="122"/>
      <c r="AV188" s="122"/>
      <c r="AW188" s="122"/>
      <c r="AX188" s="122"/>
      <c r="AY188" s="122"/>
      <c r="AZ188" s="122"/>
      <c r="BA188" s="122"/>
      <c r="BB188" s="122"/>
      <c r="BC188" s="122"/>
      <c r="BD188" s="122"/>
      <c r="BE188" s="122"/>
      <c r="BF188" s="122"/>
      <c r="BG188" s="122"/>
      <c r="BH188" s="122"/>
      <c r="BI188" s="122"/>
      <c r="BJ188" s="122"/>
      <c r="BK188" s="122"/>
      <c r="BL188" s="122"/>
      <c r="BM188" s="122"/>
      <c r="BN188" s="122"/>
      <c r="BO188" s="122"/>
      <c r="BP188" s="122"/>
      <c r="BQ188" s="122"/>
      <c r="BR188" s="123"/>
      <c r="BS188" s="123"/>
      <c r="BT188" s="123"/>
      <c r="BU188" s="122"/>
      <c r="BV188" s="122"/>
      <c r="BW188" s="122"/>
      <c r="BX188" s="122"/>
      <c r="BY188" s="122"/>
      <c r="BZ188" s="122"/>
      <c r="CA188" s="122"/>
      <c r="CB188" s="122"/>
      <c r="CC188" s="122"/>
      <c r="CD188" s="122"/>
      <c r="CE188" s="122"/>
      <c r="CF188" s="122"/>
      <c r="CG188" s="122"/>
      <c r="CH188" s="122"/>
      <c r="CI188" s="122"/>
      <c r="CJ188" s="122"/>
      <c r="CK188" s="122"/>
      <c r="CL188" s="122"/>
      <c r="CM188" s="122"/>
      <c r="CN188" s="122"/>
      <c r="CO188" s="122"/>
      <c r="CP188" s="122"/>
      <c r="CQ188" s="122"/>
      <c r="CR188" s="122"/>
      <c r="CS188" s="122"/>
      <c r="CT188" s="122"/>
      <c r="CU188" s="122"/>
      <c r="CV188" s="122"/>
      <c r="CW188" s="122"/>
      <c r="CX188" s="122"/>
      <c r="CY188" s="122"/>
      <c r="CZ188" s="122"/>
      <c r="DA188" s="122"/>
      <c r="DB188" s="122"/>
      <c r="DC188" s="122"/>
      <c r="DD188" s="122"/>
      <c r="DE188" s="122"/>
      <c r="DF188" s="122"/>
      <c r="DG188" s="122"/>
      <c r="DH188" s="122"/>
      <c r="DI188" s="122"/>
      <c r="DJ188" s="122"/>
      <c r="DK188" s="122"/>
      <c r="DL188" s="122"/>
      <c r="DM188" s="122"/>
      <c r="DN188" s="122"/>
      <c r="DO188" s="122"/>
      <c r="DP188" s="122"/>
      <c r="DQ188" s="122"/>
      <c r="DR188" s="122"/>
      <c r="DS188" s="122"/>
      <c r="DT188" s="122"/>
      <c r="DU188" s="122"/>
      <c r="DV188" s="122"/>
      <c r="DW188" s="122"/>
      <c r="DX188" s="122"/>
      <c r="DY188" s="122"/>
      <c r="DZ188" s="122"/>
      <c r="EA188" s="122"/>
      <c r="EB188" s="122"/>
      <c r="EC188" s="122"/>
      <c r="ED188" s="122"/>
      <c r="EE188" s="122"/>
      <c r="EF188" s="122"/>
      <c r="EG188" s="122"/>
      <c r="EH188" s="122"/>
      <c r="EI188" s="122"/>
      <c r="EJ188" s="122"/>
      <c r="EK188" s="122"/>
      <c r="EL188" s="122"/>
      <c r="EM188" s="122"/>
      <c r="EN188" s="122"/>
      <c r="EO188" s="122"/>
      <c r="EP188" s="122"/>
      <c r="EQ188" s="122"/>
      <c r="ER188" s="122"/>
      <c r="ES188" s="122"/>
      <c r="ET188" s="122"/>
      <c r="EU188" s="122"/>
      <c r="EV188" s="122"/>
      <c r="EW188" s="122"/>
      <c r="EX188" s="122"/>
      <c r="EY188" s="122"/>
      <c r="EZ188" s="122"/>
      <c r="FA188" s="122"/>
      <c r="FB188" s="122"/>
      <c r="FC188" s="122"/>
      <c r="FD188" s="122"/>
      <c r="FE188" s="122"/>
      <c r="FF188" s="122"/>
      <c r="FG188" s="122"/>
      <c r="FH188" s="122"/>
      <c r="FI188" s="122"/>
      <c r="FJ188" s="122"/>
      <c r="FK188" s="122"/>
      <c r="FL188" s="122"/>
      <c r="FM188" s="122"/>
      <c r="FN188" s="122"/>
      <c r="FO188" s="122"/>
      <c r="FP188" s="122"/>
      <c r="FQ188" s="122"/>
      <c r="FR188" s="122"/>
      <c r="FS188" s="122"/>
      <c r="FT188" s="122"/>
      <c r="FU188" s="122"/>
      <c r="FV188" s="122"/>
      <c r="FW188" s="122"/>
      <c r="FX188" s="122"/>
      <c r="FY188" s="122"/>
      <c r="FZ188" s="122"/>
      <c r="GA188" s="122"/>
      <c r="GB188" s="122"/>
      <c r="GC188" s="122"/>
      <c r="GD188" s="122"/>
      <c r="GE188" s="122"/>
      <c r="GF188" s="122"/>
      <c r="GG188" s="122"/>
      <c r="GH188" s="122"/>
      <c r="GI188" s="122"/>
    </row>
    <row r="189" spans="1:191" s="13" customFormat="1" ht="20.25" customHeight="1">
      <c r="A189" s="117">
        <v>91</v>
      </c>
      <c r="B189" s="147"/>
      <c r="C189" s="143"/>
      <c r="D189" s="102">
        <f t="shared" ref="D189" si="93">IFERROR(SUMPRODUCT(F189:HE189,$F$6:$HE$6)/100,0)</f>
        <v>0</v>
      </c>
      <c r="E189" s="103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122"/>
      <c r="AQ189" s="122"/>
      <c r="AR189" s="122"/>
      <c r="AS189" s="122"/>
      <c r="AT189" s="122"/>
      <c r="AU189" s="122"/>
      <c r="AV189" s="122"/>
      <c r="AW189" s="122"/>
      <c r="AX189" s="122"/>
      <c r="AY189" s="122"/>
      <c r="AZ189" s="122"/>
      <c r="BA189" s="122"/>
      <c r="BB189" s="122"/>
      <c r="BC189" s="122"/>
      <c r="BD189" s="122"/>
      <c r="BE189" s="122"/>
      <c r="BF189" s="122"/>
      <c r="BG189" s="122"/>
      <c r="BH189" s="122"/>
      <c r="BI189" s="122"/>
      <c r="BJ189" s="122"/>
      <c r="BK189" s="122"/>
      <c r="BL189" s="122"/>
      <c r="BM189" s="122"/>
      <c r="BN189" s="122"/>
      <c r="BO189" s="122"/>
      <c r="BP189" s="122"/>
      <c r="BQ189" s="122"/>
      <c r="BR189" s="123"/>
      <c r="BS189" s="123"/>
      <c r="BT189" s="123"/>
      <c r="BU189" s="122"/>
      <c r="BV189" s="122"/>
      <c r="BW189" s="122"/>
      <c r="BX189" s="122"/>
      <c r="BY189" s="122"/>
      <c r="BZ189" s="122"/>
      <c r="CA189" s="122"/>
      <c r="CB189" s="122"/>
      <c r="CC189" s="122"/>
      <c r="CD189" s="122"/>
      <c r="CE189" s="122"/>
      <c r="CF189" s="122"/>
      <c r="CG189" s="122"/>
      <c r="CH189" s="122"/>
      <c r="CI189" s="122"/>
      <c r="CJ189" s="122"/>
      <c r="CK189" s="122"/>
      <c r="CL189" s="122"/>
      <c r="CM189" s="122"/>
      <c r="CN189" s="122"/>
      <c r="CO189" s="122"/>
      <c r="CP189" s="122"/>
      <c r="CQ189" s="122"/>
      <c r="CR189" s="122"/>
      <c r="CS189" s="122"/>
      <c r="CT189" s="122"/>
      <c r="CU189" s="122"/>
      <c r="CV189" s="122"/>
      <c r="CW189" s="122"/>
      <c r="CX189" s="122"/>
      <c r="CY189" s="122"/>
      <c r="CZ189" s="122"/>
      <c r="DA189" s="122"/>
      <c r="DB189" s="122"/>
      <c r="DC189" s="122"/>
      <c r="DD189" s="122"/>
      <c r="DE189" s="122"/>
      <c r="DF189" s="122"/>
      <c r="DG189" s="122"/>
      <c r="DH189" s="122"/>
      <c r="DI189" s="122"/>
      <c r="DJ189" s="122"/>
      <c r="DK189" s="122"/>
      <c r="DL189" s="122"/>
      <c r="DM189" s="122"/>
      <c r="DN189" s="122"/>
      <c r="DO189" s="122"/>
      <c r="DP189" s="122"/>
      <c r="DQ189" s="122"/>
      <c r="DR189" s="122"/>
      <c r="DS189" s="122"/>
      <c r="DT189" s="122"/>
      <c r="DU189" s="122"/>
      <c r="DV189" s="122"/>
      <c r="DW189" s="122"/>
      <c r="DX189" s="122"/>
      <c r="DY189" s="122"/>
      <c r="DZ189" s="122"/>
      <c r="EA189" s="122"/>
      <c r="EB189" s="122"/>
      <c r="EC189" s="122"/>
      <c r="ED189" s="122"/>
      <c r="EE189" s="122"/>
      <c r="EF189" s="122"/>
      <c r="EG189" s="122"/>
      <c r="EH189" s="122"/>
      <c r="EI189" s="122"/>
      <c r="EJ189" s="122"/>
      <c r="EK189" s="122"/>
      <c r="EL189" s="122"/>
      <c r="EM189" s="122"/>
      <c r="EN189" s="122"/>
      <c r="EO189" s="122"/>
      <c r="EP189" s="122"/>
      <c r="EQ189" s="122"/>
      <c r="ER189" s="122"/>
      <c r="ES189" s="122"/>
      <c r="ET189" s="122"/>
      <c r="EU189" s="122"/>
      <c r="EV189" s="122"/>
      <c r="EW189" s="122"/>
      <c r="EX189" s="122"/>
      <c r="EY189" s="122"/>
      <c r="EZ189" s="122"/>
      <c r="FA189" s="122"/>
      <c r="FB189" s="122"/>
      <c r="FC189" s="122"/>
      <c r="FD189" s="122"/>
      <c r="FE189" s="122"/>
      <c r="FF189" s="122"/>
      <c r="FG189" s="122"/>
      <c r="FH189" s="122"/>
      <c r="FI189" s="122"/>
      <c r="FJ189" s="122"/>
      <c r="FK189" s="122"/>
      <c r="FL189" s="122"/>
      <c r="FM189" s="122"/>
      <c r="FN189" s="122"/>
      <c r="FO189" s="122"/>
      <c r="FP189" s="122"/>
      <c r="FQ189" s="122"/>
      <c r="FR189" s="122"/>
      <c r="FS189" s="122"/>
      <c r="FT189" s="122"/>
      <c r="FU189" s="122"/>
      <c r="FV189" s="122"/>
      <c r="FW189" s="122"/>
      <c r="FX189" s="122"/>
      <c r="FY189" s="122"/>
      <c r="FZ189" s="122"/>
      <c r="GA189" s="122"/>
      <c r="GB189" s="122"/>
      <c r="GC189" s="122"/>
      <c r="GD189" s="122"/>
      <c r="GE189" s="122"/>
      <c r="GF189" s="122"/>
      <c r="GG189" s="122"/>
      <c r="GH189" s="122"/>
      <c r="GI189" s="122"/>
    </row>
    <row r="190" spans="1:191" s="13" customFormat="1" ht="20.25" customHeight="1">
      <c r="A190" s="117"/>
      <c r="B190" s="147"/>
      <c r="C190" s="143"/>
      <c r="D190" s="121"/>
      <c r="E190" s="103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122"/>
      <c r="AQ190" s="122"/>
      <c r="AR190" s="122"/>
      <c r="AS190" s="122"/>
      <c r="AT190" s="122"/>
      <c r="AU190" s="122"/>
      <c r="AV190" s="122"/>
      <c r="AW190" s="122"/>
      <c r="AX190" s="122"/>
      <c r="AY190" s="122"/>
      <c r="AZ190" s="122"/>
      <c r="BA190" s="122"/>
      <c r="BB190" s="122"/>
      <c r="BC190" s="122"/>
      <c r="BD190" s="122"/>
      <c r="BE190" s="122"/>
      <c r="BF190" s="122"/>
      <c r="BG190" s="122"/>
      <c r="BH190" s="122"/>
      <c r="BI190" s="122"/>
      <c r="BJ190" s="122"/>
      <c r="BK190" s="122"/>
      <c r="BL190" s="122"/>
      <c r="BM190" s="122"/>
      <c r="BN190" s="122"/>
      <c r="BO190" s="122"/>
      <c r="BP190" s="122"/>
      <c r="BQ190" s="122"/>
      <c r="BR190" s="123"/>
      <c r="BS190" s="123"/>
      <c r="BT190" s="123"/>
      <c r="BU190" s="122"/>
      <c r="BV190" s="122"/>
      <c r="BW190" s="122"/>
      <c r="BX190" s="122"/>
      <c r="BY190" s="122"/>
      <c r="BZ190" s="122"/>
      <c r="CA190" s="122"/>
      <c r="CB190" s="122"/>
      <c r="CC190" s="122"/>
      <c r="CD190" s="122"/>
      <c r="CE190" s="122"/>
      <c r="CF190" s="122"/>
      <c r="CG190" s="122"/>
      <c r="CH190" s="122"/>
      <c r="CI190" s="122"/>
      <c r="CJ190" s="122"/>
      <c r="CK190" s="122"/>
      <c r="CL190" s="122"/>
      <c r="CM190" s="122"/>
      <c r="CN190" s="122"/>
      <c r="CO190" s="122"/>
      <c r="CP190" s="122"/>
      <c r="CQ190" s="122"/>
      <c r="CR190" s="122"/>
      <c r="CS190" s="122"/>
      <c r="CT190" s="122"/>
      <c r="CU190" s="122"/>
      <c r="CV190" s="122"/>
      <c r="CW190" s="122"/>
      <c r="CX190" s="122"/>
      <c r="CY190" s="122"/>
      <c r="CZ190" s="122"/>
      <c r="DA190" s="122"/>
      <c r="DB190" s="122"/>
      <c r="DC190" s="122"/>
      <c r="DD190" s="122"/>
      <c r="DE190" s="122"/>
      <c r="DF190" s="122"/>
      <c r="DG190" s="122"/>
      <c r="DH190" s="122"/>
      <c r="DI190" s="122"/>
      <c r="DJ190" s="122"/>
      <c r="DK190" s="122"/>
      <c r="DL190" s="122"/>
      <c r="DM190" s="122"/>
      <c r="DN190" s="122"/>
      <c r="DO190" s="122"/>
      <c r="DP190" s="122"/>
      <c r="DQ190" s="122"/>
      <c r="DR190" s="122"/>
      <c r="DS190" s="122"/>
      <c r="DT190" s="122"/>
      <c r="DU190" s="122"/>
      <c r="DV190" s="122"/>
      <c r="DW190" s="122"/>
      <c r="DX190" s="122"/>
      <c r="DY190" s="122"/>
      <c r="DZ190" s="122"/>
      <c r="EA190" s="122"/>
      <c r="EB190" s="122"/>
      <c r="EC190" s="122"/>
      <c r="ED190" s="122"/>
      <c r="EE190" s="122"/>
      <c r="EF190" s="122"/>
      <c r="EG190" s="122"/>
      <c r="EH190" s="122"/>
      <c r="EI190" s="122"/>
      <c r="EJ190" s="122"/>
      <c r="EK190" s="122"/>
      <c r="EL190" s="122"/>
      <c r="EM190" s="122"/>
      <c r="EN190" s="122"/>
      <c r="EO190" s="122"/>
      <c r="EP190" s="122"/>
      <c r="EQ190" s="122"/>
      <c r="ER190" s="122"/>
      <c r="ES190" s="122"/>
      <c r="ET190" s="122"/>
      <c r="EU190" s="122"/>
      <c r="EV190" s="122"/>
      <c r="EW190" s="122"/>
      <c r="EX190" s="122"/>
      <c r="EY190" s="122"/>
      <c r="EZ190" s="122"/>
      <c r="FA190" s="122"/>
      <c r="FB190" s="122"/>
      <c r="FC190" s="122"/>
      <c r="FD190" s="122"/>
      <c r="FE190" s="122"/>
      <c r="FF190" s="122"/>
      <c r="FG190" s="122"/>
      <c r="FH190" s="122"/>
      <c r="FI190" s="122"/>
      <c r="FJ190" s="122"/>
      <c r="FK190" s="122"/>
      <c r="FL190" s="122"/>
      <c r="FM190" s="122"/>
      <c r="FN190" s="122"/>
      <c r="FO190" s="122"/>
      <c r="FP190" s="122"/>
      <c r="FQ190" s="122"/>
      <c r="FR190" s="122"/>
      <c r="FS190" s="122"/>
      <c r="FT190" s="122"/>
      <c r="FU190" s="122"/>
      <c r="FV190" s="122"/>
      <c r="FW190" s="122"/>
      <c r="FX190" s="122"/>
      <c r="FY190" s="122"/>
      <c r="FZ190" s="122"/>
      <c r="GA190" s="122"/>
      <c r="GB190" s="122"/>
      <c r="GC190" s="122"/>
      <c r="GD190" s="122"/>
      <c r="GE190" s="122"/>
      <c r="GF190" s="122"/>
      <c r="GG190" s="122"/>
      <c r="GH190" s="122"/>
      <c r="GI190" s="122"/>
    </row>
    <row r="191" spans="1:191" s="13" customFormat="1" ht="20.25" customHeight="1">
      <c r="A191" s="117">
        <v>92</v>
      </c>
      <c r="B191" s="147"/>
      <c r="C191" s="143"/>
      <c r="D191" s="102">
        <f t="shared" ref="D191" si="94">IFERROR(SUMPRODUCT(F191:HE191,$F$6:$HE$6)/100,0)</f>
        <v>0</v>
      </c>
      <c r="E191" s="103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122"/>
      <c r="AQ191" s="122"/>
      <c r="AR191" s="122"/>
      <c r="AS191" s="122"/>
      <c r="AT191" s="122"/>
      <c r="AU191" s="122"/>
      <c r="AV191" s="122"/>
      <c r="AW191" s="122"/>
      <c r="AX191" s="122"/>
      <c r="AY191" s="122"/>
      <c r="AZ191" s="122"/>
      <c r="BA191" s="122"/>
      <c r="BB191" s="122"/>
      <c r="BC191" s="122"/>
      <c r="BD191" s="122"/>
      <c r="BE191" s="122"/>
      <c r="BF191" s="122"/>
      <c r="BG191" s="122"/>
      <c r="BH191" s="122"/>
      <c r="BI191" s="122"/>
      <c r="BJ191" s="122"/>
      <c r="BK191" s="122"/>
      <c r="BL191" s="122"/>
      <c r="BM191" s="122"/>
      <c r="BN191" s="122"/>
      <c r="BO191" s="122"/>
      <c r="BP191" s="122"/>
      <c r="BQ191" s="122"/>
      <c r="BR191" s="123"/>
      <c r="BS191" s="123"/>
      <c r="BT191" s="123"/>
      <c r="BU191" s="122"/>
      <c r="BV191" s="122"/>
      <c r="BW191" s="122"/>
      <c r="BX191" s="122"/>
      <c r="BY191" s="122"/>
      <c r="BZ191" s="122"/>
      <c r="CA191" s="122"/>
      <c r="CB191" s="122"/>
      <c r="CC191" s="122"/>
      <c r="CD191" s="122"/>
      <c r="CE191" s="122"/>
      <c r="CF191" s="122"/>
      <c r="CG191" s="122"/>
      <c r="CH191" s="122"/>
      <c r="CI191" s="122"/>
      <c r="CJ191" s="122"/>
      <c r="CK191" s="122"/>
      <c r="CL191" s="122"/>
      <c r="CM191" s="122"/>
      <c r="CN191" s="122"/>
      <c r="CO191" s="122"/>
      <c r="CP191" s="122"/>
      <c r="CQ191" s="122"/>
      <c r="CR191" s="122"/>
      <c r="CS191" s="122"/>
      <c r="CT191" s="122"/>
      <c r="CU191" s="122"/>
      <c r="CV191" s="122"/>
      <c r="CW191" s="122"/>
      <c r="CX191" s="122"/>
      <c r="CY191" s="122"/>
      <c r="CZ191" s="122"/>
      <c r="DA191" s="122"/>
      <c r="DB191" s="122"/>
      <c r="DC191" s="122"/>
      <c r="DD191" s="122"/>
      <c r="DE191" s="122"/>
      <c r="DF191" s="122"/>
      <c r="DG191" s="122"/>
      <c r="DH191" s="122"/>
      <c r="DI191" s="122"/>
      <c r="DJ191" s="122"/>
      <c r="DK191" s="122"/>
      <c r="DL191" s="122"/>
      <c r="DM191" s="122"/>
      <c r="DN191" s="122"/>
      <c r="DO191" s="122"/>
      <c r="DP191" s="122"/>
      <c r="DQ191" s="122"/>
      <c r="DR191" s="122"/>
      <c r="DS191" s="122"/>
      <c r="DT191" s="122"/>
      <c r="DU191" s="122"/>
      <c r="DV191" s="122"/>
      <c r="DW191" s="122"/>
      <c r="DX191" s="122"/>
      <c r="DY191" s="122"/>
      <c r="DZ191" s="122"/>
      <c r="EA191" s="122"/>
      <c r="EB191" s="122"/>
      <c r="EC191" s="122"/>
      <c r="ED191" s="122"/>
      <c r="EE191" s="122"/>
      <c r="EF191" s="122"/>
      <c r="EG191" s="122"/>
      <c r="EH191" s="122"/>
      <c r="EI191" s="122"/>
      <c r="EJ191" s="122"/>
      <c r="EK191" s="122"/>
      <c r="EL191" s="122"/>
      <c r="EM191" s="122"/>
      <c r="EN191" s="122"/>
      <c r="EO191" s="122"/>
      <c r="EP191" s="122"/>
      <c r="EQ191" s="122"/>
      <c r="ER191" s="122"/>
      <c r="ES191" s="122"/>
      <c r="ET191" s="122"/>
      <c r="EU191" s="122"/>
      <c r="EV191" s="122"/>
      <c r="EW191" s="122"/>
      <c r="EX191" s="122"/>
      <c r="EY191" s="122"/>
      <c r="EZ191" s="122"/>
      <c r="FA191" s="122"/>
      <c r="FB191" s="122"/>
      <c r="FC191" s="122"/>
      <c r="FD191" s="122"/>
      <c r="FE191" s="122"/>
      <c r="FF191" s="122"/>
      <c r="FG191" s="122"/>
      <c r="FH191" s="122"/>
      <c r="FI191" s="122"/>
      <c r="FJ191" s="122"/>
      <c r="FK191" s="122"/>
      <c r="FL191" s="122"/>
      <c r="FM191" s="122"/>
      <c r="FN191" s="122"/>
      <c r="FO191" s="122"/>
      <c r="FP191" s="122"/>
      <c r="FQ191" s="122"/>
      <c r="FR191" s="122"/>
      <c r="FS191" s="122"/>
      <c r="FT191" s="122"/>
      <c r="FU191" s="122"/>
      <c r="FV191" s="122"/>
      <c r="FW191" s="122"/>
      <c r="FX191" s="122"/>
      <c r="FY191" s="122"/>
      <c r="FZ191" s="122"/>
      <c r="GA191" s="122"/>
      <c r="GB191" s="122"/>
      <c r="GC191" s="122"/>
      <c r="GD191" s="122"/>
      <c r="GE191" s="122"/>
      <c r="GF191" s="122"/>
      <c r="GG191" s="122"/>
      <c r="GH191" s="122"/>
      <c r="GI191" s="122"/>
    </row>
    <row r="192" spans="1:191" s="13" customFormat="1" ht="20.25" customHeight="1">
      <c r="A192" s="117"/>
      <c r="B192" s="147"/>
      <c r="C192" s="143"/>
      <c r="D192" s="121"/>
      <c r="E192" s="103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122"/>
      <c r="AQ192" s="122"/>
      <c r="AR192" s="122"/>
      <c r="AS192" s="122"/>
      <c r="AT192" s="122"/>
      <c r="AU192" s="122"/>
      <c r="AV192" s="122"/>
      <c r="AW192" s="122"/>
      <c r="AX192" s="122"/>
      <c r="AY192" s="122"/>
      <c r="AZ192" s="122"/>
      <c r="BA192" s="122"/>
      <c r="BB192" s="122"/>
      <c r="BC192" s="122"/>
      <c r="BD192" s="122"/>
      <c r="BE192" s="122"/>
      <c r="BF192" s="122"/>
      <c r="BG192" s="122"/>
      <c r="BH192" s="122"/>
      <c r="BI192" s="122"/>
      <c r="BJ192" s="122"/>
      <c r="BK192" s="122"/>
      <c r="BL192" s="122"/>
      <c r="BM192" s="122"/>
      <c r="BN192" s="122"/>
      <c r="BO192" s="122"/>
      <c r="BP192" s="122"/>
      <c r="BQ192" s="122"/>
      <c r="BR192" s="123"/>
      <c r="BS192" s="123"/>
      <c r="BT192" s="123"/>
      <c r="BU192" s="122"/>
      <c r="BV192" s="122"/>
      <c r="BW192" s="122"/>
      <c r="BX192" s="122"/>
      <c r="BY192" s="122"/>
      <c r="BZ192" s="122"/>
      <c r="CA192" s="122"/>
      <c r="CB192" s="122"/>
      <c r="CC192" s="122"/>
      <c r="CD192" s="122"/>
      <c r="CE192" s="122"/>
      <c r="CF192" s="122"/>
      <c r="CG192" s="122"/>
      <c r="CH192" s="122"/>
      <c r="CI192" s="122"/>
      <c r="CJ192" s="122"/>
      <c r="CK192" s="122"/>
      <c r="CL192" s="122"/>
      <c r="CM192" s="122"/>
      <c r="CN192" s="122"/>
      <c r="CO192" s="122"/>
      <c r="CP192" s="122"/>
      <c r="CQ192" s="122"/>
      <c r="CR192" s="122"/>
      <c r="CS192" s="122"/>
      <c r="CT192" s="122"/>
      <c r="CU192" s="122"/>
      <c r="CV192" s="122"/>
      <c r="CW192" s="122"/>
      <c r="CX192" s="122"/>
      <c r="CY192" s="122"/>
      <c r="CZ192" s="122"/>
      <c r="DA192" s="122"/>
      <c r="DB192" s="122"/>
      <c r="DC192" s="122"/>
      <c r="DD192" s="122"/>
      <c r="DE192" s="122"/>
      <c r="DF192" s="122"/>
      <c r="DG192" s="122"/>
      <c r="DH192" s="122"/>
      <c r="DI192" s="122"/>
      <c r="DJ192" s="122"/>
      <c r="DK192" s="122"/>
      <c r="DL192" s="122"/>
      <c r="DM192" s="122"/>
      <c r="DN192" s="122"/>
      <c r="DO192" s="122"/>
      <c r="DP192" s="122"/>
      <c r="DQ192" s="122"/>
      <c r="DR192" s="122"/>
      <c r="DS192" s="122"/>
      <c r="DT192" s="122"/>
      <c r="DU192" s="122"/>
      <c r="DV192" s="122"/>
      <c r="DW192" s="122"/>
      <c r="DX192" s="122"/>
      <c r="DY192" s="122"/>
      <c r="DZ192" s="122"/>
      <c r="EA192" s="122"/>
      <c r="EB192" s="122"/>
      <c r="EC192" s="122"/>
      <c r="ED192" s="122"/>
      <c r="EE192" s="122"/>
      <c r="EF192" s="122"/>
      <c r="EG192" s="122"/>
      <c r="EH192" s="122"/>
      <c r="EI192" s="122"/>
      <c r="EJ192" s="122"/>
      <c r="EK192" s="122"/>
      <c r="EL192" s="122"/>
      <c r="EM192" s="122"/>
      <c r="EN192" s="122"/>
      <c r="EO192" s="122"/>
      <c r="EP192" s="122"/>
      <c r="EQ192" s="122"/>
      <c r="ER192" s="122"/>
      <c r="ES192" s="122"/>
      <c r="ET192" s="122"/>
      <c r="EU192" s="122"/>
      <c r="EV192" s="122"/>
      <c r="EW192" s="122"/>
      <c r="EX192" s="122"/>
      <c r="EY192" s="122"/>
      <c r="EZ192" s="122"/>
      <c r="FA192" s="122"/>
      <c r="FB192" s="122"/>
      <c r="FC192" s="122"/>
      <c r="FD192" s="122"/>
      <c r="FE192" s="122"/>
      <c r="FF192" s="122"/>
      <c r="FG192" s="122"/>
      <c r="FH192" s="122"/>
      <c r="FI192" s="122"/>
      <c r="FJ192" s="122"/>
      <c r="FK192" s="122"/>
      <c r="FL192" s="122"/>
      <c r="FM192" s="122"/>
      <c r="FN192" s="122"/>
      <c r="FO192" s="122"/>
      <c r="FP192" s="122"/>
      <c r="FQ192" s="122"/>
      <c r="FR192" s="122"/>
      <c r="FS192" s="122"/>
      <c r="FT192" s="122"/>
      <c r="FU192" s="122"/>
      <c r="FV192" s="122"/>
      <c r="FW192" s="122"/>
      <c r="FX192" s="122"/>
      <c r="FY192" s="122"/>
      <c r="FZ192" s="122"/>
      <c r="GA192" s="122"/>
      <c r="GB192" s="122"/>
      <c r="GC192" s="122"/>
      <c r="GD192" s="122"/>
      <c r="GE192" s="122"/>
      <c r="GF192" s="122"/>
      <c r="GG192" s="122"/>
      <c r="GH192" s="122"/>
      <c r="GI192" s="122"/>
    </row>
    <row r="193" spans="1:191" s="13" customFormat="1" ht="20.25" customHeight="1">
      <c r="A193" s="117">
        <v>93</v>
      </c>
      <c r="B193" s="147"/>
      <c r="C193" s="143"/>
      <c r="D193" s="102">
        <f t="shared" ref="D193" si="95">IFERROR(SUMPRODUCT(F193:HE193,$F$6:$HE$6)/100,0)</f>
        <v>0</v>
      </c>
      <c r="E193" s="103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122"/>
      <c r="AQ193" s="122"/>
      <c r="AR193" s="122"/>
      <c r="AS193" s="122"/>
      <c r="AT193" s="122"/>
      <c r="AU193" s="122"/>
      <c r="AV193" s="122"/>
      <c r="AW193" s="122"/>
      <c r="AX193" s="122"/>
      <c r="AY193" s="122"/>
      <c r="AZ193" s="122"/>
      <c r="BA193" s="122"/>
      <c r="BB193" s="122"/>
      <c r="BC193" s="122"/>
      <c r="BD193" s="122"/>
      <c r="BE193" s="122"/>
      <c r="BF193" s="122"/>
      <c r="BG193" s="122"/>
      <c r="BH193" s="122"/>
      <c r="BI193" s="122"/>
      <c r="BJ193" s="122"/>
      <c r="BK193" s="122"/>
      <c r="BL193" s="122"/>
      <c r="BM193" s="122"/>
      <c r="BN193" s="122"/>
      <c r="BO193" s="122"/>
      <c r="BP193" s="122"/>
      <c r="BQ193" s="122"/>
      <c r="BR193" s="123"/>
      <c r="BS193" s="123"/>
      <c r="BT193" s="123"/>
      <c r="BU193" s="122"/>
      <c r="BV193" s="122"/>
      <c r="BW193" s="122"/>
      <c r="BX193" s="122"/>
      <c r="BY193" s="122"/>
      <c r="BZ193" s="122"/>
      <c r="CA193" s="122"/>
      <c r="CB193" s="122"/>
      <c r="CC193" s="122"/>
      <c r="CD193" s="122"/>
      <c r="CE193" s="122"/>
      <c r="CF193" s="122"/>
      <c r="CG193" s="122"/>
      <c r="CH193" s="122"/>
      <c r="CI193" s="122"/>
      <c r="CJ193" s="122"/>
      <c r="CK193" s="122"/>
      <c r="CL193" s="122"/>
      <c r="CM193" s="122"/>
      <c r="CN193" s="122"/>
      <c r="CO193" s="122"/>
      <c r="CP193" s="122"/>
      <c r="CQ193" s="122"/>
      <c r="CR193" s="122"/>
      <c r="CS193" s="122"/>
      <c r="CT193" s="122"/>
      <c r="CU193" s="122"/>
      <c r="CV193" s="122"/>
      <c r="CW193" s="122"/>
      <c r="CX193" s="122"/>
      <c r="CY193" s="122"/>
      <c r="CZ193" s="122"/>
      <c r="DA193" s="122"/>
      <c r="DB193" s="122"/>
      <c r="DC193" s="122"/>
      <c r="DD193" s="122"/>
      <c r="DE193" s="122"/>
      <c r="DF193" s="122"/>
      <c r="DG193" s="122"/>
      <c r="DH193" s="122"/>
      <c r="DI193" s="122"/>
      <c r="DJ193" s="122"/>
      <c r="DK193" s="122"/>
      <c r="DL193" s="122"/>
      <c r="DM193" s="122"/>
      <c r="DN193" s="122"/>
      <c r="DO193" s="122"/>
      <c r="DP193" s="122"/>
      <c r="DQ193" s="122"/>
      <c r="DR193" s="122"/>
      <c r="DS193" s="122"/>
      <c r="DT193" s="122"/>
      <c r="DU193" s="122"/>
      <c r="DV193" s="122"/>
      <c r="DW193" s="122"/>
      <c r="DX193" s="122"/>
      <c r="DY193" s="122"/>
      <c r="DZ193" s="122"/>
      <c r="EA193" s="122"/>
      <c r="EB193" s="122"/>
      <c r="EC193" s="122"/>
      <c r="ED193" s="122"/>
      <c r="EE193" s="122"/>
      <c r="EF193" s="122"/>
      <c r="EG193" s="122"/>
      <c r="EH193" s="122"/>
      <c r="EI193" s="122"/>
      <c r="EJ193" s="122"/>
      <c r="EK193" s="122"/>
      <c r="EL193" s="122"/>
      <c r="EM193" s="122"/>
      <c r="EN193" s="122"/>
      <c r="EO193" s="122"/>
      <c r="EP193" s="122"/>
      <c r="EQ193" s="122"/>
      <c r="ER193" s="122"/>
      <c r="ES193" s="122"/>
      <c r="ET193" s="122"/>
      <c r="EU193" s="122"/>
      <c r="EV193" s="122"/>
      <c r="EW193" s="122"/>
      <c r="EX193" s="122"/>
      <c r="EY193" s="122"/>
      <c r="EZ193" s="122"/>
      <c r="FA193" s="122"/>
      <c r="FB193" s="122"/>
      <c r="FC193" s="122"/>
      <c r="FD193" s="122"/>
      <c r="FE193" s="122"/>
      <c r="FF193" s="122"/>
      <c r="FG193" s="122"/>
      <c r="FH193" s="122"/>
      <c r="FI193" s="122"/>
      <c r="FJ193" s="122"/>
      <c r="FK193" s="122"/>
      <c r="FL193" s="122"/>
      <c r="FM193" s="122"/>
      <c r="FN193" s="122"/>
      <c r="FO193" s="122"/>
      <c r="FP193" s="122"/>
      <c r="FQ193" s="122"/>
      <c r="FR193" s="122"/>
      <c r="FS193" s="122"/>
      <c r="FT193" s="122"/>
      <c r="FU193" s="122"/>
      <c r="FV193" s="122"/>
      <c r="FW193" s="122"/>
      <c r="FX193" s="122"/>
      <c r="FY193" s="122"/>
      <c r="FZ193" s="122"/>
      <c r="GA193" s="122"/>
      <c r="GB193" s="122"/>
      <c r="GC193" s="122"/>
      <c r="GD193" s="122"/>
      <c r="GE193" s="122"/>
      <c r="GF193" s="122"/>
      <c r="GG193" s="122"/>
      <c r="GH193" s="122"/>
      <c r="GI193" s="122"/>
    </row>
    <row r="194" spans="1:191" s="13" customFormat="1" ht="20.25" customHeight="1">
      <c r="A194" s="117"/>
      <c r="B194" s="147"/>
      <c r="C194" s="143"/>
      <c r="D194" s="121"/>
      <c r="E194" s="103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122"/>
      <c r="AQ194" s="122"/>
      <c r="AR194" s="122"/>
      <c r="AS194" s="122"/>
      <c r="AT194" s="122"/>
      <c r="AU194" s="122"/>
      <c r="AV194" s="122"/>
      <c r="AW194" s="122"/>
      <c r="AX194" s="122"/>
      <c r="AY194" s="122"/>
      <c r="AZ194" s="122"/>
      <c r="BA194" s="122"/>
      <c r="BB194" s="122"/>
      <c r="BC194" s="122"/>
      <c r="BD194" s="122"/>
      <c r="BE194" s="122"/>
      <c r="BF194" s="122"/>
      <c r="BG194" s="122"/>
      <c r="BH194" s="122"/>
      <c r="BI194" s="122"/>
      <c r="BJ194" s="122"/>
      <c r="BK194" s="122"/>
      <c r="BL194" s="122"/>
      <c r="BM194" s="122"/>
      <c r="BN194" s="122"/>
      <c r="BO194" s="122"/>
      <c r="BP194" s="122"/>
      <c r="BQ194" s="122"/>
      <c r="BR194" s="123"/>
      <c r="BS194" s="123"/>
      <c r="BT194" s="123"/>
      <c r="BU194" s="122"/>
      <c r="BV194" s="122"/>
      <c r="BW194" s="122"/>
      <c r="BX194" s="122"/>
      <c r="BY194" s="122"/>
      <c r="BZ194" s="122"/>
      <c r="CA194" s="122"/>
      <c r="CB194" s="122"/>
      <c r="CC194" s="122"/>
      <c r="CD194" s="122"/>
      <c r="CE194" s="122"/>
      <c r="CF194" s="122"/>
      <c r="CG194" s="122"/>
      <c r="CH194" s="122"/>
      <c r="CI194" s="122"/>
      <c r="CJ194" s="122"/>
      <c r="CK194" s="122"/>
      <c r="CL194" s="122"/>
      <c r="CM194" s="122"/>
      <c r="CN194" s="122"/>
      <c r="CO194" s="122"/>
      <c r="CP194" s="122"/>
      <c r="CQ194" s="122"/>
      <c r="CR194" s="122"/>
      <c r="CS194" s="122"/>
      <c r="CT194" s="122"/>
      <c r="CU194" s="122"/>
      <c r="CV194" s="122"/>
      <c r="CW194" s="122"/>
      <c r="CX194" s="122"/>
      <c r="CY194" s="122"/>
      <c r="CZ194" s="122"/>
      <c r="DA194" s="122"/>
      <c r="DB194" s="122"/>
      <c r="DC194" s="122"/>
      <c r="DD194" s="122"/>
      <c r="DE194" s="122"/>
      <c r="DF194" s="122"/>
      <c r="DG194" s="122"/>
      <c r="DH194" s="122"/>
      <c r="DI194" s="122"/>
      <c r="DJ194" s="122"/>
      <c r="DK194" s="122"/>
      <c r="DL194" s="122"/>
      <c r="DM194" s="122"/>
      <c r="DN194" s="122"/>
      <c r="DO194" s="122"/>
      <c r="DP194" s="122"/>
      <c r="DQ194" s="122"/>
      <c r="DR194" s="122"/>
      <c r="DS194" s="122"/>
      <c r="DT194" s="122"/>
      <c r="DU194" s="122"/>
      <c r="DV194" s="122"/>
      <c r="DW194" s="122"/>
      <c r="DX194" s="122"/>
      <c r="DY194" s="122"/>
      <c r="DZ194" s="122"/>
      <c r="EA194" s="122"/>
      <c r="EB194" s="122"/>
      <c r="EC194" s="122"/>
      <c r="ED194" s="122"/>
      <c r="EE194" s="122"/>
      <c r="EF194" s="122"/>
      <c r="EG194" s="122"/>
      <c r="EH194" s="122"/>
      <c r="EI194" s="122"/>
      <c r="EJ194" s="122"/>
      <c r="EK194" s="122"/>
      <c r="EL194" s="122"/>
      <c r="EM194" s="122"/>
      <c r="EN194" s="122"/>
      <c r="EO194" s="122"/>
      <c r="EP194" s="122"/>
      <c r="EQ194" s="122"/>
      <c r="ER194" s="122"/>
      <c r="ES194" s="122"/>
      <c r="ET194" s="122"/>
      <c r="EU194" s="122"/>
      <c r="EV194" s="122"/>
      <c r="EW194" s="122"/>
      <c r="EX194" s="122"/>
      <c r="EY194" s="122"/>
      <c r="EZ194" s="122"/>
      <c r="FA194" s="122"/>
      <c r="FB194" s="122"/>
      <c r="FC194" s="122"/>
      <c r="FD194" s="122"/>
      <c r="FE194" s="122"/>
      <c r="FF194" s="122"/>
      <c r="FG194" s="122"/>
      <c r="FH194" s="122"/>
      <c r="FI194" s="122"/>
      <c r="FJ194" s="122"/>
      <c r="FK194" s="122"/>
      <c r="FL194" s="122"/>
      <c r="FM194" s="122"/>
      <c r="FN194" s="122"/>
      <c r="FO194" s="122"/>
      <c r="FP194" s="122"/>
      <c r="FQ194" s="122"/>
      <c r="FR194" s="122"/>
      <c r="FS194" s="122"/>
      <c r="FT194" s="122"/>
      <c r="FU194" s="122"/>
      <c r="FV194" s="122"/>
      <c r="FW194" s="122"/>
      <c r="FX194" s="122"/>
      <c r="FY194" s="122"/>
      <c r="FZ194" s="122"/>
      <c r="GA194" s="122"/>
      <c r="GB194" s="122"/>
      <c r="GC194" s="122"/>
      <c r="GD194" s="122"/>
      <c r="GE194" s="122"/>
      <c r="GF194" s="122"/>
      <c r="GG194" s="122"/>
      <c r="GH194" s="122"/>
      <c r="GI194" s="122"/>
    </row>
    <row r="195" spans="1:191" s="13" customFormat="1" ht="20.25" customHeight="1">
      <c r="A195" s="117">
        <v>94</v>
      </c>
      <c r="B195" s="147"/>
      <c r="C195" s="143"/>
      <c r="D195" s="102">
        <f t="shared" ref="D195" si="96">IFERROR(SUMPRODUCT(F195:HE195,$F$6:$HE$6)/100,0)</f>
        <v>0</v>
      </c>
      <c r="E195" s="103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122"/>
      <c r="AQ195" s="122"/>
      <c r="AR195" s="122"/>
      <c r="AS195" s="122"/>
      <c r="AT195" s="122"/>
      <c r="AU195" s="122"/>
      <c r="AV195" s="122"/>
      <c r="AW195" s="122"/>
      <c r="AX195" s="122"/>
      <c r="AY195" s="122"/>
      <c r="AZ195" s="122"/>
      <c r="BA195" s="122"/>
      <c r="BB195" s="122"/>
      <c r="BC195" s="122"/>
      <c r="BD195" s="122"/>
      <c r="BE195" s="122"/>
      <c r="BF195" s="122"/>
      <c r="BG195" s="122"/>
      <c r="BH195" s="122"/>
      <c r="BI195" s="122"/>
      <c r="BJ195" s="122"/>
      <c r="BK195" s="122"/>
      <c r="BL195" s="122"/>
      <c r="BM195" s="122"/>
      <c r="BN195" s="122"/>
      <c r="BO195" s="122"/>
      <c r="BP195" s="122"/>
      <c r="BQ195" s="122"/>
      <c r="BR195" s="123"/>
      <c r="BS195" s="123"/>
      <c r="BT195" s="123"/>
      <c r="BU195" s="122"/>
      <c r="BV195" s="122"/>
      <c r="BW195" s="122"/>
      <c r="BX195" s="122"/>
      <c r="BY195" s="122"/>
      <c r="BZ195" s="122"/>
      <c r="CA195" s="122"/>
      <c r="CB195" s="122"/>
      <c r="CC195" s="122"/>
      <c r="CD195" s="122"/>
      <c r="CE195" s="122"/>
      <c r="CF195" s="122"/>
      <c r="CG195" s="122"/>
      <c r="CH195" s="122"/>
      <c r="CI195" s="122"/>
      <c r="CJ195" s="122"/>
      <c r="CK195" s="122"/>
      <c r="CL195" s="122"/>
      <c r="CM195" s="122"/>
      <c r="CN195" s="122"/>
      <c r="CO195" s="122"/>
      <c r="CP195" s="122"/>
      <c r="CQ195" s="122"/>
      <c r="CR195" s="122"/>
      <c r="CS195" s="122"/>
      <c r="CT195" s="122"/>
      <c r="CU195" s="122"/>
      <c r="CV195" s="122"/>
      <c r="CW195" s="122"/>
      <c r="CX195" s="122"/>
      <c r="CY195" s="122"/>
      <c r="CZ195" s="122"/>
      <c r="DA195" s="122"/>
      <c r="DB195" s="122"/>
      <c r="DC195" s="122"/>
      <c r="DD195" s="122"/>
      <c r="DE195" s="122"/>
      <c r="DF195" s="122"/>
      <c r="DG195" s="122"/>
      <c r="DH195" s="122"/>
      <c r="DI195" s="122"/>
      <c r="DJ195" s="122"/>
      <c r="DK195" s="122"/>
      <c r="DL195" s="122"/>
      <c r="DM195" s="122"/>
      <c r="DN195" s="122"/>
      <c r="DO195" s="122"/>
      <c r="DP195" s="122"/>
      <c r="DQ195" s="122"/>
      <c r="DR195" s="122"/>
      <c r="DS195" s="122"/>
      <c r="DT195" s="122"/>
      <c r="DU195" s="122"/>
      <c r="DV195" s="122"/>
      <c r="DW195" s="122"/>
      <c r="DX195" s="122"/>
      <c r="DY195" s="122"/>
      <c r="DZ195" s="122"/>
      <c r="EA195" s="122"/>
      <c r="EB195" s="122"/>
      <c r="EC195" s="122"/>
      <c r="ED195" s="122"/>
      <c r="EE195" s="122"/>
      <c r="EF195" s="122"/>
      <c r="EG195" s="122"/>
      <c r="EH195" s="122"/>
      <c r="EI195" s="122"/>
      <c r="EJ195" s="122"/>
      <c r="EK195" s="122"/>
      <c r="EL195" s="122"/>
      <c r="EM195" s="122"/>
      <c r="EN195" s="122"/>
      <c r="EO195" s="122"/>
      <c r="EP195" s="122"/>
      <c r="EQ195" s="122"/>
      <c r="ER195" s="122"/>
      <c r="ES195" s="122"/>
      <c r="ET195" s="122"/>
      <c r="EU195" s="122"/>
      <c r="EV195" s="122"/>
      <c r="EW195" s="122"/>
      <c r="EX195" s="122"/>
      <c r="EY195" s="122"/>
      <c r="EZ195" s="122"/>
      <c r="FA195" s="122"/>
      <c r="FB195" s="122"/>
      <c r="FC195" s="122"/>
      <c r="FD195" s="122"/>
      <c r="FE195" s="122"/>
      <c r="FF195" s="122"/>
      <c r="FG195" s="122"/>
      <c r="FH195" s="122"/>
      <c r="FI195" s="122"/>
      <c r="FJ195" s="122"/>
      <c r="FK195" s="122"/>
      <c r="FL195" s="122"/>
      <c r="FM195" s="122"/>
      <c r="FN195" s="122"/>
      <c r="FO195" s="122"/>
      <c r="FP195" s="122"/>
      <c r="FQ195" s="122"/>
      <c r="FR195" s="122"/>
      <c r="FS195" s="122"/>
      <c r="FT195" s="122"/>
      <c r="FU195" s="122"/>
      <c r="FV195" s="122"/>
      <c r="FW195" s="122"/>
      <c r="FX195" s="122"/>
      <c r="FY195" s="122"/>
      <c r="FZ195" s="122"/>
      <c r="GA195" s="122"/>
      <c r="GB195" s="122"/>
      <c r="GC195" s="122"/>
      <c r="GD195" s="122"/>
      <c r="GE195" s="122"/>
      <c r="GF195" s="122"/>
      <c r="GG195" s="122"/>
      <c r="GH195" s="122"/>
      <c r="GI195" s="122"/>
    </row>
    <row r="196" spans="1:191" s="13" customFormat="1" ht="20.25" customHeight="1">
      <c r="A196" s="117"/>
      <c r="B196" s="147"/>
      <c r="C196" s="143"/>
      <c r="D196" s="121"/>
      <c r="E196" s="103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122"/>
      <c r="AQ196" s="122"/>
      <c r="AR196" s="122"/>
      <c r="AS196" s="122"/>
      <c r="AT196" s="122"/>
      <c r="AU196" s="122"/>
      <c r="AV196" s="122"/>
      <c r="AW196" s="122"/>
      <c r="AX196" s="122"/>
      <c r="AY196" s="122"/>
      <c r="AZ196" s="122"/>
      <c r="BA196" s="122"/>
      <c r="BB196" s="122"/>
      <c r="BC196" s="122"/>
      <c r="BD196" s="122"/>
      <c r="BE196" s="122"/>
      <c r="BF196" s="122"/>
      <c r="BG196" s="122"/>
      <c r="BH196" s="122"/>
      <c r="BI196" s="122"/>
      <c r="BJ196" s="122"/>
      <c r="BK196" s="122"/>
      <c r="BL196" s="122"/>
      <c r="BM196" s="122"/>
      <c r="BN196" s="122"/>
      <c r="BO196" s="122"/>
      <c r="BP196" s="122"/>
      <c r="BQ196" s="122"/>
      <c r="BR196" s="123"/>
      <c r="BS196" s="123"/>
      <c r="BT196" s="123"/>
      <c r="BU196" s="122"/>
      <c r="BV196" s="122"/>
      <c r="BW196" s="122"/>
      <c r="BX196" s="122"/>
      <c r="BY196" s="122"/>
      <c r="BZ196" s="122"/>
      <c r="CA196" s="122"/>
      <c r="CB196" s="122"/>
      <c r="CC196" s="122"/>
      <c r="CD196" s="122"/>
      <c r="CE196" s="122"/>
      <c r="CF196" s="122"/>
      <c r="CG196" s="122"/>
      <c r="CH196" s="122"/>
      <c r="CI196" s="122"/>
      <c r="CJ196" s="122"/>
      <c r="CK196" s="122"/>
      <c r="CL196" s="122"/>
      <c r="CM196" s="122"/>
      <c r="CN196" s="122"/>
      <c r="CO196" s="122"/>
      <c r="CP196" s="122"/>
      <c r="CQ196" s="122"/>
      <c r="CR196" s="122"/>
      <c r="CS196" s="122"/>
      <c r="CT196" s="122"/>
      <c r="CU196" s="122"/>
      <c r="CV196" s="122"/>
      <c r="CW196" s="122"/>
      <c r="CX196" s="122"/>
      <c r="CY196" s="122"/>
      <c r="CZ196" s="122"/>
      <c r="DA196" s="122"/>
      <c r="DB196" s="122"/>
      <c r="DC196" s="122"/>
      <c r="DD196" s="122"/>
      <c r="DE196" s="122"/>
      <c r="DF196" s="122"/>
      <c r="DG196" s="122"/>
      <c r="DH196" s="122"/>
      <c r="DI196" s="122"/>
      <c r="DJ196" s="122"/>
      <c r="DK196" s="122"/>
      <c r="DL196" s="122"/>
      <c r="DM196" s="122"/>
      <c r="DN196" s="122"/>
      <c r="DO196" s="122"/>
      <c r="DP196" s="122"/>
      <c r="DQ196" s="122"/>
      <c r="DR196" s="122"/>
      <c r="DS196" s="122"/>
      <c r="DT196" s="122"/>
      <c r="DU196" s="122"/>
      <c r="DV196" s="122"/>
      <c r="DW196" s="122"/>
      <c r="DX196" s="122"/>
      <c r="DY196" s="122"/>
      <c r="DZ196" s="122"/>
      <c r="EA196" s="122"/>
      <c r="EB196" s="122"/>
      <c r="EC196" s="122"/>
      <c r="ED196" s="122"/>
      <c r="EE196" s="122"/>
      <c r="EF196" s="122"/>
      <c r="EG196" s="122"/>
      <c r="EH196" s="122"/>
      <c r="EI196" s="122"/>
      <c r="EJ196" s="122"/>
      <c r="EK196" s="122"/>
      <c r="EL196" s="122"/>
      <c r="EM196" s="122"/>
      <c r="EN196" s="122"/>
      <c r="EO196" s="122"/>
      <c r="EP196" s="122"/>
      <c r="EQ196" s="122"/>
      <c r="ER196" s="122"/>
      <c r="ES196" s="122"/>
      <c r="ET196" s="122"/>
      <c r="EU196" s="122"/>
      <c r="EV196" s="122"/>
      <c r="EW196" s="122"/>
      <c r="EX196" s="122"/>
      <c r="EY196" s="122"/>
      <c r="EZ196" s="122"/>
      <c r="FA196" s="122"/>
      <c r="FB196" s="122"/>
      <c r="FC196" s="122"/>
      <c r="FD196" s="122"/>
      <c r="FE196" s="122"/>
      <c r="FF196" s="122"/>
      <c r="FG196" s="122"/>
      <c r="FH196" s="122"/>
      <c r="FI196" s="122"/>
      <c r="FJ196" s="122"/>
      <c r="FK196" s="122"/>
      <c r="FL196" s="122"/>
      <c r="FM196" s="122"/>
      <c r="FN196" s="122"/>
      <c r="FO196" s="122"/>
      <c r="FP196" s="122"/>
      <c r="FQ196" s="122"/>
      <c r="FR196" s="122"/>
      <c r="FS196" s="122"/>
      <c r="FT196" s="122"/>
      <c r="FU196" s="122"/>
      <c r="FV196" s="122"/>
      <c r="FW196" s="122"/>
      <c r="FX196" s="122"/>
      <c r="FY196" s="122"/>
      <c r="FZ196" s="122"/>
      <c r="GA196" s="122"/>
      <c r="GB196" s="122"/>
      <c r="GC196" s="122"/>
      <c r="GD196" s="122"/>
      <c r="GE196" s="122"/>
      <c r="GF196" s="122"/>
      <c r="GG196" s="122"/>
      <c r="GH196" s="122"/>
      <c r="GI196" s="122"/>
    </row>
    <row r="197" spans="1:191" s="13" customFormat="1" ht="20.25" customHeight="1">
      <c r="A197" s="117">
        <v>95</v>
      </c>
      <c r="B197" s="147"/>
      <c r="C197" s="143"/>
      <c r="D197" s="102">
        <f t="shared" ref="D197" si="97">IFERROR(SUMPRODUCT(F197:HE197,$F$6:$HE$6)/100,0)</f>
        <v>0</v>
      </c>
      <c r="E197" s="103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122"/>
      <c r="AQ197" s="122"/>
      <c r="AR197" s="122"/>
      <c r="AS197" s="122"/>
      <c r="AT197" s="122"/>
      <c r="AU197" s="122"/>
      <c r="AV197" s="122"/>
      <c r="AW197" s="122"/>
      <c r="AX197" s="122"/>
      <c r="AY197" s="122"/>
      <c r="AZ197" s="122"/>
      <c r="BA197" s="122"/>
      <c r="BB197" s="122"/>
      <c r="BC197" s="122"/>
      <c r="BD197" s="122"/>
      <c r="BE197" s="122"/>
      <c r="BF197" s="122"/>
      <c r="BG197" s="122"/>
      <c r="BH197" s="122"/>
      <c r="BI197" s="122"/>
      <c r="BJ197" s="122"/>
      <c r="BK197" s="122"/>
      <c r="BL197" s="122"/>
      <c r="BM197" s="122"/>
      <c r="BN197" s="122"/>
      <c r="BO197" s="122"/>
      <c r="BP197" s="122"/>
      <c r="BQ197" s="122"/>
      <c r="BR197" s="123"/>
      <c r="BS197" s="123"/>
      <c r="BT197" s="123"/>
      <c r="BU197" s="122"/>
      <c r="BV197" s="122"/>
      <c r="BW197" s="122"/>
      <c r="BX197" s="122"/>
      <c r="BY197" s="122"/>
      <c r="BZ197" s="122"/>
      <c r="CA197" s="122"/>
      <c r="CB197" s="122"/>
      <c r="CC197" s="122"/>
      <c r="CD197" s="122"/>
      <c r="CE197" s="122"/>
      <c r="CF197" s="122"/>
      <c r="CG197" s="122"/>
      <c r="CH197" s="122"/>
      <c r="CI197" s="122"/>
      <c r="CJ197" s="122"/>
      <c r="CK197" s="122"/>
      <c r="CL197" s="122"/>
      <c r="CM197" s="122"/>
      <c r="CN197" s="122"/>
      <c r="CO197" s="122"/>
      <c r="CP197" s="122"/>
      <c r="CQ197" s="122"/>
      <c r="CR197" s="122"/>
      <c r="CS197" s="122"/>
      <c r="CT197" s="122"/>
      <c r="CU197" s="122"/>
      <c r="CV197" s="122"/>
      <c r="CW197" s="122"/>
      <c r="CX197" s="122"/>
      <c r="CY197" s="122"/>
      <c r="CZ197" s="122"/>
      <c r="DA197" s="122"/>
      <c r="DB197" s="122"/>
      <c r="DC197" s="122"/>
      <c r="DD197" s="122"/>
      <c r="DE197" s="122"/>
      <c r="DF197" s="122"/>
      <c r="DG197" s="122"/>
      <c r="DH197" s="122"/>
      <c r="DI197" s="122"/>
      <c r="DJ197" s="122"/>
      <c r="DK197" s="122"/>
      <c r="DL197" s="122"/>
      <c r="DM197" s="122"/>
      <c r="DN197" s="122"/>
      <c r="DO197" s="122"/>
      <c r="DP197" s="122"/>
      <c r="DQ197" s="122"/>
      <c r="DR197" s="122"/>
      <c r="DS197" s="122"/>
      <c r="DT197" s="122"/>
      <c r="DU197" s="122"/>
      <c r="DV197" s="122"/>
      <c r="DW197" s="122"/>
      <c r="DX197" s="122"/>
      <c r="DY197" s="122"/>
      <c r="DZ197" s="122"/>
      <c r="EA197" s="122"/>
      <c r="EB197" s="122"/>
      <c r="EC197" s="122"/>
      <c r="ED197" s="122"/>
      <c r="EE197" s="122"/>
      <c r="EF197" s="122"/>
      <c r="EG197" s="122"/>
      <c r="EH197" s="122"/>
      <c r="EI197" s="122"/>
      <c r="EJ197" s="122"/>
      <c r="EK197" s="122"/>
      <c r="EL197" s="122"/>
      <c r="EM197" s="122"/>
      <c r="EN197" s="122"/>
      <c r="EO197" s="122"/>
      <c r="EP197" s="122"/>
      <c r="EQ197" s="122"/>
      <c r="ER197" s="122"/>
      <c r="ES197" s="122"/>
      <c r="ET197" s="122"/>
      <c r="EU197" s="122"/>
      <c r="EV197" s="122"/>
      <c r="EW197" s="122"/>
      <c r="EX197" s="122"/>
      <c r="EY197" s="122"/>
      <c r="EZ197" s="122"/>
      <c r="FA197" s="122"/>
      <c r="FB197" s="122"/>
      <c r="FC197" s="122"/>
      <c r="FD197" s="122"/>
      <c r="FE197" s="122"/>
      <c r="FF197" s="122"/>
      <c r="FG197" s="122"/>
      <c r="FH197" s="122"/>
      <c r="FI197" s="122"/>
      <c r="FJ197" s="122"/>
      <c r="FK197" s="122"/>
      <c r="FL197" s="122"/>
      <c r="FM197" s="122"/>
      <c r="FN197" s="122"/>
      <c r="FO197" s="122"/>
      <c r="FP197" s="122"/>
      <c r="FQ197" s="122"/>
      <c r="FR197" s="122"/>
      <c r="FS197" s="122"/>
      <c r="FT197" s="122"/>
      <c r="FU197" s="122"/>
      <c r="FV197" s="122"/>
      <c r="FW197" s="122"/>
      <c r="FX197" s="122"/>
      <c r="FY197" s="122"/>
      <c r="FZ197" s="122"/>
      <c r="GA197" s="122"/>
      <c r="GB197" s="122"/>
      <c r="GC197" s="122"/>
      <c r="GD197" s="122"/>
      <c r="GE197" s="122"/>
      <c r="GF197" s="122"/>
      <c r="GG197" s="122"/>
      <c r="GH197" s="122"/>
      <c r="GI197" s="122"/>
    </row>
    <row r="198" spans="1:191" s="13" customFormat="1" ht="20.25" customHeight="1">
      <c r="A198" s="117"/>
      <c r="B198" s="147"/>
      <c r="C198" s="143"/>
      <c r="D198" s="121"/>
      <c r="E198" s="103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122"/>
      <c r="AQ198" s="122"/>
      <c r="AR198" s="122"/>
      <c r="AS198" s="122"/>
      <c r="AT198" s="122"/>
      <c r="AU198" s="122"/>
      <c r="AV198" s="122"/>
      <c r="AW198" s="122"/>
      <c r="AX198" s="122"/>
      <c r="AY198" s="122"/>
      <c r="AZ198" s="122"/>
      <c r="BA198" s="122"/>
      <c r="BB198" s="122"/>
      <c r="BC198" s="122"/>
      <c r="BD198" s="122"/>
      <c r="BE198" s="122"/>
      <c r="BF198" s="122"/>
      <c r="BG198" s="122"/>
      <c r="BH198" s="122"/>
      <c r="BI198" s="122"/>
      <c r="BJ198" s="122"/>
      <c r="BK198" s="122"/>
      <c r="BL198" s="122"/>
      <c r="BM198" s="122"/>
      <c r="BN198" s="122"/>
      <c r="BO198" s="122"/>
      <c r="BP198" s="122"/>
      <c r="BQ198" s="122"/>
      <c r="BR198" s="123"/>
      <c r="BS198" s="123"/>
      <c r="BT198" s="123"/>
      <c r="BU198" s="122"/>
      <c r="BV198" s="122"/>
      <c r="BW198" s="122"/>
      <c r="BX198" s="122"/>
      <c r="BY198" s="122"/>
      <c r="BZ198" s="122"/>
      <c r="CA198" s="122"/>
      <c r="CB198" s="122"/>
      <c r="CC198" s="122"/>
      <c r="CD198" s="122"/>
      <c r="CE198" s="122"/>
      <c r="CF198" s="122"/>
      <c r="CG198" s="122"/>
      <c r="CH198" s="122"/>
      <c r="CI198" s="122"/>
      <c r="CJ198" s="122"/>
      <c r="CK198" s="122"/>
      <c r="CL198" s="122"/>
      <c r="CM198" s="122"/>
      <c r="CN198" s="122"/>
      <c r="CO198" s="122"/>
      <c r="CP198" s="122"/>
      <c r="CQ198" s="122"/>
      <c r="CR198" s="122"/>
      <c r="CS198" s="122"/>
      <c r="CT198" s="122"/>
      <c r="CU198" s="122"/>
      <c r="CV198" s="122"/>
      <c r="CW198" s="122"/>
      <c r="CX198" s="122"/>
      <c r="CY198" s="122"/>
      <c r="CZ198" s="122"/>
      <c r="DA198" s="122"/>
      <c r="DB198" s="122"/>
      <c r="DC198" s="122"/>
      <c r="DD198" s="122"/>
      <c r="DE198" s="122"/>
      <c r="DF198" s="122"/>
      <c r="DG198" s="122"/>
      <c r="DH198" s="122"/>
      <c r="DI198" s="122"/>
      <c r="DJ198" s="122"/>
      <c r="DK198" s="122"/>
      <c r="DL198" s="122"/>
      <c r="DM198" s="122"/>
      <c r="DN198" s="122"/>
      <c r="DO198" s="122"/>
      <c r="DP198" s="122"/>
      <c r="DQ198" s="122"/>
      <c r="DR198" s="122"/>
      <c r="DS198" s="122"/>
      <c r="DT198" s="122"/>
      <c r="DU198" s="122"/>
      <c r="DV198" s="122"/>
      <c r="DW198" s="122"/>
      <c r="DX198" s="122"/>
      <c r="DY198" s="122"/>
      <c r="DZ198" s="122"/>
      <c r="EA198" s="122"/>
      <c r="EB198" s="122"/>
      <c r="EC198" s="122"/>
      <c r="ED198" s="122"/>
      <c r="EE198" s="122"/>
      <c r="EF198" s="122"/>
      <c r="EG198" s="122"/>
      <c r="EH198" s="122"/>
      <c r="EI198" s="122"/>
      <c r="EJ198" s="122"/>
      <c r="EK198" s="122"/>
      <c r="EL198" s="122"/>
      <c r="EM198" s="122"/>
      <c r="EN198" s="122"/>
      <c r="EO198" s="122"/>
      <c r="EP198" s="122"/>
      <c r="EQ198" s="122"/>
      <c r="ER198" s="122"/>
      <c r="ES198" s="122"/>
      <c r="ET198" s="122"/>
      <c r="EU198" s="122"/>
      <c r="EV198" s="122"/>
      <c r="EW198" s="122"/>
      <c r="EX198" s="122"/>
      <c r="EY198" s="122"/>
      <c r="EZ198" s="122"/>
      <c r="FA198" s="122"/>
      <c r="FB198" s="122"/>
      <c r="FC198" s="122"/>
      <c r="FD198" s="122"/>
      <c r="FE198" s="122"/>
      <c r="FF198" s="122"/>
      <c r="FG198" s="122"/>
      <c r="FH198" s="122"/>
      <c r="FI198" s="122"/>
      <c r="FJ198" s="122"/>
      <c r="FK198" s="122"/>
      <c r="FL198" s="122"/>
      <c r="FM198" s="122"/>
      <c r="FN198" s="122"/>
      <c r="FO198" s="122"/>
      <c r="FP198" s="122"/>
      <c r="FQ198" s="122"/>
      <c r="FR198" s="122"/>
      <c r="FS198" s="122"/>
      <c r="FT198" s="122"/>
      <c r="FU198" s="122"/>
      <c r="FV198" s="122"/>
      <c r="FW198" s="122"/>
      <c r="FX198" s="122"/>
      <c r="FY198" s="122"/>
      <c r="FZ198" s="122"/>
      <c r="GA198" s="122"/>
      <c r="GB198" s="122"/>
      <c r="GC198" s="122"/>
      <c r="GD198" s="122"/>
      <c r="GE198" s="122"/>
      <c r="GF198" s="122"/>
      <c r="GG198" s="122"/>
      <c r="GH198" s="122"/>
      <c r="GI198" s="122"/>
    </row>
    <row r="199" spans="1:191" s="13" customFormat="1" ht="20.25" customHeight="1">
      <c r="A199" s="117">
        <v>96</v>
      </c>
      <c r="B199" s="147"/>
      <c r="C199" s="143"/>
      <c r="D199" s="102">
        <f t="shared" ref="D199" si="98">IFERROR(SUMPRODUCT(F199:HE199,$F$6:$HE$6)/100,0)</f>
        <v>0</v>
      </c>
      <c r="E199" s="103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122"/>
      <c r="AQ199" s="122"/>
      <c r="AR199" s="122"/>
      <c r="AS199" s="122"/>
      <c r="AT199" s="122"/>
      <c r="AU199" s="122"/>
      <c r="AV199" s="122"/>
      <c r="AW199" s="122"/>
      <c r="AX199" s="122"/>
      <c r="AY199" s="122"/>
      <c r="AZ199" s="122"/>
      <c r="BA199" s="122"/>
      <c r="BB199" s="122"/>
      <c r="BC199" s="122"/>
      <c r="BD199" s="122"/>
      <c r="BE199" s="122"/>
      <c r="BF199" s="122"/>
      <c r="BG199" s="122"/>
      <c r="BH199" s="122"/>
      <c r="BI199" s="122"/>
      <c r="BJ199" s="122"/>
      <c r="BK199" s="122"/>
      <c r="BL199" s="122"/>
      <c r="BM199" s="122"/>
      <c r="BN199" s="122"/>
      <c r="BO199" s="122"/>
      <c r="BP199" s="122"/>
      <c r="BQ199" s="122"/>
      <c r="BR199" s="123"/>
      <c r="BS199" s="123"/>
      <c r="BT199" s="123"/>
      <c r="BU199" s="122"/>
      <c r="BV199" s="122"/>
      <c r="BW199" s="122"/>
      <c r="BX199" s="122"/>
      <c r="BY199" s="122"/>
      <c r="BZ199" s="122"/>
      <c r="CA199" s="122"/>
      <c r="CB199" s="122"/>
      <c r="CC199" s="122"/>
      <c r="CD199" s="122"/>
      <c r="CE199" s="122"/>
      <c r="CF199" s="122"/>
      <c r="CG199" s="122"/>
      <c r="CH199" s="122"/>
      <c r="CI199" s="122"/>
      <c r="CJ199" s="122"/>
      <c r="CK199" s="122"/>
      <c r="CL199" s="122"/>
      <c r="CM199" s="122"/>
      <c r="CN199" s="122"/>
      <c r="CO199" s="122"/>
      <c r="CP199" s="122"/>
      <c r="CQ199" s="122"/>
      <c r="CR199" s="122"/>
      <c r="CS199" s="122"/>
      <c r="CT199" s="122"/>
      <c r="CU199" s="122"/>
      <c r="CV199" s="122"/>
      <c r="CW199" s="122"/>
      <c r="CX199" s="122"/>
      <c r="CY199" s="122"/>
      <c r="CZ199" s="122"/>
      <c r="DA199" s="122"/>
      <c r="DB199" s="122"/>
      <c r="DC199" s="122"/>
      <c r="DD199" s="122"/>
      <c r="DE199" s="122"/>
      <c r="DF199" s="122"/>
      <c r="DG199" s="122"/>
      <c r="DH199" s="122"/>
      <c r="DI199" s="122"/>
      <c r="DJ199" s="122"/>
      <c r="DK199" s="122"/>
      <c r="DL199" s="122"/>
      <c r="DM199" s="122"/>
      <c r="DN199" s="122"/>
      <c r="DO199" s="122"/>
      <c r="DP199" s="122"/>
      <c r="DQ199" s="122"/>
      <c r="DR199" s="122"/>
      <c r="DS199" s="122"/>
      <c r="DT199" s="122"/>
      <c r="DU199" s="122"/>
      <c r="DV199" s="122"/>
      <c r="DW199" s="122"/>
      <c r="DX199" s="122"/>
      <c r="DY199" s="122"/>
      <c r="DZ199" s="122"/>
      <c r="EA199" s="122"/>
      <c r="EB199" s="122"/>
      <c r="EC199" s="122"/>
      <c r="ED199" s="122"/>
      <c r="EE199" s="122"/>
      <c r="EF199" s="122"/>
      <c r="EG199" s="122"/>
      <c r="EH199" s="122"/>
      <c r="EI199" s="122"/>
      <c r="EJ199" s="122"/>
      <c r="EK199" s="122"/>
      <c r="EL199" s="122"/>
      <c r="EM199" s="122"/>
      <c r="EN199" s="122"/>
      <c r="EO199" s="122"/>
      <c r="EP199" s="122"/>
      <c r="EQ199" s="122"/>
      <c r="ER199" s="122"/>
      <c r="ES199" s="122"/>
      <c r="ET199" s="122"/>
      <c r="EU199" s="122"/>
      <c r="EV199" s="122"/>
      <c r="EW199" s="122"/>
      <c r="EX199" s="122"/>
      <c r="EY199" s="122"/>
      <c r="EZ199" s="122"/>
      <c r="FA199" s="122"/>
      <c r="FB199" s="122"/>
      <c r="FC199" s="122"/>
      <c r="FD199" s="122"/>
      <c r="FE199" s="122"/>
      <c r="FF199" s="122"/>
      <c r="FG199" s="122"/>
      <c r="FH199" s="122"/>
      <c r="FI199" s="122"/>
      <c r="FJ199" s="122"/>
      <c r="FK199" s="122"/>
      <c r="FL199" s="122"/>
      <c r="FM199" s="122"/>
      <c r="FN199" s="122"/>
      <c r="FO199" s="122"/>
      <c r="FP199" s="122"/>
      <c r="FQ199" s="122"/>
      <c r="FR199" s="122"/>
      <c r="FS199" s="122"/>
      <c r="FT199" s="122"/>
      <c r="FU199" s="122"/>
      <c r="FV199" s="122"/>
      <c r="FW199" s="122"/>
      <c r="FX199" s="122"/>
      <c r="FY199" s="122"/>
      <c r="FZ199" s="122"/>
      <c r="GA199" s="122"/>
      <c r="GB199" s="122"/>
      <c r="GC199" s="122"/>
      <c r="GD199" s="122"/>
      <c r="GE199" s="122"/>
      <c r="GF199" s="122"/>
      <c r="GG199" s="122"/>
      <c r="GH199" s="122"/>
      <c r="GI199" s="122"/>
    </row>
    <row r="200" spans="1:191" s="13" customFormat="1" ht="20.25" customHeight="1">
      <c r="A200" s="117"/>
      <c r="B200" s="147"/>
      <c r="C200" s="143"/>
      <c r="D200" s="121"/>
      <c r="E200" s="103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122"/>
      <c r="AQ200" s="122"/>
      <c r="AR200" s="122"/>
      <c r="AS200" s="122"/>
      <c r="AT200" s="122"/>
      <c r="AU200" s="122"/>
      <c r="AV200" s="122"/>
      <c r="AW200" s="122"/>
      <c r="AX200" s="122"/>
      <c r="AY200" s="122"/>
      <c r="AZ200" s="122"/>
      <c r="BA200" s="122"/>
      <c r="BB200" s="122"/>
      <c r="BC200" s="122"/>
      <c r="BD200" s="122"/>
      <c r="BE200" s="122"/>
      <c r="BF200" s="122"/>
      <c r="BG200" s="122"/>
      <c r="BH200" s="122"/>
      <c r="BI200" s="122"/>
      <c r="BJ200" s="122"/>
      <c r="BK200" s="122"/>
      <c r="BL200" s="122"/>
      <c r="BM200" s="122"/>
      <c r="BN200" s="122"/>
      <c r="BO200" s="122"/>
      <c r="BP200" s="122"/>
      <c r="BQ200" s="122"/>
      <c r="BR200" s="123"/>
      <c r="BS200" s="123"/>
      <c r="BT200" s="123"/>
      <c r="BU200" s="122"/>
      <c r="BV200" s="122"/>
      <c r="BW200" s="122"/>
      <c r="BX200" s="122"/>
      <c r="BY200" s="122"/>
      <c r="BZ200" s="122"/>
      <c r="CA200" s="122"/>
      <c r="CB200" s="122"/>
      <c r="CC200" s="122"/>
      <c r="CD200" s="122"/>
      <c r="CE200" s="122"/>
      <c r="CF200" s="122"/>
      <c r="CG200" s="122"/>
      <c r="CH200" s="122"/>
      <c r="CI200" s="122"/>
      <c r="CJ200" s="122"/>
      <c r="CK200" s="122"/>
      <c r="CL200" s="122"/>
      <c r="CM200" s="122"/>
      <c r="CN200" s="122"/>
      <c r="CO200" s="122"/>
      <c r="CP200" s="122"/>
      <c r="CQ200" s="122"/>
      <c r="CR200" s="122"/>
      <c r="CS200" s="122"/>
      <c r="CT200" s="122"/>
      <c r="CU200" s="122"/>
      <c r="CV200" s="122"/>
      <c r="CW200" s="122"/>
      <c r="CX200" s="122"/>
      <c r="CY200" s="122"/>
      <c r="CZ200" s="122"/>
      <c r="DA200" s="122"/>
      <c r="DB200" s="122"/>
      <c r="DC200" s="122"/>
      <c r="DD200" s="122"/>
      <c r="DE200" s="122"/>
      <c r="DF200" s="122"/>
      <c r="DG200" s="122"/>
      <c r="DH200" s="122"/>
      <c r="DI200" s="122"/>
      <c r="DJ200" s="122"/>
      <c r="DK200" s="122"/>
      <c r="DL200" s="122"/>
      <c r="DM200" s="122"/>
      <c r="DN200" s="122"/>
      <c r="DO200" s="122"/>
      <c r="DP200" s="122"/>
      <c r="DQ200" s="122"/>
      <c r="DR200" s="122"/>
      <c r="DS200" s="122"/>
      <c r="DT200" s="122"/>
      <c r="DU200" s="122"/>
      <c r="DV200" s="122"/>
      <c r="DW200" s="122"/>
      <c r="DX200" s="122"/>
      <c r="DY200" s="122"/>
      <c r="DZ200" s="122"/>
      <c r="EA200" s="122"/>
      <c r="EB200" s="122"/>
      <c r="EC200" s="122"/>
      <c r="ED200" s="122"/>
      <c r="EE200" s="122"/>
      <c r="EF200" s="122"/>
      <c r="EG200" s="122"/>
      <c r="EH200" s="122"/>
      <c r="EI200" s="122"/>
      <c r="EJ200" s="122"/>
      <c r="EK200" s="122"/>
      <c r="EL200" s="122"/>
      <c r="EM200" s="122"/>
      <c r="EN200" s="122"/>
      <c r="EO200" s="122"/>
      <c r="EP200" s="122"/>
      <c r="EQ200" s="122"/>
      <c r="ER200" s="122"/>
      <c r="ES200" s="122"/>
      <c r="ET200" s="122"/>
      <c r="EU200" s="122"/>
      <c r="EV200" s="122"/>
      <c r="EW200" s="122"/>
      <c r="EX200" s="122"/>
      <c r="EY200" s="122"/>
      <c r="EZ200" s="122"/>
      <c r="FA200" s="122"/>
      <c r="FB200" s="122"/>
      <c r="FC200" s="122"/>
      <c r="FD200" s="122"/>
      <c r="FE200" s="122"/>
      <c r="FF200" s="122"/>
      <c r="FG200" s="122"/>
      <c r="FH200" s="122"/>
      <c r="FI200" s="122"/>
      <c r="FJ200" s="122"/>
      <c r="FK200" s="122"/>
      <c r="FL200" s="122"/>
      <c r="FM200" s="122"/>
      <c r="FN200" s="122"/>
      <c r="FO200" s="122"/>
      <c r="FP200" s="122"/>
      <c r="FQ200" s="122"/>
      <c r="FR200" s="122"/>
      <c r="FS200" s="122"/>
      <c r="FT200" s="122"/>
      <c r="FU200" s="122"/>
      <c r="FV200" s="122"/>
      <c r="FW200" s="122"/>
      <c r="FX200" s="122"/>
      <c r="FY200" s="122"/>
      <c r="FZ200" s="122"/>
      <c r="GA200" s="122"/>
      <c r="GB200" s="122"/>
      <c r="GC200" s="122"/>
      <c r="GD200" s="122"/>
      <c r="GE200" s="122"/>
      <c r="GF200" s="122"/>
      <c r="GG200" s="122"/>
      <c r="GH200" s="122"/>
      <c r="GI200" s="122"/>
    </row>
    <row r="201" spans="1:191" s="13" customFormat="1" ht="20.25" customHeight="1">
      <c r="A201" s="117">
        <v>97</v>
      </c>
      <c r="B201" s="128"/>
      <c r="C201" s="117"/>
      <c r="D201" s="102">
        <f t="shared" ref="D201" si="99">IFERROR(SUMPRODUCT(F201:HE201,$F$6:$HE$6)/100,0)</f>
        <v>0</v>
      </c>
      <c r="E201" s="103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122"/>
      <c r="AQ201" s="122"/>
      <c r="AR201" s="122"/>
      <c r="AS201" s="122"/>
      <c r="AT201" s="122"/>
      <c r="AU201" s="122"/>
      <c r="AV201" s="122"/>
      <c r="AW201" s="122"/>
      <c r="AX201" s="122"/>
      <c r="AY201" s="122"/>
      <c r="AZ201" s="122"/>
      <c r="BA201" s="122"/>
      <c r="BB201" s="122"/>
      <c r="BC201" s="122"/>
      <c r="BD201" s="122"/>
      <c r="BE201" s="122"/>
      <c r="BF201" s="122"/>
      <c r="BG201" s="122"/>
      <c r="BH201" s="122"/>
      <c r="BI201" s="122"/>
      <c r="BJ201" s="122"/>
      <c r="BK201" s="122"/>
      <c r="BL201" s="122"/>
      <c r="BM201" s="122"/>
      <c r="BN201" s="122"/>
      <c r="BO201" s="122"/>
      <c r="BP201" s="122"/>
      <c r="BQ201" s="122"/>
      <c r="BR201" s="123"/>
      <c r="BS201" s="123"/>
      <c r="BT201" s="123"/>
      <c r="BU201" s="122"/>
      <c r="BV201" s="122"/>
      <c r="BW201" s="122"/>
      <c r="BX201" s="122"/>
      <c r="BY201" s="122"/>
      <c r="BZ201" s="122"/>
      <c r="CA201" s="122"/>
      <c r="CB201" s="122"/>
      <c r="CC201" s="122"/>
      <c r="CD201" s="122"/>
      <c r="CE201" s="122"/>
      <c r="CF201" s="122"/>
      <c r="CG201" s="122"/>
      <c r="CH201" s="122"/>
      <c r="CI201" s="122"/>
      <c r="CJ201" s="122"/>
      <c r="CK201" s="122"/>
      <c r="CL201" s="122"/>
      <c r="CM201" s="122"/>
      <c r="CN201" s="122"/>
      <c r="CO201" s="122"/>
      <c r="CP201" s="122"/>
      <c r="CQ201" s="122"/>
      <c r="CR201" s="122"/>
      <c r="CS201" s="122"/>
      <c r="CT201" s="122"/>
      <c r="CU201" s="122"/>
      <c r="CV201" s="122"/>
      <c r="CW201" s="122"/>
      <c r="CX201" s="122"/>
      <c r="CY201" s="122"/>
      <c r="CZ201" s="122"/>
      <c r="DA201" s="122"/>
      <c r="DB201" s="122"/>
      <c r="DC201" s="122"/>
      <c r="DD201" s="122"/>
      <c r="DE201" s="122"/>
      <c r="DF201" s="122"/>
      <c r="DG201" s="122"/>
      <c r="DH201" s="122"/>
      <c r="DI201" s="122"/>
      <c r="DJ201" s="122"/>
      <c r="DK201" s="122"/>
      <c r="DL201" s="122"/>
      <c r="DM201" s="122"/>
      <c r="DN201" s="122"/>
      <c r="DO201" s="122"/>
      <c r="DP201" s="122"/>
      <c r="DQ201" s="122"/>
      <c r="DR201" s="122"/>
      <c r="DS201" s="122"/>
      <c r="DT201" s="122"/>
      <c r="DU201" s="122"/>
      <c r="DV201" s="122"/>
      <c r="DW201" s="122"/>
      <c r="DX201" s="122"/>
      <c r="DY201" s="122"/>
      <c r="DZ201" s="122"/>
      <c r="EA201" s="122"/>
      <c r="EB201" s="122"/>
      <c r="EC201" s="122"/>
      <c r="ED201" s="122"/>
      <c r="EE201" s="122"/>
      <c r="EF201" s="122"/>
      <c r="EG201" s="122"/>
      <c r="EH201" s="122"/>
      <c r="EI201" s="122"/>
      <c r="EJ201" s="122"/>
      <c r="EK201" s="122"/>
      <c r="EL201" s="122"/>
      <c r="EM201" s="122"/>
      <c r="EN201" s="122"/>
      <c r="EO201" s="122"/>
      <c r="EP201" s="122"/>
      <c r="EQ201" s="122"/>
      <c r="ER201" s="122"/>
      <c r="ES201" s="122"/>
      <c r="ET201" s="122"/>
      <c r="EU201" s="122"/>
      <c r="EV201" s="122"/>
      <c r="EW201" s="122"/>
      <c r="EX201" s="122"/>
      <c r="EY201" s="122"/>
      <c r="EZ201" s="122"/>
      <c r="FA201" s="122"/>
      <c r="FB201" s="122"/>
      <c r="FC201" s="122"/>
      <c r="FD201" s="122"/>
      <c r="FE201" s="122"/>
      <c r="FF201" s="122"/>
      <c r="FG201" s="122"/>
      <c r="FH201" s="122"/>
      <c r="FI201" s="122"/>
      <c r="FJ201" s="122"/>
      <c r="FK201" s="122"/>
      <c r="FL201" s="122"/>
      <c r="FM201" s="122"/>
      <c r="FN201" s="122"/>
      <c r="FO201" s="122"/>
      <c r="FP201" s="122"/>
      <c r="FQ201" s="122"/>
      <c r="FR201" s="122"/>
      <c r="FS201" s="122"/>
      <c r="FT201" s="122"/>
      <c r="FU201" s="122"/>
      <c r="FV201" s="122"/>
      <c r="FW201" s="122"/>
      <c r="FX201" s="122"/>
      <c r="FY201" s="122"/>
      <c r="FZ201" s="122"/>
      <c r="GA201" s="122"/>
      <c r="GB201" s="122"/>
      <c r="GC201" s="122"/>
      <c r="GD201" s="122"/>
      <c r="GE201" s="122"/>
      <c r="GF201" s="122"/>
      <c r="GG201" s="122"/>
      <c r="GH201" s="122"/>
      <c r="GI201" s="122"/>
    </row>
    <row r="202" spans="1:191" s="13" customFormat="1" ht="20.25" customHeight="1">
      <c r="A202" s="117"/>
      <c r="B202" s="125"/>
      <c r="C202" s="132"/>
      <c r="D202" s="121"/>
      <c r="E202" s="103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122"/>
      <c r="AQ202" s="122"/>
      <c r="AR202" s="122"/>
      <c r="AS202" s="122"/>
      <c r="AT202" s="122"/>
      <c r="AU202" s="122"/>
      <c r="AV202" s="122"/>
      <c r="AW202" s="122"/>
      <c r="AX202" s="122"/>
      <c r="AY202" s="122"/>
      <c r="AZ202" s="122"/>
      <c r="BA202" s="122"/>
      <c r="BB202" s="122"/>
      <c r="BC202" s="122"/>
      <c r="BD202" s="122"/>
      <c r="BE202" s="122"/>
      <c r="BF202" s="122"/>
      <c r="BG202" s="122"/>
      <c r="BH202" s="122"/>
      <c r="BI202" s="122"/>
      <c r="BJ202" s="122"/>
      <c r="BK202" s="122"/>
      <c r="BL202" s="122"/>
      <c r="BM202" s="122"/>
      <c r="BN202" s="122"/>
      <c r="BO202" s="122"/>
      <c r="BP202" s="122"/>
      <c r="BQ202" s="122"/>
      <c r="BR202" s="122"/>
      <c r="BS202" s="122"/>
      <c r="BT202" s="122"/>
      <c r="BU202" s="123"/>
      <c r="BV202" s="123"/>
      <c r="BW202" s="123"/>
      <c r="BX202" s="123"/>
      <c r="BY202" s="123"/>
      <c r="BZ202" s="123"/>
      <c r="CA202" s="122"/>
      <c r="CB202" s="122"/>
      <c r="CC202" s="122"/>
      <c r="CD202" s="122"/>
      <c r="CE202" s="122"/>
      <c r="CF202" s="122"/>
      <c r="CG202" s="122"/>
      <c r="CH202" s="122"/>
      <c r="CI202" s="122"/>
      <c r="CJ202" s="122"/>
      <c r="CK202" s="122"/>
      <c r="CL202" s="122"/>
      <c r="CM202" s="122"/>
      <c r="CN202" s="122"/>
      <c r="CO202" s="122"/>
      <c r="CP202" s="122"/>
      <c r="CQ202" s="122"/>
      <c r="CR202" s="122"/>
      <c r="CS202" s="122"/>
      <c r="CT202" s="122"/>
      <c r="CU202" s="122"/>
      <c r="CV202" s="122"/>
      <c r="CW202" s="122"/>
      <c r="CX202" s="122"/>
      <c r="CY202" s="122"/>
      <c r="CZ202" s="122"/>
      <c r="DA202" s="122"/>
      <c r="DB202" s="122"/>
      <c r="DC202" s="122"/>
      <c r="DD202" s="122"/>
      <c r="DE202" s="122"/>
      <c r="DF202" s="122"/>
      <c r="DG202" s="122"/>
      <c r="DH202" s="122"/>
      <c r="DI202" s="122"/>
      <c r="DJ202" s="122"/>
      <c r="DK202" s="122"/>
      <c r="DL202" s="122"/>
      <c r="DM202" s="122"/>
      <c r="DN202" s="122"/>
      <c r="DO202" s="122"/>
      <c r="DP202" s="122"/>
      <c r="DQ202" s="122"/>
      <c r="DR202" s="122"/>
      <c r="DS202" s="122"/>
      <c r="DT202" s="122"/>
      <c r="DU202" s="122"/>
      <c r="DV202" s="122"/>
      <c r="DW202" s="122"/>
      <c r="DX202" s="122"/>
      <c r="DY202" s="122"/>
      <c r="DZ202" s="122"/>
      <c r="EA202" s="122"/>
      <c r="EB202" s="122"/>
      <c r="EC202" s="122"/>
      <c r="ED202" s="122"/>
      <c r="EE202" s="122"/>
      <c r="EF202" s="122"/>
      <c r="EG202" s="122"/>
      <c r="EH202" s="122"/>
      <c r="EI202" s="122"/>
      <c r="EJ202" s="122"/>
      <c r="EK202" s="122"/>
      <c r="EL202" s="122"/>
      <c r="EM202" s="122"/>
      <c r="EN202" s="122"/>
      <c r="EO202" s="122"/>
      <c r="EP202" s="122"/>
      <c r="EQ202" s="122"/>
      <c r="ER202" s="122"/>
      <c r="ES202" s="122"/>
      <c r="ET202" s="122"/>
      <c r="EU202" s="122"/>
      <c r="EV202" s="122"/>
      <c r="EW202" s="122"/>
      <c r="EX202" s="122"/>
      <c r="EY202" s="122"/>
      <c r="EZ202" s="122"/>
      <c r="FA202" s="122"/>
      <c r="FB202" s="122"/>
      <c r="FC202" s="122"/>
      <c r="FD202" s="122"/>
      <c r="FE202" s="122"/>
      <c r="FF202" s="122"/>
      <c r="FG202" s="122"/>
      <c r="FH202" s="122"/>
      <c r="FI202" s="122"/>
      <c r="FJ202" s="122"/>
      <c r="FK202" s="122"/>
      <c r="FL202" s="122"/>
      <c r="FM202" s="122"/>
      <c r="FN202" s="122"/>
      <c r="FO202" s="122"/>
      <c r="FP202" s="122"/>
      <c r="FQ202" s="122"/>
      <c r="FR202" s="122"/>
      <c r="FS202" s="122"/>
      <c r="FT202" s="122"/>
      <c r="FU202" s="122"/>
      <c r="FV202" s="122"/>
      <c r="FW202" s="122"/>
      <c r="FX202" s="122"/>
      <c r="FY202" s="122"/>
      <c r="FZ202" s="122"/>
      <c r="GA202" s="122"/>
      <c r="GB202" s="122"/>
      <c r="GC202" s="122"/>
      <c r="GD202" s="122"/>
      <c r="GE202" s="122"/>
      <c r="GF202" s="122"/>
      <c r="GG202" s="122"/>
      <c r="GH202" s="122"/>
      <c r="GI202" s="122"/>
    </row>
    <row r="203" spans="1:191" s="13" customFormat="1" ht="20.25" customHeight="1">
      <c r="A203" s="117">
        <v>98</v>
      </c>
      <c r="B203" s="125"/>
      <c r="C203" s="132"/>
      <c r="D203" s="102">
        <f t="shared" ref="D203" si="100">IFERROR(SUMPRODUCT(F203:HE203,$F$6:$HE$6)/100,0)</f>
        <v>0</v>
      </c>
      <c r="E203" s="103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122"/>
      <c r="AQ203" s="122"/>
      <c r="AR203" s="122"/>
      <c r="AS203" s="122"/>
      <c r="AT203" s="122"/>
      <c r="AU203" s="122"/>
      <c r="AV203" s="122"/>
      <c r="AW203" s="122"/>
      <c r="AX203" s="122"/>
      <c r="AY203" s="122"/>
      <c r="AZ203" s="122"/>
      <c r="BA203" s="122"/>
      <c r="BB203" s="122"/>
      <c r="BC203" s="122"/>
      <c r="BD203" s="122"/>
      <c r="BE203" s="122"/>
      <c r="BF203" s="122"/>
      <c r="BG203" s="122"/>
      <c r="BH203" s="122"/>
      <c r="BI203" s="122"/>
      <c r="BJ203" s="122"/>
      <c r="BK203" s="122"/>
      <c r="BL203" s="122"/>
      <c r="BM203" s="122"/>
      <c r="BN203" s="122"/>
      <c r="BO203" s="122"/>
      <c r="BP203" s="122"/>
      <c r="BQ203" s="122"/>
      <c r="BR203" s="122"/>
      <c r="BS203" s="122"/>
      <c r="BT203" s="122"/>
      <c r="BU203" s="123"/>
      <c r="BV203" s="123"/>
      <c r="BW203" s="123"/>
      <c r="BX203" s="123"/>
      <c r="BY203" s="123"/>
      <c r="BZ203" s="123"/>
      <c r="CA203" s="122"/>
      <c r="CB203" s="122"/>
      <c r="CC203" s="122"/>
      <c r="CD203" s="122"/>
      <c r="CE203" s="122"/>
      <c r="CF203" s="122"/>
      <c r="CG203" s="122"/>
      <c r="CH203" s="122"/>
      <c r="CI203" s="122"/>
      <c r="CJ203" s="122"/>
      <c r="CK203" s="122"/>
      <c r="CL203" s="122"/>
      <c r="CM203" s="122"/>
      <c r="CN203" s="122"/>
      <c r="CO203" s="122"/>
      <c r="CP203" s="122"/>
      <c r="CQ203" s="122"/>
      <c r="CR203" s="122"/>
      <c r="CS203" s="122"/>
      <c r="CT203" s="122"/>
      <c r="CU203" s="122"/>
      <c r="CV203" s="122"/>
      <c r="CW203" s="122"/>
      <c r="CX203" s="122"/>
      <c r="CY203" s="122"/>
      <c r="CZ203" s="122"/>
      <c r="DA203" s="122"/>
      <c r="DB203" s="122"/>
      <c r="DC203" s="122"/>
      <c r="DD203" s="122"/>
      <c r="DE203" s="122"/>
      <c r="DF203" s="122"/>
      <c r="DG203" s="122"/>
      <c r="DH203" s="122"/>
      <c r="DI203" s="122"/>
      <c r="DJ203" s="122"/>
      <c r="DK203" s="122"/>
      <c r="DL203" s="122"/>
      <c r="DM203" s="122"/>
      <c r="DN203" s="122"/>
      <c r="DO203" s="122"/>
      <c r="DP203" s="122"/>
      <c r="DQ203" s="122"/>
      <c r="DR203" s="122"/>
      <c r="DS203" s="122"/>
      <c r="DT203" s="122"/>
      <c r="DU203" s="122"/>
      <c r="DV203" s="122"/>
      <c r="DW203" s="122"/>
      <c r="DX203" s="122"/>
      <c r="DY203" s="122"/>
      <c r="DZ203" s="122"/>
      <c r="EA203" s="122"/>
      <c r="EB203" s="122"/>
      <c r="EC203" s="122"/>
      <c r="ED203" s="122"/>
      <c r="EE203" s="122"/>
      <c r="EF203" s="122"/>
      <c r="EG203" s="122"/>
      <c r="EH203" s="122"/>
      <c r="EI203" s="122"/>
      <c r="EJ203" s="122"/>
      <c r="EK203" s="122"/>
      <c r="EL203" s="122"/>
      <c r="EM203" s="122"/>
      <c r="EN203" s="122"/>
      <c r="EO203" s="122"/>
      <c r="EP203" s="122"/>
      <c r="EQ203" s="122"/>
      <c r="ER203" s="122"/>
      <c r="ES203" s="122"/>
      <c r="ET203" s="122"/>
      <c r="EU203" s="122"/>
      <c r="EV203" s="122"/>
      <c r="EW203" s="122"/>
      <c r="EX203" s="122"/>
      <c r="EY203" s="122"/>
      <c r="EZ203" s="122"/>
      <c r="FA203" s="122"/>
      <c r="FB203" s="122"/>
      <c r="FC203" s="122"/>
      <c r="FD203" s="122"/>
      <c r="FE203" s="122"/>
      <c r="FF203" s="122"/>
      <c r="FG203" s="122"/>
      <c r="FH203" s="122"/>
      <c r="FI203" s="122"/>
      <c r="FJ203" s="122"/>
      <c r="FK203" s="122"/>
      <c r="FL203" s="122"/>
      <c r="FM203" s="122"/>
      <c r="FN203" s="122"/>
      <c r="FO203" s="122"/>
      <c r="FP203" s="122"/>
      <c r="FQ203" s="122"/>
      <c r="FR203" s="122"/>
      <c r="FS203" s="122"/>
      <c r="FT203" s="122"/>
      <c r="FU203" s="122"/>
      <c r="FV203" s="122"/>
      <c r="FW203" s="122"/>
      <c r="FX203" s="122"/>
      <c r="FY203" s="122"/>
      <c r="FZ203" s="122"/>
      <c r="GA203" s="122"/>
      <c r="GB203" s="122"/>
      <c r="GC203" s="122"/>
      <c r="GD203" s="122"/>
      <c r="GE203" s="122"/>
      <c r="GF203" s="122"/>
      <c r="GG203" s="122"/>
      <c r="GH203" s="122"/>
      <c r="GI203" s="122"/>
    </row>
    <row r="204" spans="1:191" s="13" customFormat="1" ht="20.25" customHeight="1">
      <c r="A204" s="117"/>
      <c r="B204" s="161"/>
      <c r="C204" s="132"/>
      <c r="D204" s="121"/>
      <c r="E204" s="103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122"/>
      <c r="AQ204" s="122"/>
      <c r="AR204" s="122"/>
      <c r="AS204" s="122"/>
      <c r="AT204" s="122"/>
      <c r="AU204" s="122"/>
      <c r="AV204" s="122"/>
      <c r="AW204" s="122"/>
      <c r="AX204" s="122"/>
      <c r="AY204" s="122"/>
      <c r="AZ204" s="122"/>
      <c r="BA204" s="122"/>
      <c r="BB204" s="122"/>
      <c r="BC204" s="122"/>
      <c r="BD204" s="122"/>
      <c r="BE204" s="122"/>
      <c r="BF204" s="122"/>
      <c r="BG204" s="122"/>
      <c r="BH204" s="122"/>
      <c r="BI204" s="122"/>
      <c r="BJ204" s="122"/>
      <c r="BK204" s="122"/>
      <c r="BL204" s="122"/>
      <c r="BM204" s="122"/>
      <c r="BN204" s="122"/>
      <c r="BO204" s="122"/>
      <c r="BP204" s="122"/>
      <c r="BQ204" s="122"/>
      <c r="BR204" s="122"/>
      <c r="BS204" s="122"/>
      <c r="BT204" s="122"/>
      <c r="BU204" s="123"/>
      <c r="BV204" s="123"/>
      <c r="BW204" s="123"/>
      <c r="BX204" s="123"/>
      <c r="BY204" s="123"/>
      <c r="BZ204" s="123"/>
      <c r="CA204" s="122"/>
      <c r="CB204" s="122"/>
      <c r="CC204" s="122"/>
      <c r="CD204" s="122"/>
      <c r="CE204" s="122"/>
      <c r="CF204" s="122"/>
      <c r="CG204" s="122"/>
      <c r="CH204" s="122"/>
      <c r="CI204" s="122"/>
      <c r="CJ204" s="122"/>
      <c r="CK204" s="122"/>
      <c r="CL204" s="122"/>
      <c r="CM204" s="122"/>
      <c r="CN204" s="122"/>
      <c r="CO204" s="122"/>
      <c r="CP204" s="122"/>
      <c r="CQ204" s="122"/>
      <c r="CR204" s="122"/>
      <c r="CS204" s="122"/>
      <c r="CT204" s="122"/>
      <c r="CU204" s="122"/>
      <c r="CV204" s="122"/>
      <c r="CW204" s="122"/>
      <c r="CX204" s="122"/>
      <c r="CY204" s="122"/>
      <c r="CZ204" s="122"/>
      <c r="DA204" s="122"/>
      <c r="DB204" s="122"/>
      <c r="DC204" s="122"/>
      <c r="DD204" s="122"/>
      <c r="DE204" s="122"/>
      <c r="DF204" s="122"/>
      <c r="DG204" s="122"/>
      <c r="DH204" s="122"/>
      <c r="DI204" s="122"/>
      <c r="DJ204" s="122"/>
      <c r="DK204" s="122"/>
      <c r="DL204" s="122"/>
      <c r="DM204" s="122"/>
      <c r="DN204" s="122"/>
      <c r="DO204" s="122"/>
      <c r="DP204" s="122"/>
      <c r="DQ204" s="122"/>
      <c r="DR204" s="122"/>
      <c r="DS204" s="122"/>
      <c r="DT204" s="122"/>
      <c r="DU204" s="122"/>
      <c r="DV204" s="122"/>
      <c r="DW204" s="122"/>
      <c r="DX204" s="122"/>
      <c r="DY204" s="122"/>
      <c r="DZ204" s="122"/>
      <c r="EA204" s="122"/>
      <c r="EB204" s="122"/>
      <c r="EC204" s="122"/>
      <c r="ED204" s="122"/>
      <c r="EE204" s="122"/>
      <c r="EF204" s="122"/>
      <c r="EG204" s="122"/>
      <c r="EH204" s="122"/>
      <c r="EI204" s="122"/>
      <c r="EJ204" s="122"/>
      <c r="EK204" s="122"/>
      <c r="EL204" s="122"/>
      <c r="EM204" s="122"/>
      <c r="EN204" s="122"/>
      <c r="EO204" s="122"/>
      <c r="EP204" s="122"/>
      <c r="EQ204" s="122"/>
      <c r="ER204" s="122"/>
      <c r="ES204" s="122"/>
      <c r="ET204" s="122"/>
      <c r="EU204" s="122"/>
      <c r="EV204" s="122"/>
      <c r="EW204" s="122"/>
      <c r="EX204" s="122"/>
      <c r="EY204" s="122"/>
      <c r="EZ204" s="122"/>
      <c r="FA204" s="122"/>
      <c r="FB204" s="122"/>
      <c r="FC204" s="122"/>
      <c r="FD204" s="122"/>
      <c r="FE204" s="122"/>
      <c r="FF204" s="122"/>
      <c r="FG204" s="122"/>
      <c r="FH204" s="122"/>
      <c r="FI204" s="122"/>
      <c r="FJ204" s="122"/>
      <c r="FK204" s="122"/>
      <c r="FL204" s="122"/>
      <c r="FM204" s="122"/>
      <c r="FN204" s="122"/>
      <c r="FO204" s="122"/>
      <c r="FP204" s="122"/>
      <c r="FQ204" s="122"/>
      <c r="FR204" s="122"/>
      <c r="FS204" s="122"/>
      <c r="FT204" s="122"/>
      <c r="FU204" s="122"/>
      <c r="FV204" s="122"/>
      <c r="FW204" s="122"/>
      <c r="FX204" s="122"/>
      <c r="FY204" s="122"/>
      <c r="FZ204" s="122"/>
      <c r="GA204" s="122"/>
      <c r="GB204" s="122"/>
      <c r="GC204" s="122"/>
      <c r="GD204" s="122"/>
      <c r="GE204" s="122"/>
      <c r="GF204" s="122"/>
      <c r="GG204" s="122"/>
      <c r="GH204" s="122"/>
      <c r="GI204" s="122"/>
    </row>
    <row r="205" spans="1:191" s="13" customFormat="1" ht="20.25" customHeight="1">
      <c r="A205" s="117">
        <v>99</v>
      </c>
      <c r="B205" s="148"/>
      <c r="C205" s="132"/>
      <c r="D205" s="102">
        <f t="shared" ref="D205" si="101">IFERROR(SUMPRODUCT(F205:HE205,$F$6:$HE$6)/100,0)</f>
        <v>0</v>
      </c>
      <c r="E205" s="103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122"/>
      <c r="AQ205" s="122"/>
      <c r="AR205" s="122"/>
      <c r="AS205" s="122"/>
      <c r="AT205" s="122"/>
      <c r="AU205" s="122"/>
      <c r="AV205" s="122"/>
      <c r="AW205" s="122"/>
      <c r="AX205" s="122"/>
      <c r="AY205" s="122"/>
      <c r="AZ205" s="122"/>
      <c r="BA205" s="122"/>
      <c r="BB205" s="122"/>
      <c r="BC205" s="122"/>
      <c r="BD205" s="122"/>
      <c r="BE205" s="122"/>
      <c r="BF205" s="122"/>
      <c r="BG205" s="122"/>
      <c r="BH205" s="122"/>
      <c r="BI205" s="122"/>
      <c r="BJ205" s="122"/>
      <c r="BK205" s="122"/>
      <c r="BL205" s="122"/>
      <c r="BM205" s="122"/>
      <c r="BN205" s="122"/>
      <c r="BO205" s="122"/>
      <c r="BP205" s="122"/>
      <c r="BQ205" s="122"/>
      <c r="BR205" s="122"/>
      <c r="BS205" s="122"/>
      <c r="BT205" s="122"/>
      <c r="BU205" s="123"/>
      <c r="BV205" s="123"/>
      <c r="BW205" s="123"/>
      <c r="BX205" s="123"/>
      <c r="BY205" s="123"/>
      <c r="BZ205" s="123"/>
      <c r="CA205" s="122"/>
      <c r="CB205" s="122"/>
      <c r="CC205" s="122"/>
      <c r="CD205" s="122"/>
      <c r="CE205" s="122"/>
      <c r="CF205" s="122"/>
      <c r="CG205" s="122"/>
      <c r="CH205" s="122"/>
      <c r="CI205" s="122"/>
      <c r="CJ205" s="122"/>
      <c r="CK205" s="122"/>
      <c r="CL205" s="122"/>
      <c r="CM205" s="122"/>
      <c r="CN205" s="122"/>
      <c r="CO205" s="122"/>
      <c r="CP205" s="122"/>
      <c r="CQ205" s="122"/>
      <c r="CR205" s="122"/>
      <c r="CS205" s="122"/>
      <c r="CT205" s="122"/>
      <c r="CU205" s="122"/>
      <c r="CV205" s="122"/>
      <c r="CW205" s="122"/>
      <c r="CX205" s="122"/>
      <c r="CY205" s="122"/>
      <c r="CZ205" s="122"/>
      <c r="DA205" s="122"/>
      <c r="DB205" s="122"/>
      <c r="DC205" s="122"/>
      <c r="DD205" s="122"/>
      <c r="DE205" s="122"/>
      <c r="DF205" s="122"/>
      <c r="DG205" s="122"/>
      <c r="DH205" s="122"/>
      <c r="DI205" s="122"/>
      <c r="DJ205" s="122"/>
      <c r="DK205" s="122"/>
      <c r="DL205" s="122"/>
      <c r="DM205" s="122"/>
      <c r="DN205" s="122"/>
      <c r="DO205" s="122"/>
      <c r="DP205" s="122"/>
      <c r="DQ205" s="122"/>
      <c r="DR205" s="122"/>
      <c r="DS205" s="122"/>
      <c r="DT205" s="122"/>
      <c r="DU205" s="122"/>
      <c r="DV205" s="122"/>
      <c r="DW205" s="122"/>
      <c r="DX205" s="122"/>
      <c r="DY205" s="122"/>
      <c r="DZ205" s="122"/>
      <c r="EA205" s="122"/>
      <c r="EB205" s="122"/>
      <c r="EC205" s="122"/>
      <c r="ED205" s="122"/>
      <c r="EE205" s="122"/>
      <c r="EF205" s="122"/>
      <c r="EG205" s="122"/>
      <c r="EH205" s="122"/>
      <c r="EI205" s="122"/>
      <c r="EJ205" s="122"/>
      <c r="EK205" s="122"/>
      <c r="EL205" s="122"/>
      <c r="EM205" s="122"/>
      <c r="EN205" s="122"/>
      <c r="EO205" s="122"/>
      <c r="EP205" s="122"/>
      <c r="EQ205" s="122"/>
      <c r="ER205" s="122"/>
      <c r="ES205" s="122"/>
      <c r="ET205" s="122"/>
      <c r="EU205" s="122"/>
      <c r="EV205" s="122"/>
      <c r="EW205" s="122"/>
      <c r="EX205" s="122"/>
      <c r="EY205" s="122"/>
      <c r="EZ205" s="122"/>
      <c r="FA205" s="122"/>
      <c r="FB205" s="122"/>
      <c r="FC205" s="122"/>
      <c r="FD205" s="122"/>
      <c r="FE205" s="122"/>
      <c r="FF205" s="122"/>
      <c r="FG205" s="122"/>
      <c r="FH205" s="122"/>
      <c r="FI205" s="122"/>
      <c r="FJ205" s="122"/>
      <c r="FK205" s="122"/>
      <c r="FL205" s="122"/>
      <c r="FM205" s="122"/>
      <c r="FN205" s="122"/>
      <c r="FO205" s="122"/>
      <c r="FP205" s="122"/>
      <c r="FQ205" s="122"/>
      <c r="FR205" s="122"/>
      <c r="FS205" s="122"/>
      <c r="FT205" s="122"/>
      <c r="FU205" s="122"/>
      <c r="FV205" s="122"/>
      <c r="FW205" s="122"/>
      <c r="FX205" s="122"/>
      <c r="FY205" s="122"/>
      <c r="FZ205" s="122"/>
      <c r="GA205" s="122"/>
      <c r="GB205" s="122"/>
      <c r="GC205" s="122"/>
      <c r="GD205" s="122"/>
      <c r="GE205" s="122"/>
      <c r="GF205" s="122"/>
      <c r="GG205" s="122"/>
      <c r="GH205" s="122"/>
      <c r="GI205" s="122"/>
    </row>
    <row r="206" spans="1:191" s="13" customFormat="1" ht="20.25" customHeight="1">
      <c r="A206" s="117"/>
      <c r="B206" s="119"/>
      <c r="C206" s="142"/>
      <c r="D206" s="121"/>
      <c r="E206" s="103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122"/>
      <c r="AQ206" s="122"/>
      <c r="AR206" s="122"/>
      <c r="AS206" s="122"/>
      <c r="AT206" s="122"/>
      <c r="AU206" s="122"/>
      <c r="AV206" s="122"/>
      <c r="AW206" s="122"/>
      <c r="AX206" s="122"/>
      <c r="AY206" s="122"/>
      <c r="AZ206" s="122"/>
      <c r="BA206" s="122"/>
      <c r="BB206" s="122"/>
      <c r="BC206" s="122"/>
      <c r="BD206" s="122"/>
      <c r="BE206" s="122"/>
      <c r="BF206" s="122"/>
      <c r="BG206" s="122"/>
      <c r="BH206" s="122"/>
      <c r="BI206" s="122"/>
      <c r="BJ206" s="122"/>
      <c r="BK206" s="122"/>
      <c r="BL206" s="122"/>
      <c r="BM206" s="122"/>
      <c r="BN206" s="122"/>
      <c r="BO206" s="122"/>
      <c r="BP206" s="122"/>
      <c r="BQ206" s="122"/>
      <c r="BR206" s="123"/>
      <c r="BS206" s="123"/>
      <c r="BT206" s="123"/>
      <c r="BU206" s="122"/>
      <c r="BV206" s="122"/>
      <c r="BW206" s="122"/>
      <c r="BX206" s="122"/>
      <c r="BY206" s="122"/>
      <c r="BZ206" s="122"/>
      <c r="CA206" s="122"/>
      <c r="CB206" s="122"/>
      <c r="CC206" s="122"/>
      <c r="CD206" s="122"/>
      <c r="CE206" s="122"/>
      <c r="CF206" s="122"/>
      <c r="CG206" s="122"/>
      <c r="CH206" s="122"/>
      <c r="CI206" s="122"/>
      <c r="CJ206" s="122"/>
      <c r="CK206" s="122"/>
      <c r="CL206" s="122"/>
      <c r="CM206" s="122"/>
      <c r="CN206" s="122"/>
      <c r="CO206" s="122"/>
      <c r="CP206" s="122"/>
      <c r="CQ206" s="122"/>
      <c r="CR206" s="122"/>
      <c r="CS206" s="122"/>
      <c r="CT206" s="122"/>
      <c r="CU206" s="122"/>
      <c r="CV206" s="122"/>
      <c r="CW206" s="122"/>
      <c r="CX206" s="122"/>
      <c r="CY206" s="122"/>
      <c r="CZ206" s="122"/>
      <c r="DA206" s="122"/>
      <c r="DB206" s="122"/>
      <c r="DC206" s="122"/>
      <c r="DD206" s="122"/>
      <c r="DE206" s="122"/>
      <c r="DF206" s="122"/>
      <c r="DG206" s="122"/>
      <c r="DH206" s="122"/>
      <c r="DI206" s="122"/>
      <c r="DJ206" s="122"/>
      <c r="DK206" s="122"/>
      <c r="DL206" s="122"/>
      <c r="DM206" s="122"/>
      <c r="DN206" s="122"/>
      <c r="DO206" s="122"/>
      <c r="DP206" s="122"/>
      <c r="DQ206" s="122"/>
      <c r="DR206" s="122"/>
      <c r="DS206" s="122"/>
      <c r="DT206" s="122"/>
      <c r="DU206" s="122"/>
      <c r="DV206" s="122"/>
      <c r="DW206" s="122"/>
      <c r="DX206" s="122"/>
      <c r="DY206" s="122"/>
      <c r="DZ206" s="122"/>
      <c r="EA206" s="122"/>
      <c r="EB206" s="122"/>
      <c r="EC206" s="122"/>
      <c r="ED206" s="122"/>
      <c r="EE206" s="122"/>
      <c r="EF206" s="122"/>
      <c r="EG206" s="122"/>
      <c r="EH206" s="122"/>
      <c r="EI206" s="122"/>
      <c r="EJ206" s="122"/>
      <c r="EK206" s="122"/>
      <c r="EL206" s="122"/>
      <c r="EM206" s="122"/>
      <c r="EN206" s="122"/>
      <c r="EO206" s="122"/>
      <c r="EP206" s="122"/>
      <c r="EQ206" s="122"/>
      <c r="ER206" s="122"/>
      <c r="ES206" s="122"/>
      <c r="ET206" s="122"/>
      <c r="EU206" s="122"/>
      <c r="EV206" s="122"/>
      <c r="EW206" s="122"/>
      <c r="EX206" s="122"/>
      <c r="EY206" s="122"/>
      <c r="EZ206" s="122"/>
      <c r="FA206" s="122"/>
      <c r="FB206" s="122"/>
      <c r="FC206" s="122"/>
      <c r="FD206" s="122"/>
      <c r="FE206" s="122"/>
      <c r="FF206" s="122"/>
      <c r="FG206" s="122"/>
      <c r="FH206" s="122"/>
      <c r="FI206" s="122"/>
      <c r="FJ206" s="122"/>
      <c r="FK206" s="122"/>
      <c r="FL206" s="122"/>
      <c r="FM206" s="122"/>
      <c r="FN206" s="122"/>
      <c r="FO206" s="122"/>
      <c r="FP206" s="122"/>
      <c r="FQ206" s="122"/>
      <c r="FR206" s="122"/>
      <c r="FS206" s="122"/>
      <c r="FT206" s="122"/>
      <c r="FU206" s="122"/>
      <c r="FV206" s="122"/>
      <c r="FW206" s="122"/>
      <c r="FX206" s="122"/>
      <c r="FY206" s="122"/>
      <c r="FZ206" s="122"/>
      <c r="GA206" s="122"/>
      <c r="GB206" s="122"/>
      <c r="GC206" s="122"/>
      <c r="GD206" s="122"/>
      <c r="GE206" s="122"/>
      <c r="GF206" s="122"/>
      <c r="GG206" s="122"/>
      <c r="GH206" s="122"/>
      <c r="GI206" s="122"/>
    </row>
    <row r="207" spans="1:191" s="13" customFormat="1" ht="20.25" customHeight="1">
      <c r="A207" s="117">
        <v>100</v>
      </c>
      <c r="B207" s="119"/>
      <c r="C207" s="142"/>
      <c r="D207" s="102">
        <f t="shared" ref="D207" si="102">IFERROR(SUMPRODUCT(F207:HE207,$F$6:$HE$6)/100,0)</f>
        <v>0</v>
      </c>
      <c r="E207" s="103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3"/>
      <c r="BS207" s="123"/>
      <c r="BT207" s="123"/>
      <c r="BU207" s="122"/>
      <c r="BV207" s="122"/>
      <c r="BW207" s="122"/>
      <c r="BX207" s="122"/>
      <c r="BY207" s="122"/>
      <c r="BZ207" s="122"/>
      <c r="CA207" s="122"/>
      <c r="CB207" s="122"/>
      <c r="CC207" s="122"/>
      <c r="CD207" s="122"/>
      <c r="CE207" s="122"/>
      <c r="CF207" s="122"/>
      <c r="CG207" s="122"/>
      <c r="CH207" s="122"/>
      <c r="CI207" s="122"/>
      <c r="CJ207" s="122"/>
      <c r="CK207" s="122"/>
      <c r="CL207" s="122"/>
      <c r="CM207" s="122"/>
      <c r="CN207" s="122"/>
      <c r="CO207" s="122"/>
      <c r="CP207" s="122"/>
      <c r="CQ207" s="122"/>
      <c r="CR207" s="122"/>
      <c r="CS207" s="122"/>
      <c r="CT207" s="122"/>
      <c r="CU207" s="122"/>
      <c r="CV207" s="122"/>
      <c r="CW207" s="122"/>
      <c r="CX207" s="122"/>
      <c r="CY207" s="122"/>
      <c r="CZ207" s="122"/>
      <c r="DA207" s="122"/>
      <c r="DB207" s="122"/>
      <c r="DC207" s="122"/>
      <c r="DD207" s="122"/>
      <c r="DE207" s="122"/>
      <c r="DF207" s="122"/>
      <c r="DG207" s="122"/>
      <c r="DH207" s="122"/>
      <c r="DI207" s="122"/>
      <c r="DJ207" s="122"/>
      <c r="DK207" s="122"/>
      <c r="DL207" s="122"/>
      <c r="DM207" s="122"/>
      <c r="DN207" s="122"/>
      <c r="DO207" s="122"/>
      <c r="DP207" s="122"/>
      <c r="DQ207" s="122"/>
      <c r="DR207" s="122"/>
      <c r="DS207" s="122"/>
      <c r="DT207" s="122"/>
      <c r="DU207" s="122"/>
      <c r="DV207" s="122"/>
      <c r="DW207" s="122"/>
      <c r="DX207" s="122"/>
      <c r="DY207" s="122"/>
      <c r="DZ207" s="122"/>
      <c r="EA207" s="122"/>
      <c r="EB207" s="122"/>
      <c r="EC207" s="122"/>
      <c r="ED207" s="122"/>
      <c r="EE207" s="122"/>
      <c r="EF207" s="122"/>
      <c r="EG207" s="122"/>
      <c r="EH207" s="122"/>
      <c r="EI207" s="122"/>
      <c r="EJ207" s="122"/>
      <c r="EK207" s="122"/>
      <c r="EL207" s="122"/>
      <c r="EM207" s="122"/>
      <c r="EN207" s="122"/>
      <c r="EO207" s="122"/>
      <c r="EP207" s="122"/>
      <c r="EQ207" s="122"/>
      <c r="ER207" s="122"/>
      <c r="ES207" s="122"/>
      <c r="ET207" s="122"/>
      <c r="EU207" s="122"/>
      <c r="EV207" s="122"/>
      <c r="EW207" s="122"/>
      <c r="EX207" s="122"/>
      <c r="EY207" s="122"/>
      <c r="EZ207" s="122"/>
      <c r="FA207" s="122"/>
      <c r="FB207" s="122"/>
      <c r="FC207" s="122"/>
      <c r="FD207" s="122"/>
      <c r="FE207" s="122"/>
      <c r="FF207" s="122"/>
      <c r="FG207" s="122"/>
      <c r="FH207" s="122"/>
      <c r="FI207" s="122"/>
      <c r="FJ207" s="122"/>
      <c r="FK207" s="122"/>
      <c r="FL207" s="122"/>
      <c r="FM207" s="122"/>
      <c r="FN207" s="122"/>
      <c r="FO207" s="122"/>
      <c r="FP207" s="122"/>
      <c r="FQ207" s="122"/>
      <c r="FR207" s="122"/>
      <c r="FS207" s="122"/>
      <c r="FT207" s="122"/>
      <c r="FU207" s="122"/>
      <c r="FV207" s="122"/>
      <c r="FW207" s="122"/>
      <c r="FX207" s="122"/>
      <c r="FY207" s="122"/>
      <c r="FZ207" s="122"/>
      <c r="GA207" s="122"/>
      <c r="GB207" s="122"/>
      <c r="GC207" s="122"/>
      <c r="GD207" s="122"/>
      <c r="GE207" s="122"/>
      <c r="GF207" s="122"/>
      <c r="GG207" s="122"/>
      <c r="GH207" s="122"/>
      <c r="GI207" s="122"/>
    </row>
    <row r="208" spans="1:191" s="13" customFormat="1" ht="20.25" customHeight="1">
      <c r="A208" s="117"/>
      <c r="B208" s="119"/>
      <c r="C208" s="142"/>
      <c r="D208" s="121"/>
      <c r="E208" s="103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122"/>
      <c r="AQ208" s="122"/>
      <c r="AR208" s="122"/>
      <c r="AS208" s="122"/>
      <c r="AT208" s="122"/>
      <c r="AU208" s="122"/>
      <c r="AV208" s="122"/>
      <c r="AW208" s="122"/>
      <c r="AX208" s="122"/>
      <c r="AY208" s="122"/>
      <c r="AZ208" s="122"/>
      <c r="BA208" s="122"/>
      <c r="BB208" s="122"/>
      <c r="BC208" s="122"/>
      <c r="BD208" s="122"/>
      <c r="BE208" s="122"/>
      <c r="BF208" s="122"/>
      <c r="BG208" s="122"/>
      <c r="BH208" s="122"/>
      <c r="BI208" s="122"/>
      <c r="BJ208" s="122"/>
      <c r="BK208" s="122"/>
      <c r="BL208" s="122"/>
      <c r="BM208" s="122"/>
      <c r="BN208" s="122"/>
      <c r="BO208" s="122"/>
      <c r="BP208" s="122"/>
      <c r="BQ208" s="122"/>
      <c r="BR208" s="123"/>
      <c r="BS208" s="123"/>
      <c r="BT208" s="123"/>
      <c r="BU208" s="122"/>
      <c r="BV208" s="122"/>
      <c r="BW208" s="122"/>
      <c r="BX208" s="122"/>
      <c r="BY208" s="122"/>
      <c r="BZ208" s="122"/>
      <c r="CA208" s="122"/>
      <c r="CB208" s="122"/>
      <c r="CC208" s="122"/>
      <c r="CD208" s="122"/>
      <c r="CE208" s="122"/>
      <c r="CF208" s="122"/>
      <c r="CG208" s="122"/>
      <c r="CH208" s="122"/>
      <c r="CI208" s="122"/>
      <c r="CJ208" s="122"/>
      <c r="CK208" s="122"/>
      <c r="CL208" s="122"/>
      <c r="CM208" s="122"/>
      <c r="CN208" s="122"/>
      <c r="CO208" s="122"/>
      <c r="CP208" s="122"/>
      <c r="CQ208" s="122"/>
      <c r="CR208" s="122"/>
      <c r="CS208" s="122"/>
      <c r="CT208" s="122"/>
      <c r="CU208" s="122"/>
      <c r="CV208" s="122"/>
      <c r="CW208" s="122"/>
      <c r="CX208" s="122"/>
      <c r="CY208" s="122"/>
      <c r="CZ208" s="122"/>
      <c r="DA208" s="122"/>
      <c r="DB208" s="122"/>
      <c r="DC208" s="122"/>
      <c r="DD208" s="122"/>
      <c r="DE208" s="122"/>
      <c r="DF208" s="122"/>
      <c r="DG208" s="122"/>
      <c r="DH208" s="122"/>
      <c r="DI208" s="122"/>
      <c r="DJ208" s="122"/>
      <c r="DK208" s="122"/>
      <c r="DL208" s="122"/>
      <c r="DM208" s="122"/>
      <c r="DN208" s="122"/>
      <c r="DO208" s="122"/>
      <c r="DP208" s="122"/>
      <c r="DQ208" s="122"/>
      <c r="DR208" s="122"/>
      <c r="DS208" s="122"/>
      <c r="DT208" s="122"/>
      <c r="DU208" s="122"/>
      <c r="DV208" s="122"/>
      <c r="DW208" s="122"/>
      <c r="DX208" s="122"/>
      <c r="DY208" s="122"/>
      <c r="DZ208" s="122"/>
      <c r="EA208" s="122"/>
      <c r="EB208" s="122"/>
      <c r="EC208" s="122"/>
      <c r="ED208" s="122"/>
      <c r="EE208" s="122"/>
      <c r="EF208" s="122"/>
      <c r="EG208" s="122"/>
      <c r="EH208" s="122"/>
      <c r="EI208" s="122"/>
      <c r="EJ208" s="122"/>
      <c r="EK208" s="122"/>
      <c r="EL208" s="122"/>
      <c r="EM208" s="122"/>
      <c r="EN208" s="122"/>
      <c r="EO208" s="122"/>
      <c r="EP208" s="122"/>
      <c r="EQ208" s="122"/>
      <c r="ER208" s="122"/>
      <c r="ES208" s="122"/>
      <c r="ET208" s="122"/>
      <c r="EU208" s="122"/>
      <c r="EV208" s="122"/>
      <c r="EW208" s="122"/>
      <c r="EX208" s="122"/>
      <c r="EY208" s="122"/>
      <c r="EZ208" s="122"/>
      <c r="FA208" s="122"/>
      <c r="FB208" s="122"/>
      <c r="FC208" s="122"/>
      <c r="FD208" s="122"/>
      <c r="FE208" s="122"/>
      <c r="FF208" s="122"/>
      <c r="FG208" s="122"/>
      <c r="FH208" s="122"/>
      <c r="FI208" s="122"/>
      <c r="FJ208" s="122"/>
      <c r="FK208" s="122"/>
      <c r="FL208" s="122"/>
      <c r="FM208" s="122"/>
      <c r="FN208" s="122"/>
      <c r="FO208" s="122"/>
      <c r="FP208" s="122"/>
      <c r="FQ208" s="122"/>
      <c r="FR208" s="122"/>
      <c r="FS208" s="122"/>
      <c r="FT208" s="122"/>
      <c r="FU208" s="122"/>
      <c r="FV208" s="122"/>
      <c r="FW208" s="122"/>
      <c r="FX208" s="122"/>
      <c r="FY208" s="122"/>
      <c r="FZ208" s="122"/>
      <c r="GA208" s="122"/>
      <c r="GB208" s="122"/>
      <c r="GC208" s="122"/>
      <c r="GD208" s="122"/>
      <c r="GE208" s="122"/>
      <c r="GF208" s="122"/>
      <c r="GG208" s="122"/>
      <c r="GH208" s="122"/>
      <c r="GI208" s="122"/>
    </row>
    <row r="209" spans="1:191" s="13" customFormat="1" ht="20.25" customHeight="1">
      <c r="A209" s="117">
        <v>101</v>
      </c>
      <c r="B209" s="119"/>
      <c r="C209" s="142"/>
      <c r="D209" s="102">
        <f t="shared" ref="D209" si="103">IFERROR(SUMPRODUCT(F209:HE209,$F$6:$HE$6)/100,0)</f>
        <v>0</v>
      </c>
      <c r="E209" s="103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122"/>
      <c r="AQ209" s="122"/>
      <c r="AR209" s="122"/>
      <c r="AS209" s="122"/>
      <c r="AT209" s="122"/>
      <c r="AU209" s="122"/>
      <c r="AV209" s="122"/>
      <c r="AW209" s="122"/>
      <c r="AX209" s="122"/>
      <c r="AY209" s="122"/>
      <c r="AZ209" s="122"/>
      <c r="BA209" s="122"/>
      <c r="BB209" s="122"/>
      <c r="BC209" s="122"/>
      <c r="BD209" s="122"/>
      <c r="BE209" s="122"/>
      <c r="BF209" s="122"/>
      <c r="BG209" s="122"/>
      <c r="BH209" s="122"/>
      <c r="BI209" s="122"/>
      <c r="BJ209" s="122"/>
      <c r="BK209" s="122"/>
      <c r="BL209" s="122"/>
      <c r="BM209" s="122"/>
      <c r="BN209" s="122"/>
      <c r="BO209" s="122"/>
      <c r="BP209" s="122"/>
      <c r="BQ209" s="122"/>
      <c r="BR209" s="123"/>
      <c r="BS209" s="123"/>
      <c r="BT209" s="123"/>
      <c r="BU209" s="122"/>
      <c r="BV209" s="122"/>
      <c r="BW209" s="122"/>
      <c r="BX209" s="122"/>
      <c r="BY209" s="122"/>
      <c r="BZ209" s="122"/>
      <c r="CA209" s="122"/>
      <c r="CB209" s="122"/>
      <c r="CC209" s="122"/>
      <c r="CD209" s="122"/>
      <c r="CE209" s="122"/>
      <c r="CF209" s="122"/>
      <c r="CG209" s="122"/>
      <c r="CH209" s="122"/>
      <c r="CI209" s="122"/>
      <c r="CJ209" s="122"/>
      <c r="CK209" s="122"/>
      <c r="CL209" s="122"/>
      <c r="CM209" s="122"/>
      <c r="CN209" s="122"/>
      <c r="CO209" s="122"/>
      <c r="CP209" s="122"/>
      <c r="CQ209" s="122"/>
      <c r="CR209" s="122"/>
      <c r="CS209" s="122"/>
      <c r="CT209" s="122"/>
      <c r="CU209" s="122"/>
      <c r="CV209" s="122"/>
      <c r="CW209" s="122"/>
      <c r="CX209" s="122"/>
      <c r="CY209" s="122"/>
      <c r="CZ209" s="122"/>
      <c r="DA209" s="122"/>
      <c r="DB209" s="122"/>
      <c r="DC209" s="122"/>
      <c r="DD209" s="122"/>
      <c r="DE209" s="122"/>
      <c r="DF209" s="122"/>
      <c r="DG209" s="122"/>
      <c r="DH209" s="122"/>
      <c r="DI209" s="122"/>
      <c r="DJ209" s="122"/>
      <c r="DK209" s="122"/>
      <c r="DL209" s="122"/>
      <c r="DM209" s="122"/>
      <c r="DN209" s="122"/>
      <c r="DO209" s="122"/>
      <c r="DP209" s="122"/>
      <c r="DQ209" s="122"/>
      <c r="DR209" s="122"/>
      <c r="DS209" s="122"/>
      <c r="DT209" s="122"/>
      <c r="DU209" s="122"/>
      <c r="DV209" s="122"/>
      <c r="DW209" s="122"/>
      <c r="DX209" s="122"/>
      <c r="DY209" s="122"/>
      <c r="DZ209" s="122"/>
      <c r="EA209" s="122"/>
      <c r="EB209" s="122"/>
      <c r="EC209" s="122"/>
      <c r="ED209" s="122"/>
      <c r="EE209" s="122"/>
      <c r="EF209" s="122"/>
      <c r="EG209" s="122"/>
      <c r="EH209" s="122"/>
      <c r="EI209" s="122"/>
      <c r="EJ209" s="122"/>
      <c r="EK209" s="122"/>
      <c r="EL209" s="122"/>
      <c r="EM209" s="122"/>
      <c r="EN209" s="122"/>
      <c r="EO209" s="122"/>
      <c r="EP209" s="122"/>
      <c r="EQ209" s="122"/>
      <c r="ER209" s="122"/>
      <c r="ES209" s="122"/>
      <c r="ET209" s="122"/>
      <c r="EU209" s="122"/>
      <c r="EV209" s="122"/>
      <c r="EW209" s="122"/>
      <c r="EX209" s="122"/>
      <c r="EY209" s="122"/>
      <c r="EZ209" s="122"/>
      <c r="FA209" s="122"/>
      <c r="FB209" s="122"/>
      <c r="FC209" s="122"/>
      <c r="FD209" s="122"/>
      <c r="FE209" s="122"/>
      <c r="FF209" s="122"/>
      <c r="FG209" s="122"/>
      <c r="FH209" s="122"/>
      <c r="FI209" s="122"/>
      <c r="FJ209" s="122"/>
      <c r="FK209" s="122"/>
      <c r="FL209" s="122"/>
      <c r="FM209" s="122"/>
      <c r="FN209" s="122"/>
      <c r="FO209" s="122"/>
      <c r="FP209" s="122"/>
      <c r="FQ209" s="122"/>
      <c r="FR209" s="122"/>
      <c r="FS209" s="122"/>
      <c r="FT209" s="122"/>
      <c r="FU209" s="122"/>
      <c r="FV209" s="122"/>
      <c r="FW209" s="122"/>
      <c r="FX209" s="122"/>
      <c r="FY209" s="122"/>
      <c r="FZ209" s="122"/>
      <c r="GA209" s="122"/>
      <c r="GB209" s="122"/>
      <c r="GC209" s="122"/>
      <c r="GD209" s="122"/>
      <c r="GE209" s="122"/>
      <c r="GF209" s="122"/>
      <c r="GG209" s="122"/>
      <c r="GH209" s="122"/>
      <c r="GI209" s="122"/>
    </row>
    <row r="210" spans="1:191" s="13" customFormat="1" ht="20.25" customHeight="1">
      <c r="A210" s="117"/>
      <c r="B210" s="119"/>
      <c r="C210" s="142"/>
      <c r="D210" s="121"/>
      <c r="E210" s="103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122"/>
      <c r="AQ210" s="122"/>
      <c r="AR210" s="122"/>
      <c r="AS210" s="122"/>
      <c r="AT210" s="122"/>
      <c r="AU210" s="122"/>
      <c r="AV210" s="122"/>
      <c r="AW210" s="122"/>
      <c r="AX210" s="122"/>
      <c r="AY210" s="122"/>
      <c r="AZ210" s="122"/>
      <c r="BA210" s="122"/>
      <c r="BB210" s="122"/>
      <c r="BC210" s="122"/>
      <c r="BD210" s="122"/>
      <c r="BE210" s="122"/>
      <c r="BF210" s="122"/>
      <c r="BG210" s="122"/>
      <c r="BH210" s="122"/>
      <c r="BI210" s="122"/>
      <c r="BJ210" s="122"/>
      <c r="BK210" s="122"/>
      <c r="BL210" s="122"/>
      <c r="BM210" s="122"/>
      <c r="BN210" s="122"/>
      <c r="BO210" s="122"/>
      <c r="BP210" s="122"/>
      <c r="BQ210" s="122"/>
      <c r="BR210" s="123"/>
      <c r="BS210" s="123"/>
      <c r="BT210" s="123"/>
      <c r="BU210" s="122"/>
      <c r="BV210" s="122"/>
      <c r="BW210" s="122"/>
      <c r="BX210" s="122"/>
      <c r="BY210" s="122"/>
      <c r="BZ210" s="122"/>
      <c r="CA210" s="122"/>
      <c r="CB210" s="122"/>
      <c r="CC210" s="122"/>
      <c r="CD210" s="122"/>
      <c r="CE210" s="122"/>
      <c r="CF210" s="122"/>
      <c r="CG210" s="122"/>
      <c r="CH210" s="122"/>
      <c r="CI210" s="122"/>
      <c r="CJ210" s="122"/>
      <c r="CK210" s="122"/>
      <c r="CL210" s="122"/>
      <c r="CM210" s="122"/>
      <c r="CN210" s="122"/>
      <c r="CO210" s="122"/>
      <c r="CP210" s="122"/>
      <c r="CQ210" s="122"/>
      <c r="CR210" s="122"/>
      <c r="CS210" s="122"/>
      <c r="CT210" s="122"/>
      <c r="CU210" s="122"/>
      <c r="CV210" s="122"/>
      <c r="CW210" s="122"/>
      <c r="CX210" s="122"/>
      <c r="CY210" s="122"/>
      <c r="CZ210" s="122"/>
      <c r="DA210" s="122"/>
      <c r="DB210" s="122"/>
      <c r="DC210" s="122"/>
      <c r="DD210" s="122"/>
      <c r="DE210" s="122"/>
      <c r="DF210" s="122"/>
      <c r="DG210" s="122"/>
      <c r="DH210" s="122"/>
      <c r="DI210" s="122"/>
      <c r="DJ210" s="122"/>
      <c r="DK210" s="122"/>
      <c r="DL210" s="122"/>
      <c r="DM210" s="122"/>
      <c r="DN210" s="122"/>
      <c r="DO210" s="122"/>
      <c r="DP210" s="122"/>
      <c r="DQ210" s="122"/>
      <c r="DR210" s="122"/>
      <c r="DS210" s="122"/>
      <c r="DT210" s="122"/>
      <c r="DU210" s="122"/>
      <c r="DV210" s="122"/>
      <c r="DW210" s="122"/>
      <c r="DX210" s="122"/>
      <c r="DY210" s="122"/>
      <c r="DZ210" s="122"/>
      <c r="EA210" s="122"/>
      <c r="EB210" s="122"/>
      <c r="EC210" s="122"/>
      <c r="ED210" s="122"/>
      <c r="EE210" s="122"/>
      <c r="EF210" s="122"/>
      <c r="EG210" s="122"/>
      <c r="EH210" s="122"/>
      <c r="EI210" s="122"/>
      <c r="EJ210" s="122"/>
      <c r="EK210" s="122"/>
      <c r="EL210" s="122"/>
      <c r="EM210" s="122"/>
      <c r="EN210" s="122"/>
      <c r="EO210" s="122"/>
      <c r="EP210" s="122"/>
      <c r="EQ210" s="122"/>
      <c r="ER210" s="122"/>
      <c r="ES210" s="122"/>
      <c r="ET210" s="122"/>
      <c r="EU210" s="122"/>
      <c r="EV210" s="122"/>
      <c r="EW210" s="122"/>
      <c r="EX210" s="122"/>
      <c r="EY210" s="122"/>
      <c r="EZ210" s="122"/>
      <c r="FA210" s="122"/>
      <c r="FB210" s="122"/>
      <c r="FC210" s="122"/>
      <c r="FD210" s="122"/>
      <c r="FE210" s="122"/>
      <c r="FF210" s="122"/>
      <c r="FG210" s="122"/>
      <c r="FH210" s="122"/>
      <c r="FI210" s="122"/>
      <c r="FJ210" s="122"/>
      <c r="FK210" s="122"/>
      <c r="FL210" s="122"/>
      <c r="FM210" s="122"/>
      <c r="FN210" s="122"/>
      <c r="FO210" s="122"/>
      <c r="FP210" s="122"/>
      <c r="FQ210" s="122"/>
      <c r="FR210" s="122"/>
      <c r="FS210" s="122"/>
      <c r="FT210" s="122"/>
      <c r="FU210" s="122"/>
      <c r="FV210" s="122"/>
      <c r="FW210" s="122"/>
      <c r="FX210" s="122"/>
      <c r="FY210" s="122"/>
      <c r="FZ210" s="122"/>
      <c r="GA210" s="122"/>
      <c r="GB210" s="122"/>
      <c r="GC210" s="122"/>
      <c r="GD210" s="122"/>
      <c r="GE210" s="122"/>
      <c r="GF210" s="122"/>
      <c r="GG210" s="122"/>
      <c r="GH210" s="122"/>
      <c r="GI210" s="122"/>
    </row>
    <row r="211" spans="1:191" s="13" customFormat="1" ht="20.25" customHeight="1">
      <c r="A211" s="117">
        <v>102</v>
      </c>
      <c r="B211" s="119"/>
      <c r="C211" s="142"/>
      <c r="D211" s="102">
        <f t="shared" ref="D211" si="104">IFERROR(SUMPRODUCT(F211:HE211,$F$6:$HE$6)/100,0)</f>
        <v>0</v>
      </c>
      <c r="E211" s="103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122"/>
      <c r="AQ211" s="122"/>
      <c r="AR211" s="122"/>
      <c r="AS211" s="122"/>
      <c r="AT211" s="122"/>
      <c r="AU211" s="122"/>
      <c r="AV211" s="122"/>
      <c r="AW211" s="122"/>
      <c r="AX211" s="122"/>
      <c r="AY211" s="122"/>
      <c r="AZ211" s="122"/>
      <c r="BA211" s="122"/>
      <c r="BB211" s="122"/>
      <c r="BC211" s="122"/>
      <c r="BD211" s="122"/>
      <c r="BE211" s="122"/>
      <c r="BF211" s="122"/>
      <c r="BG211" s="122"/>
      <c r="BH211" s="122"/>
      <c r="BI211" s="122"/>
      <c r="BJ211" s="122"/>
      <c r="BK211" s="122"/>
      <c r="BL211" s="122"/>
      <c r="BM211" s="122"/>
      <c r="BN211" s="122"/>
      <c r="BO211" s="122"/>
      <c r="BP211" s="122"/>
      <c r="BQ211" s="122"/>
      <c r="BR211" s="123"/>
      <c r="BS211" s="123"/>
      <c r="BT211" s="123"/>
      <c r="BU211" s="122"/>
      <c r="BV211" s="122"/>
      <c r="BW211" s="122"/>
      <c r="BX211" s="122"/>
      <c r="BY211" s="122"/>
      <c r="BZ211" s="122"/>
      <c r="CA211" s="122"/>
      <c r="CB211" s="122"/>
      <c r="CC211" s="122"/>
      <c r="CD211" s="122"/>
      <c r="CE211" s="122"/>
      <c r="CF211" s="122"/>
      <c r="CG211" s="122"/>
      <c r="CH211" s="122"/>
      <c r="CI211" s="122"/>
      <c r="CJ211" s="122"/>
      <c r="CK211" s="122"/>
      <c r="CL211" s="122"/>
      <c r="CM211" s="122"/>
      <c r="CN211" s="122"/>
      <c r="CO211" s="122"/>
      <c r="CP211" s="122"/>
      <c r="CQ211" s="122"/>
      <c r="CR211" s="122"/>
      <c r="CS211" s="122"/>
      <c r="CT211" s="122"/>
      <c r="CU211" s="122"/>
      <c r="CV211" s="122"/>
      <c r="CW211" s="122"/>
      <c r="CX211" s="122"/>
      <c r="CY211" s="122"/>
      <c r="CZ211" s="122"/>
      <c r="DA211" s="122"/>
      <c r="DB211" s="122"/>
      <c r="DC211" s="122"/>
      <c r="DD211" s="122"/>
      <c r="DE211" s="122"/>
      <c r="DF211" s="122"/>
      <c r="DG211" s="122"/>
      <c r="DH211" s="122"/>
      <c r="DI211" s="122"/>
      <c r="DJ211" s="122"/>
      <c r="DK211" s="122"/>
      <c r="DL211" s="122"/>
      <c r="DM211" s="122"/>
      <c r="DN211" s="122"/>
      <c r="DO211" s="122"/>
      <c r="DP211" s="122"/>
      <c r="DQ211" s="122"/>
      <c r="DR211" s="122"/>
      <c r="DS211" s="122"/>
      <c r="DT211" s="122"/>
      <c r="DU211" s="122"/>
      <c r="DV211" s="122"/>
      <c r="DW211" s="122"/>
      <c r="DX211" s="122"/>
      <c r="DY211" s="122"/>
      <c r="DZ211" s="122"/>
      <c r="EA211" s="122"/>
      <c r="EB211" s="122"/>
      <c r="EC211" s="122"/>
      <c r="ED211" s="122"/>
      <c r="EE211" s="122"/>
      <c r="EF211" s="122"/>
      <c r="EG211" s="122"/>
      <c r="EH211" s="122"/>
      <c r="EI211" s="122"/>
      <c r="EJ211" s="122"/>
      <c r="EK211" s="122"/>
      <c r="EL211" s="122"/>
      <c r="EM211" s="122"/>
      <c r="EN211" s="122"/>
      <c r="EO211" s="122"/>
      <c r="EP211" s="122"/>
      <c r="EQ211" s="122"/>
      <c r="ER211" s="122"/>
      <c r="ES211" s="122"/>
      <c r="ET211" s="122"/>
      <c r="EU211" s="122"/>
      <c r="EV211" s="122"/>
      <c r="EW211" s="122"/>
      <c r="EX211" s="122"/>
      <c r="EY211" s="122"/>
      <c r="EZ211" s="122"/>
      <c r="FA211" s="122"/>
      <c r="FB211" s="122"/>
      <c r="FC211" s="122"/>
      <c r="FD211" s="122"/>
      <c r="FE211" s="122"/>
      <c r="FF211" s="122"/>
      <c r="FG211" s="122"/>
      <c r="FH211" s="122"/>
      <c r="FI211" s="122"/>
      <c r="FJ211" s="122"/>
      <c r="FK211" s="122"/>
      <c r="FL211" s="122"/>
      <c r="FM211" s="122"/>
      <c r="FN211" s="122"/>
      <c r="FO211" s="122"/>
      <c r="FP211" s="122"/>
      <c r="FQ211" s="122"/>
      <c r="FR211" s="122"/>
      <c r="FS211" s="122"/>
      <c r="FT211" s="122"/>
      <c r="FU211" s="122"/>
      <c r="FV211" s="122"/>
      <c r="FW211" s="122"/>
      <c r="FX211" s="122"/>
      <c r="FY211" s="122"/>
      <c r="FZ211" s="122"/>
      <c r="GA211" s="122"/>
      <c r="GB211" s="122"/>
      <c r="GC211" s="122"/>
      <c r="GD211" s="122"/>
      <c r="GE211" s="122"/>
      <c r="GF211" s="122"/>
      <c r="GG211" s="122"/>
      <c r="GH211" s="122"/>
      <c r="GI211" s="122"/>
    </row>
    <row r="212" spans="1:191" s="13" customFormat="1" ht="20.25" customHeight="1">
      <c r="A212" s="117"/>
      <c r="B212" s="119"/>
      <c r="C212" s="142"/>
      <c r="D212" s="121"/>
      <c r="E212" s="103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122"/>
      <c r="AQ212" s="122"/>
      <c r="AR212" s="122"/>
      <c r="AS212" s="122"/>
      <c r="AT212" s="122"/>
      <c r="AU212" s="122"/>
      <c r="AV212" s="122"/>
      <c r="AW212" s="122"/>
      <c r="AX212" s="122"/>
      <c r="AY212" s="122"/>
      <c r="AZ212" s="122"/>
      <c r="BA212" s="122"/>
      <c r="BB212" s="122"/>
      <c r="BC212" s="122"/>
      <c r="BD212" s="122"/>
      <c r="BE212" s="122"/>
      <c r="BF212" s="122"/>
      <c r="BG212" s="122"/>
      <c r="BH212" s="122"/>
      <c r="BI212" s="122"/>
      <c r="BJ212" s="122"/>
      <c r="BK212" s="122"/>
      <c r="BL212" s="122"/>
      <c r="BM212" s="122"/>
      <c r="BN212" s="122"/>
      <c r="BO212" s="122"/>
      <c r="BP212" s="122"/>
      <c r="BQ212" s="122"/>
      <c r="BR212" s="123"/>
      <c r="BS212" s="123"/>
      <c r="BT212" s="123"/>
      <c r="BU212" s="122"/>
      <c r="BV212" s="122"/>
      <c r="BW212" s="122"/>
      <c r="BX212" s="122"/>
      <c r="BY212" s="122"/>
      <c r="BZ212" s="122"/>
      <c r="CA212" s="122"/>
      <c r="CB212" s="122"/>
      <c r="CC212" s="122"/>
      <c r="CD212" s="122"/>
      <c r="CE212" s="122"/>
      <c r="CF212" s="122"/>
      <c r="CG212" s="122"/>
      <c r="CH212" s="122"/>
      <c r="CI212" s="122"/>
      <c r="CJ212" s="122"/>
      <c r="CK212" s="122"/>
      <c r="CL212" s="122"/>
      <c r="CM212" s="122"/>
      <c r="CN212" s="122"/>
      <c r="CO212" s="122"/>
      <c r="CP212" s="122"/>
      <c r="CQ212" s="122"/>
      <c r="CR212" s="122"/>
      <c r="CS212" s="122"/>
      <c r="CT212" s="122"/>
      <c r="CU212" s="122"/>
      <c r="CV212" s="122"/>
      <c r="CW212" s="122"/>
      <c r="CX212" s="122"/>
      <c r="CY212" s="122"/>
      <c r="CZ212" s="122"/>
      <c r="DA212" s="122"/>
      <c r="DB212" s="122"/>
      <c r="DC212" s="122"/>
      <c r="DD212" s="122"/>
      <c r="DE212" s="122"/>
      <c r="DF212" s="122"/>
      <c r="DG212" s="122"/>
      <c r="DH212" s="122"/>
      <c r="DI212" s="122"/>
      <c r="DJ212" s="122"/>
      <c r="DK212" s="122"/>
      <c r="DL212" s="122"/>
      <c r="DM212" s="122"/>
      <c r="DN212" s="122"/>
      <c r="DO212" s="122"/>
      <c r="DP212" s="122"/>
      <c r="DQ212" s="122"/>
      <c r="DR212" s="122"/>
      <c r="DS212" s="122"/>
      <c r="DT212" s="122"/>
      <c r="DU212" s="122"/>
      <c r="DV212" s="122"/>
      <c r="DW212" s="122"/>
      <c r="DX212" s="122"/>
      <c r="DY212" s="122"/>
      <c r="DZ212" s="122"/>
      <c r="EA212" s="122"/>
      <c r="EB212" s="122"/>
      <c r="EC212" s="122"/>
      <c r="ED212" s="122"/>
      <c r="EE212" s="122"/>
      <c r="EF212" s="122"/>
      <c r="EG212" s="122"/>
      <c r="EH212" s="122"/>
      <c r="EI212" s="122"/>
      <c r="EJ212" s="122"/>
      <c r="EK212" s="122"/>
      <c r="EL212" s="122"/>
      <c r="EM212" s="122"/>
      <c r="EN212" s="122"/>
      <c r="EO212" s="122"/>
      <c r="EP212" s="122"/>
      <c r="EQ212" s="122"/>
      <c r="ER212" s="122"/>
      <c r="ES212" s="122"/>
      <c r="ET212" s="122"/>
      <c r="EU212" s="122"/>
      <c r="EV212" s="122"/>
      <c r="EW212" s="122"/>
      <c r="EX212" s="122"/>
      <c r="EY212" s="122"/>
      <c r="EZ212" s="122"/>
      <c r="FA212" s="122"/>
      <c r="FB212" s="122"/>
      <c r="FC212" s="122"/>
      <c r="FD212" s="122"/>
      <c r="FE212" s="122"/>
      <c r="FF212" s="122"/>
      <c r="FG212" s="122"/>
      <c r="FH212" s="122"/>
      <c r="FI212" s="122"/>
      <c r="FJ212" s="122"/>
      <c r="FK212" s="122"/>
      <c r="FL212" s="122"/>
      <c r="FM212" s="122"/>
      <c r="FN212" s="122"/>
      <c r="FO212" s="122"/>
      <c r="FP212" s="122"/>
      <c r="FQ212" s="122"/>
      <c r="FR212" s="122"/>
      <c r="FS212" s="122"/>
      <c r="FT212" s="122"/>
      <c r="FU212" s="122"/>
      <c r="FV212" s="122"/>
      <c r="FW212" s="122"/>
      <c r="FX212" s="122"/>
      <c r="FY212" s="122"/>
      <c r="FZ212" s="122"/>
      <c r="GA212" s="122"/>
      <c r="GB212" s="122"/>
      <c r="GC212" s="122"/>
      <c r="GD212" s="122"/>
      <c r="GE212" s="122"/>
      <c r="GF212" s="122"/>
      <c r="GG212" s="122"/>
      <c r="GH212" s="122"/>
      <c r="GI212" s="122"/>
    </row>
    <row r="213" spans="1:191" s="13" customFormat="1" ht="20.25" customHeight="1">
      <c r="A213" s="117">
        <v>103</v>
      </c>
      <c r="B213" s="119"/>
      <c r="C213" s="142"/>
      <c r="D213" s="102">
        <f t="shared" ref="D213" si="105">IFERROR(SUMPRODUCT(F213:HE213,$F$6:$HE$6)/100,0)</f>
        <v>0</v>
      </c>
      <c r="E213" s="103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122"/>
      <c r="AQ213" s="122"/>
      <c r="AR213" s="122"/>
      <c r="AS213" s="122"/>
      <c r="AT213" s="122"/>
      <c r="AU213" s="122"/>
      <c r="AV213" s="122"/>
      <c r="AW213" s="122"/>
      <c r="AX213" s="122"/>
      <c r="AY213" s="122"/>
      <c r="AZ213" s="122"/>
      <c r="BA213" s="122"/>
      <c r="BB213" s="122"/>
      <c r="BC213" s="122"/>
      <c r="BD213" s="122"/>
      <c r="BE213" s="122"/>
      <c r="BF213" s="122"/>
      <c r="BG213" s="122"/>
      <c r="BH213" s="122"/>
      <c r="BI213" s="122"/>
      <c r="BJ213" s="122"/>
      <c r="BK213" s="122"/>
      <c r="BL213" s="122"/>
      <c r="BM213" s="122"/>
      <c r="BN213" s="122"/>
      <c r="BO213" s="122"/>
      <c r="BP213" s="122"/>
      <c r="BQ213" s="122"/>
      <c r="BR213" s="123"/>
      <c r="BS213" s="123"/>
      <c r="BT213" s="123"/>
      <c r="BU213" s="122"/>
      <c r="BV213" s="122"/>
      <c r="BW213" s="122"/>
      <c r="BX213" s="122"/>
      <c r="BY213" s="122"/>
      <c r="BZ213" s="122"/>
      <c r="CA213" s="122"/>
      <c r="CB213" s="122"/>
      <c r="CC213" s="122"/>
      <c r="CD213" s="122"/>
      <c r="CE213" s="122"/>
      <c r="CF213" s="122"/>
      <c r="CG213" s="122"/>
      <c r="CH213" s="122"/>
      <c r="CI213" s="122"/>
      <c r="CJ213" s="122"/>
      <c r="CK213" s="122"/>
      <c r="CL213" s="122"/>
      <c r="CM213" s="122"/>
      <c r="CN213" s="122"/>
      <c r="CO213" s="122"/>
      <c r="CP213" s="122"/>
      <c r="CQ213" s="122"/>
      <c r="CR213" s="122"/>
      <c r="CS213" s="122"/>
      <c r="CT213" s="122"/>
      <c r="CU213" s="122"/>
      <c r="CV213" s="122"/>
      <c r="CW213" s="122"/>
      <c r="CX213" s="122"/>
      <c r="CY213" s="122"/>
      <c r="CZ213" s="122"/>
      <c r="DA213" s="122"/>
      <c r="DB213" s="122"/>
      <c r="DC213" s="122"/>
      <c r="DD213" s="122"/>
      <c r="DE213" s="122"/>
      <c r="DF213" s="122"/>
      <c r="DG213" s="122"/>
      <c r="DH213" s="122"/>
      <c r="DI213" s="122"/>
      <c r="DJ213" s="122"/>
      <c r="DK213" s="122"/>
      <c r="DL213" s="122"/>
      <c r="DM213" s="122"/>
      <c r="DN213" s="122"/>
      <c r="DO213" s="122"/>
      <c r="DP213" s="122"/>
      <c r="DQ213" s="122"/>
      <c r="DR213" s="122"/>
      <c r="DS213" s="122"/>
      <c r="DT213" s="122"/>
      <c r="DU213" s="122"/>
      <c r="DV213" s="122"/>
      <c r="DW213" s="122"/>
      <c r="DX213" s="122"/>
      <c r="DY213" s="122"/>
      <c r="DZ213" s="122"/>
      <c r="EA213" s="122"/>
      <c r="EB213" s="122"/>
      <c r="EC213" s="122"/>
      <c r="ED213" s="122"/>
      <c r="EE213" s="122"/>
      <c r="EF213" s="122"/>
      <c r="EG213" s="122"/>
      <c r="EH213" s="122"/>
      <c r="EI213" s="122"/>
      <c r="EJ213" s="122"/>
      <c r="EK213" s="122"/>
      <c r="EL213" s="122"/>
      <c r="EM213" s="122"/>
      <c r="EN213" s="122"/>
      <c r="EO213" s="122"/>
      <c r="EP213" s="122"/>
      <c r="EQ213" s="122"/>
      <c r="ER213" s="122"/>
      <c r="ES213" s="122"/>
      <c r="ET213" s="122"/>
      <c r="EU213" s="122"/>
      <c r="EV213" s="122"/>
      <c r="EW213" s="122"/>
      <c r="EX213" s="122"/>
      <c r="EY213" s="122"/>
      <c r="EZ213" s="122"/>
      <c r="FA213" s="122"/>
      <c r="FB213" s="122"/>
      <c r="FC213" s="122"/>
      <c r="FD213" s="122"/>
      <c r="FE213" s="122"/>
      <c r="FF213" s="122"/>
      <c r="FG213" s="122"/>
      <c r="FH213" s="122"/>
      <c r="FI213" s="122"/>
      <c r="FJ213" s="122"/>
      <c r="FK213" s="122"/>
      <c r="FL213" s="122"/>
      <c r="FM213" s="122"/>
      <c r="FN213" s="122"/>
      <c r="FO213" s="122"/>
      <c r="FP213" s="122"/>
      <c r="FQ213" s="122"/>
      <c r="FR213" s="122"/>
      <c r="FS213" s="122"/>
      <c r="FT213" s="122"/>
      <c r="FU213" s="122"/>
      <c r="FV213" s="122"/>
      <c r="FW213" s="122"/>
      <c r="FX213" s="122"/>
      <c r="FY213" s="122"/>
      <c r="FZ213" s="122"/>
      <c r="GA213" s="122"/>
      <c r="GB213" s="122"/>
      <c r="GC213" s="122"/>
      <c r="GD213" s="122"/>
      <c r="GE213" s="122"/>
      <c r="GF213" s="122"/>
      <c r="GG213" s="122"/>
      <c r="GH213" s="122"/>
      <c r="GI213" s="122"/>
    </row>
    <row r="214" spans="1:191" s="13" customFormat="1" ht="20.25" customHeight="1">
      <c r="A214" s="117"/>
      <c r="B214" s="119"/>
      <c r="C214" s="142"/>
      <c r="D214" s="121"/>
      <c r="E214" s="103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122"/>
      <c r="AQ214" s="122"/>
      <c r="AR214" s="122"/>
      <c r="AS214" s="122"/>
      <c r="AT214" s="122"/>
      <c r="AU214" s="122"/>
      <c r="AV214" s="122"/>
      <c r="AW214" s="122"/>
      <c r="AX214" s="122"/>
      <c r="AY214" s="122"/>
      <c r="AZ214" s="122"/>
      <c r="BA214" s="122"/>
      <c r="BB214" s="122"/>
      <c r="BC214" s="122"/>
      <c r="BD214" s="122"/>
      <c r="BE214" s="122"/>
      <c r="BF214" s="122"/>
      <c r="BG214" s="122"/>
      <c r="BH214" s="122"/>
      <c r="BI214" s="122"/>
      <c r="BJ214" s="122"/>
      <c r="BK214" s="122"/>
      <c r="BL214" s="122"/>
      <c r="BM214" s="122"/>
      <c r="BN214" s="122"/>
      <c r="BO214" s="122"/>
      <c r="BP214" s="122"/>
      <c r="BQ214" s="123"/>
      <c r="BR214" s="123"/>
      <c r="BS214" s="123"/>
      <c r="BT214" s="122"/>
      <c r="BU214" s="122"/>
      <c r="BV214" s="122"/>
      <c r="BW214" s="122"/>
      <c r="BX214" s="122"/>
      <c r="BY214" s="122"/>
      <c r="BZ214" s="122"/>
      <c r="CA214" s="122"/>
      <c r="CB214" s="122"/>
      <c r="CC214" s="122"/>
      <c r="CD214" s="122"/>
      <c r="CE214" s="122"/>
      <c r="CF214" s="122"/>
      <c r="CG214" s="122"/>
      <c r="CH214" s="122"/>
      <c r="CI214" s="122"/>
      <c r="CJ214" s="122"/>
      <c r="CK214" s="122"/>
      <c r="CL214" s="122"/>
      <c r="CM214" s="122"/>
      <c r="CN214" s="122"/>
      <c r="CO214" s="122"/>
      <c r="CP214" s="122"/>
      <c r="CQ214" s="122"/>
      <c r="CR214" s="122"/>
      <c r="CS214" s="122"/>
      <c r="CT214" s="122"/>
      <c r="CU214" s="122"/>
      <c r="CV214" s="122"/>
      <c r="CW214" s="122"/>
      <c r="CX214" s="122"/>
      <c r="CY214" s="122"/>
      <c r="CZ214" s="122"/>
      <c r="DA214" s="122"/>
      <c r="DB214" s="122"/>
      <c r="DC214" s="122"/>
      <c r="DD214" s="122"/>
      <c r="DE214" s="122"/>
      <c r="DF214" s="122"/>
      <c r="DG214" s="122"/>
      <c r="DH214" s="122"/>
      <c r="DI214" s="122"/>
      <c r="DJ214" s="122"/>
      <c r="DK214" s="122"/>
      <c r="DL214" s="122"/>
      <c r="DM214" s="122"/>
      <c r="DN214" s="122"/>
      <c r="DO214" s="122"/>
      <c r="DP214" s="122"/>
      <c r="DQ214" s="122"/>
      <c r="DR214" s="122"/>
      <c r="DS214" s="122"/>
      <c r="DT214" s="122"/>
      <c r="DU214" s="122"/>
      <c r="DV214" s="122"/>
      <c r="DW214" s="122"/>
      <c r="DX214" s="122"/>
      <c r="DY214" s="122"/>
      <c r="DZ214" s="122"/>
      <c r="EA214" s="122"/>
      <c r="EB214" s="122"/>
      <c r="EC214" s="122"/>
      <c r="ED214" s="122"/>
      <c r="EE214" s="122"/>
      <c r="EF214" s="122"/>
      <c r="EG214" s="122"/>
      <c r="EH214" s="122"/>
      <c r="EI214" s="122"/>
      <c r="EJ214" s="122"/>
      <c r="EK214" s="122"/>
      <c r="EL214" s="122"/>
      <c r="EM214" s="122"/>
      <c r="EN214" s="122"/>
      <c r="EO214" s="122"/>
      <c r="EP214" s="122"/>
      <c r="EQ214" s="122"/>
      <c r="ER214" s="122"/>
      <c r="ES214" s="122"/>
      <c r="ET214" s="122"/>
      <c r="EU214" s="122"/>
      <c r="EV214" s="122"/>
      <c r="EW214" s="122"/>
      <c r="EX214" s="122"/>
      <c r="EY214" s="122"/>
      <c r="EZ214" s="122"/>
      <c r="FA214" s="122"/>
      <c r="FB214" s="122"/>
      <c r="FC214" s="122"/>
      <c r="FD214" s="122"/>
      <c r="FE214" s="122"/>
      <c r="FF214" s="122"/>
      <c r="FG214" s="122"/>
      <c r="FH214" s="122"/>
      <c r="FI214" s="122"/>
      <c r="FJ214" s="122"/>
      <c r="FK214" s="122"/>
      <c r="FL214" s="122"/>
      <c r="FM214" s="122"/>
      <c r="FN214" s="122"/>
      <c r="FO214" s="122"/>
      <c r="FP214" s="122"/>
      <c r="FQ214" s="122"/>
      <c r="FR214" s="122"/>
      <c r="FS214" s="122"/>
      <c r="FT214" s="122"/>
      <c r="FU214" s="122"/>
      <c r="FV214" s="122"/>
      <c r="FW214" s="122"/>
      <c r="FX214" s="122"/>
      <c r="FY214" s="122"/>
      <c r="FZ214" s="122"/>
      <c r="GA214" s="122"/>
      <c r="GB214" s="122"/>
      <c r="GC214" s="122"/>
      <c r="GD214" s="122"/>
      <c r="GE214" s="122"/>
      <c r="GF214" s="122"/>
      <c r="GG214" s="122"/>
      <c r="GH214" s="122"/>
      <c r="GI214" s="122"/>
    </row>
    <row r="215" spans="1:191" s="13" customFormat="1" ht="20.25" customHeight="1">
      <c r="A215" s="117">
        <v>104</v>
      </c>
      <c r="B215" s="119"/>
      <c r="C215" s="142"/>
      <c r="D215" s="102">
        <f t="shared" ref="D215" si="106">IFERROR(SUMPRODUCT(F215:HE215,$F$6:$HE$6)/100,0)</f>
        <v>0</v>
      </c>
      <c r="E215" s="103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122"/>
      <c r="AQ215" s="122"/>
      <c r="AR215" s="122"/>
      <c r="AS215" s="122"/>
      <c r="AT215" s="122"/>
      <c r="AU215" s="122"/>
      <c r="AV215" s="122"/>
      <c r="AW215" s="122"/>
      <c r="AX215" s="122"/>
      <c r="AY215" s="122"/>
      <c r="AZ215" s="122"/>
      <c r="BA215" s="122"/>
      <c r="BB215" s="122"/>
      <c r="BC215" s="122"/>
      <c r="BD215" s="122"/>
      <c r="BE215" s="122"/>
      <c r="BF215" s="122"/>
      <c r="BG215" s="122"/>
      <c r="BH215" s="122"/>
      <c r="BI215" s="122"/>
      <c r="BJ215" s="122"/>
      <c r="BK215" s="122"/>
      <c r="BL215" s="122"/>
      <c r="BM215" s="122"/>
      <c r="BN215" s="122"/>
      <c r="BO215" s="122"/>
      <c r="BP215" s="122"/>
      <c r="BQ215" s="123"/>
      <c r="BR215" s="123"/>
      <c r="BS215" s="123"/>
      <c r="BT215" s="122"/>
      <c r="BU215" s="122"/>
      <c r="BV215" s="122"/>
      <c r="BW215" s="122"/>
      <c r="BX215" s="122"/>
      <c r="BY215" s="122"/>
      <c r="BZ215" s="122"/>
      <c r="CA215" s="122"/>
      <c r="CB215" s="122"/>
      <c r="CC215" s="122"/>
      <c r="CD215" s="122"/>
      <c r="CE215" s="122"/>
      <c r="CF215" s="122"/>
      <c r="CG215" s="122"/>
      <c r="CH215" s="122"/>
      <c r="CI215" s="122"/>
      <c r="CJ215" s="122"/>
      <c r="CK215" s="122"/>
      <c r="CL215" s="122"/>
      <c r="CM215" s="122"/>
      <c r="CN215" s="122"/>
      <c r="CO215" s="122"/>
      <c r="CP215" s="122"/>
      <c r="CQ215" s="122"/>
      <c r="CR215" s="122"/>
      <c r="CS215" s="122"/>
      <c r="CT215" s="122"/>
      <c r="CU215" s="122"/>
      <c r="CV215" s="122"/>
      <c r="CW215" s="122"/>
      <c r="CX215" s="122"/>
      <c r="CY215" s="122"/>
      <c r="CZ215" s="122"/>
      <c r="DA215" s="122"/>
      <c r="DB215" s="122"/>
      <c r="DC215" s="122"/>
      <c r="DD215" s="122"/>
      <c r="DE215" s="122"/>
      <c r="DF215" s="122"/>
      <c r="DG215" s="122"/>
      <c r="DH215" s="122"/>
      <c r="DI215" s="122"/>
      <c r="DJ215" s="122"/>
      <c r="DK215" s="122"/>
      <c r="DL215" s="122"/>
      <c r="DM215" s="122"/>
      <c r="DN215" s="122"/>
      <c r="DO215" s="122"/>
      <c r="DP215" s="122"/>
      <c r="DQ215" s="122"/>
      <c r="DR215" s="122"/>
      <c r="DS215" s="122"/>
      <c r="DT215" s="122"/>
      <c r="DU215" s="122"/>
      <c r="DV215" s="122"/>
      <c r="DW215" s="122"/>
      <c r="DX215" s="122"/>
      <c r="DY215" s="122"/>
      <c r="DZ215" s="122"/>
      <c r="EA215" s="122"/>
      <c r="EB215" s="122"/>
      <c r="EC215" s="122"/>
      <c r="ED215" s="122"/>
      <c r="EE215" s="122"/>
      <c r="EF215" s="122"/>
      <c r="EG215" s="122"/>
      <c r="EH215" s="122"/>
      <c r="EI215" s="122"/>
      <c r="EJ215" s="122"/>
      <c r="EK215" s="122"/>
      <c r="EL215" s="122"/>
      <c r="EM215" s="122"/>
      <c r="EN215" s="122"/>
      <c r="EO215" s="122"/>
      <c r="EP215" s="122"/>
      <c r="EQ215" s="122"/>
      <c r="ER215" s="122"/>
      <c r="ES215" s="122"/>
      <c r="ET215" s="122"/>
      <c r="EU215" s="122"/>
      <c r="EV215" s="122"/>
      <c r="EW215" s="122"/>
      <c r="EX215" s="122"/>
      <c r="EY215" s="122"/>
      <c r="EZ215" s="122"/>
      <c r="FA215" s="122"/>
      <c r="FB215" s="122"/>
      <c r="FC215" s="122"/>
      <c r="FD215" s="122"/>
      <c r="FE215" s="122"/>
      <c r="FF215" s="122"/>
      <c r="FG215" s="122"/>
      <c r="FH215" s="122"/>
      <c r="FI215" s="122"/>
      <c r="FJ215" s="122"/>
      <c r="FK215" s="122"/>
      <c r="FL215" s="122"/>
      <c r="FM215" s="122"/>
      <c r="FN215" s="122"/>
      <c r="FO215" s="122"/>
      <c r="FP215" s="122"/>
      <c r="FQ215" s="122"/>
      <c r="FR215" s="122"/>
      <c r="FS215" s="122"/>
      <c r="FT215" s="122"/>
      <c r="FU215" s="122"/>
      <c r="FV215" s="122"/>
      <c r="FW215" s="122"/>
      <c r="FX215" s="122"/>
      <c r="FY215" s="122"/>
      <c r="FZ215" s="122"/>
      <c r="GA215" s="122"/>
      <c r="GB215" s="122"/>
      <c r="GC215" s="122"/>
      <c r="GD215" s="122"/>
      <c r="GE215" s="122"/>
      <c r="GF215" s="122"/>
      <c r="GG215" s="122"/>
      <c r="GH215" s="122"/>
      <c r="GI215" s="122"/>
    </row>
    <row r="216" spans="1:191" s="13" customFormat="1" ht="20.25" customHeight="1">
      <c r="A216" s="117"/>
      <c r="B216" s="119"/>
      <c r="C216" s="142"/>
      <c r="D216" s="121"/>
      <c r="E216" s="103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2"/>
      <c r="AR216" s="122"/>
      <c r="AS216" s="122"/>
      <c r="AT216" s="122"/>
      <c r="AU216" s="122"/>
      <c r="AV216" s="122"/>
      <c r="AW216" s="122"/>
      <c r="AX216" s="122"/>
      <c r="AY216" s="122"/>
      <c r="AZ216" s="122"/>
      <c r="BA216" s="122"/>
      <c r="BB216" s="122"/>
      <c r="BC216" s="122"/>
      <c r="BD216" s="122"/>
      <c r="BE216" s="122"/>
      <c r="BF216" s="122"/>
      <c r="BG216" s="122"/>
      <c r="BH216" s="122"/>
      <c r="BI216" s="122"/>
      <c r="BJ216" s="122"/>
      <c r="BK216" s="122"/>
      <c r="BL216" s="122"/>
      <c r="BM216" s="122"/>
      <c r="BN216" s="122"/>
      <c r="BO216" s="122"/>
      <c r="BP216" s="122"/>
      <c r="BQ216" s="123"/>
      <c r="BR216" s="123"/>
      <c r="BS216" s="123"/>
      <c r="BT216" s="122"/>
      <c r="BU216" s="122"/>
      <c r="BV216" s="122"/>
      <c r="BW216" s="122"/>
      <c r="BX216" s="122"/>
      <c r="BY216" s="122"/>
      <c r="BZ216" s="122"/>
      <c r="CA216" s="122"/>
      <c r="CB216" s="122"/>
      <c r="CC216" s="122"/>
      <c r="CD216" s="122"/>
      <c r="CE216" s="122"/>
      <c r="CF216" s="122"/>
      <c r="CG216" s="122"/>
      <c r="CH216" s="122"/>
      <c r="CI216" s="122"/>
      <c r="CJ216" s="122"/>
      <c r="CK216" s="122"/>
      <c r="CL216" s="122"/>
      <c r="CM216" s="122"/>
      <c r="CN216" s="122"/>
      <c r="CO216" s="122"/>
      <c r="CP216" s="122"/>
      <c r="CQ216" s="122"/>
      <c r="CR216" s="122"/>
      <c r="CS216" s="122"/>
      <c r="CT216" s="122"/>
      <c r="CU216" s="122"/>
      <c r="CV216" s="122"/>
      <c r="CW216" s="122"/>
      <c r="CX216" s="122"/>
      <c r="CY216" s="122"/>
      <c r="CZ216" s="122"/>
      <c r="DA216" s="122"/>
      <c r="DB216" s="122"/>
      <c r="DC216" s="122"/>
      <c r="DD216" s="122"/>
      <c r="DE216" s="122"/>
      <c r="DF216" s="122"/>
      <c r="DG216" s="122"/>
      <c r="DH216" s="122"/>
      <c r="DI216" s="122"/>
      <c r="DJ216" s="122"/>
      <c r="DK216" s="122"/>
      <c r="DL216" s="122"/>
      <c r="DM216" s="122"/>
      <c r="DN216" s="122"/>
      <c r="DO216" s="122"/>
      <c r="DP216" s="122"/>
      <c r="DQ216" s="122"/>
      <c r="DR216" s="122"/>
      <c r="DS216" s="122"/>
      <c r="DT216" s="122"/>
      <c r="DU216" s="122"/>
      <c r="DV216" s="122"/>
      <c r="DW216" s="122"/>
      <c r="DX216" s="122"/>
      <c r="DY216" s="122"/>
      <c r="DZ216" s="122"/>
      <c r="EA216" s="122"/>
      <c r="EB216" s="122"/>
      <c r="EC216" s="122"/>
      <c r="ED216" s="122"/>
      <c r="EE216" s="122"/>
      <c r="EF216" s="122"/>
      <c r="EG216" s="122"/>
      <c r="EH216" s="122"/>
      <c r="EI216" s="122"/>
      <c r="EJ216" s="122"/>
      <c r="EK216" s="122"/>
      <c r="EL216" s="122"/>
      <c r="EM216" s="122"/>
      <c r="EN216" s="122"/>
      <c r="EO216" s="122"/>
      <c r="EP216" s="122"/>
      <c r="EQ216" s="122"/>
      <c r="ER216" s="122"/>
      <c r="ES216" s="122"/>
      <c r="ET216" s="122"/>
      <c r="EU216" s="122"/>
      <c r="EV216" s="122"/>
      <c r="EW216" s="122"/>
      <c r="EX216" s="122"/>
      <c r="EY216" s="122"/>
      <c r="EZ216" s="122"/>
      <c r="FA216" s="122"/>
      <c r="FB216" s="122"/>
      <c r="FC216" s="122"/>
      <c r="FD216" s="122"/>
      <c r="FE216" s="122"/>
      <c r="FF216" s="122"/>
      <c r="FG216" s="122"/>
      <c r="FH216" s="122"/>
      <c r="FI216" s="122"/>
      <c r="FJ216" s="122"/>
      <c r="FK216" s="122"/>
      <c r="FL216" s="122"/>
      <c r="FM216" s="122"/>
      <c r="FN216" s="122"/>
      <c r="FO216" s="122"/>
      <c r="FP216" s="122"/>
      <c r="FQ216" s="122"/>
      <c r="FR216" s="122"/>
      <c r="FS216" s="122"/>
      <c r="FT216" s="122"/>
      <c r="FU216" s="122"/>
      <c r="FV216" s="122"/>
      <c r="FW216" s="122"/>
      <c r="FX216" s="122"/>
      <c r="FY216" s="122"/>
      <c r="FZ216" s="122"/>
      <c r="GA216" s="122"/>
      <c r="GB216" s="122"/>
      <c r="GC216" s="122"/>
      <c r="GD216" s="122"/>
      <c r="GE216" s="122"/>
      <c r="GF216" s="122"/>
      <c r="GG216" s="122"/>
      <c r="GH216" s="122"/>
      <c r="GI216" s="122"/>
    </row>
    <row r="217" spans="1:191" s="13" customFormat="1" ht="20.25" customHeight="1">
      <c r="A217" s="117">
        <v>105</v>
      </c>
      <c r="B217" s="119"/>
      <c r="C217" s="142"/>
      <c r="D217" s="102">
        <f t="shared" ref="D217" si="107">IFERROR(SUMPRODUCT(F217:HE217,$F$6:$HE$6)/100,0)</f>
        <v>0</v>
      </c>
      <c r="E217" s="103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122"/>
      <c r="AQ217" s="122"/>
      <c r="AR217" s="122"/>
      <c r="AS217" s="122"/>
      <c r="AT217" s="122"/>
      <c r="AU217" s="122"/>
      <c r="AV217" s="122"/>
      <c r="AW217" s="122"/>
      <c r="AX217" s="122"/>
      <c r="AY217" s="122"/>
      <c r="AZ217" s="122"/>
      <c r="BA217" s="122"/>
      <c r="BB217" s="122"/>
      <c r="BC217" s="122"/>
      <c r="BD217" s="122"/>
      <c r="BE217" s="122"/>
      <c r="BF217" s="122"/>
      <c r="BG217" s="122"/>
      <c r="BH217" s="122"/>
      <c r="BI217" s="122"/>
      <c r="BJ217" s="122"/>
      <c r="BK217" s="122"/>
      <c r="BL217" s="122"/>
      <c r="BM217" s="122"/>
      <c r="BN217" s="122"/>
      <c r="BO217" s="122"/>
      <c r="BP217" s="122"/>
      <c r="BQ217" s="123"/>
      <c r="BR217" s="123"/>
      <c r="BS217" s="123"/>
      <c r="BT217" s="122"/>
      <c r="BU217" s="122"/>
      <c r="BV217" s="122"/>
      <c r="BW217" s="122"/>
      <c r="BX217" s="122"/>
      <c r="BY217" s="122"/>
      <c r="BZ217" s="122"/>
      <c r="CA217" s="122"/>
      <c r="CB217" s="122"/>
      <c r="CC217" s="122"/>
      <c r="CD217" s="122"/>
      <c r="CE217" s="122"/>
      <c r="CF217" s="122"/>
      <c r="CG217" s="122"/>
      <c r="CH217" s="122"/>
      <c r="CI217" s="122"/>
      <c r="CJ217" s="122"/>
      <c r="CK217" s="122"/>
      <c r="CL217" s="122"/>
      <c r="CM217" s="122"/>
      <c r="CN217" s="122"/>
      <c r="CO217" s="122"/>
      <c r="CP217" s="122"/>
      <c r="CQ217" s="122"/>
      <c r="CR217" s="122"/>
      <c r="CS217" s="122"/>
      <c r="CT217" s="122"/>
      <c r="CU217" s="122"/>
      <c r="CV217" s="122"/>
      <c r="CW217" s="122"/>
      <c r="CX217" s="122"/>
      <c r="CY217" s="122"/>
      <c r="CZ217" s="122"/>
      <c r="DA217" s="122"/>
      <c r="DB217" s="122"/>
      <c r="DC217" s="122"/>
      <c r="DD217" s="122"/>
      <c r="DE217" s="122"/>
      <c r="DF217" s="122"/>
      <c r="DG217" s="122"/>
      <c r="DH217" s="122"/>
      <c r="DI217" s="122"/>
      <c r="DJ217" s="122"/>
      <c r="DK217" s="122"/>
      <c r="DL217" s="122"/>
      <c r="DM217" s="122"/>
      <c r="DN217" s="122"/>
      <c r="DO217" s="122"/>
      <c r="DP217" s="122"/>
      <c r="DQ217" s="122"/>
      <c r="DR217" s="122"/>
      <c r="DS217" s="122"/>
      <c r="DT217" s="122"/>
      <c r="DU217" s="122"/>
      <c r="DV217" s="122"/>
      <c r="DW217" s="122"/>
      <c r="DX217" s="122"/>
      <c r="DY217" s="122"/>
      <c r="DZ217" s="122"/>
      <c r="EA217" s="122"/>
      <c r="EB217" s="122"/>
      <c r="EC217" s="122"/>
      <c r="ED217" s="122"/>
      <c r="EE217" s="122"/>
      <c r="EF217" s="122"/>
      <c r="EG217" s="122"/>
      <c r="EH217" s="122"/>
      <c r="EI217" s="122"/>
      <c r="EJ217" s="122"/>
      <c r="EK217" s="122"/>
      <c r="EL217" s="122"/>
      <c r="EM217" s="122"/>
      <c r="EN217" s="122"/>
      <c r="EO217" s="122"/>
      <c r="EP217" s="122"/>
      <c r="EQ217" s="122"/>
      <c r="ER217" s="122"/>
      <c r="ES217" s="122"/>
      <c r="ET217" s="122"/>
      <c r="EU217" s="122"/>
      <c r="EV217" s="122"/>
      <c r="EW217" s="122"/>
      <c r="EX217" s="122"/>
      <c r="EY217" s="122"/>
      <c r="EZ217" s="122"/>
      <c r="FA217" s="122"/>
      <c r="FB217" s="122"/>
      <c r="FC217" s="122"/>
      <c r="FD217" s="122"/>
      <c r="FE217" s="122"/>
      <c r="FF217" s="122"/>
      <c r="FG217" s="122"/>
      <c r="FH217" s="122"/>
      <c r="FI217" s="122"/>
      <c r="FJ217" s="122"/>
      <c r="FK217" s="122"/>
      <c r="FL217" s="122"/>
      <c r="FM217" s="122"/>
      <c r="FN217" s="122"/>
      <c r="FO217" s="122"/>
      <c r="FP217" s="122"/>
      <c r="FQ217" s="122"/>
      <c r="FR217" s="122"/>
      <c r="FS217" s="122"/>
      <c r="FT217" s="122"/>
      <c r="FU217" s="122"/>
      <c r="FV217" s="122"/>
      <c r="FW217" s="122"/>
      <c r="FX217" s="122"/>
      <c r="FY217" s="122"/>
      <c r="FZ217" s="122"/>
      <c r="GA217" s="122"/>
      <c r="GB217" s="122"/>
      <c r="GC217" s="122"/>
      <c r="GD217" s="122"/>
      <c r="GE217" s="122"/>
      <c r="GF217" s="122"/>
      <c r="GG217" s="122"/>
      <c r="GH217" s="122"/>
      <c r="GI217" s="122"/>
    </row>
    <row r="218" spans="1:191" s="13" customFormat="1" ht="20.25" customHeight="1">
      <c r="A218" s="117"/>
      <c r="B218" s="119"/>
      <c r="C218" s="142"/>
      <c r="D218" s="121"/>
      <c r="E218" s="103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122"/>
      <c r="AQ218" s="122"/>
      <c r="AR218" s="122"/>
      <c r="AS218" s="122"/>
      <c r="AT218" s="122"/>
      <c r="AU218" s="122"/>
      <c r="AV218" s="122"/>
      <c r="AW218" s="122"/>
      <c r="AX218" s="122"/>
      <c r="AY218" s="122"/>
      <c r="AZ218" s="122"/>
      <c r="BA218" s="122"/>
      <c r="BB218" s="122"/>
      <c r="BC218" s="122"/>
      <c r="BD218" s="122"/>
      <c r="BE218" s="122"/>
      <c r="BF218" s="122"/>
      <c r="BG218" s="122"/>
      <c r="BH218" s="122"/>
      <c r="BI218" s="122"/>
      <c r="BJ218" s="122"/>
      <c r="BK218" s="122"/>
      <c r="BL218" s="122"/>
      <c r="BM218" s="122"/>
      <c r="BN218" s="122"/>
      <c r="BO218" s="122"/>
      <c r="BP218" s="122"/>
      <c r="BQ218" s="123"/>
      <c r="BR218" s="123"/>
      <c r="BS218" s="123"/>
      <c r="BT218" s="122"/>
      <c r="BU218" s="122"/>
      <c r="BV218" s="122"/>
      <c r="BW218" s="122"/>
      <c r="BX218" s="122"/>
      <c r="BY218" s="122"/>
      <c r="BZ218" s="122"/>
      <c r="CA218" s="122"/>
      <c r="CB218" s="122"/>
      <c r="CC218" s="122"/>
      <c r="CD218" s="122"/>
      <c r="CE218" s="122"/>
      <c r="CF218" s="122"/>
      <c r="CG218" s="122"/>
      <c r="CH218" s="122"/>
      <c r="CI218" s="122"/>
      <c r="CJ218" s="122"/>
      <c r="CK218" s="122"/>
      <c r="CL218" s="122"/>
      <c r="CM218" s="122"/>
      <c r="CN218" s="122"/>
      <c r="CO218" s="122"/>
      <c r="CP218" s="122"/>
      <c r="CQ218" s="122"/>
      <c r="CR218" s="122"/>
      <c r="CS218" s="122"/>
      <c r="CT218" s="122"/>
      <c r="CU218" s="122"/>
      <c r="CV218" s="122"/>
      <c r="CW218" s="122"/>
      <c r="CX218" s="122"/>
      <c r="CY218" s="122"/>
      <c r="CZ218" s="122"/>
      <c r="DA218" s="122"/>
      <c r="DB218" s="122"/>
      <c r="DC218" s="122"/>
      <c r="DD218" s="122"/>
      <c r="DE218" s="122"/>
      <c r="DF218" s="122"/>
      <c r="DG218" s="122"/>
      <c r="DH218" s="122"/>
      <c r="DI218" s="122"/>
      <c r="DJ218" s="122"/>
      <c r="DK218" s="122"/>
      <c r="DL218" s="122"/>
      <c r="DM218" s="122"/>
      <c r="DN218" s="122"/>
      <c r="DO218" s="122"/>
      <c r="DP218" s="122"/>
      <c r="DQ218" s="122"/>
      <c r="DR218" s="122"/>
      <c r="DS218" s="122"/>
      <c r="DT218" s="122"/>
      <c r="DU218" s="122"/>
      <c r="DV218" s="122"/>
      <c r="DW218" s="122"/>
      <c r="DX218" s="122"/>
      <c r="DY218" s="122"/>
      <c r="DZ218" s="122"/>
      <c r="EA218" s="122"/>
      <c r="EB218" s="122"/>
      <c r="EC218" s="122"/>
      <c r="ED218" s="122"/>
      <c r="EE218" s="122"/>
      <c r="EF218" s="122"/>
      <c r="EG218" s="122"/>
      <c r="EH218" s="122"/>
      <c r="EI218" s="122"/>
      <c r="EJ218" s="122"/>
      <c r="EK218" s="122"/>
      <c r="EL218" s="122"/>
      <c r="EM218" s="122"/>
      <c r="EN218" s="122"/>
      <c r="EO218" s="122"/>
      <c r="EP218" s="122"/>
      <c r="EQ218" s="122"/>
      <c r="ER218" s="122"/>
      <c r="ES218" s="122"/>
      <c r="ET218" s="122"/>
      <c r="EU218" s="122"/>
      <c r="EV218" s="122"/>
      <c r="EW218" s="122"/>
      <c r="EX218" s="122"/>
      <c r="EY218" s="122"/>
      <c r="EZ218" s="122"/>
      <c r="FA218" s="122"/>
      <c r="FB218" s="122"/>
      <c r="FC218" s="122"/>
      <c r="FD218" s="122"/>
      <c r="FE218" s="122"/>
      <c r="FF218" s="122"/>
      <c r="FG218" s="122"/>
      <c r="FH218" s="122"/>
      <c r="FI218" s="122"/>
      <c r="FJ218" s="122"/>
      <c r="FK218" s="122"/>
      <c r="FL218" s="122"/>
      <c r="FM218" s="122"/>
      <c r="FN218" s="122"/>
      <c r="FO218" s="122"/>
      <c r="FP218" s="122"/>
      <c r="FQ218" s="122"/>
      <c r="FR218" s="122"/>
      <c r="FS218" s="122"/>
      <c r="FT218" s="122"/>
      <c r="FU218" s="122"/>
      <c r="FV218" s="122"/>
      <c r="FW218" s="122"/>
      <c r="FX218" s="122"/>
      <c r="FY218" s="122"/>
      <c r="FZ218" s="122"/>
      <c r="GA218" s="122"/>
      <c r="GB218" s="122"/>
      <c r="GC218" s="122"/>
      <c r="GD218" s="122"/>
      <c r="GE218" s="122"/>
      <c r="GF218" s="122"/>
      <c r="GG218" s="122"/>
      <c r="GH218" s="122"/>
      <c r="GI218" s="122"/>
    </row>
    <row r="219" spans="1:191" s="13" customFormat="1" ht="20.25" customHeight="1">
      <c r="A219" s="117">
        <v>106</v>
      </c>
      <c r="B219" s="119"/>
      <c r="C219" s="142"/>
      <c r="D219" s="102">
        <f t="shared" ref="D219" si="108">IFERROR(SUMPRODUCT(F219:HE219,$F$6:$HE$6)/100,0)</f>
        <v>0</v>
      </c>
      <c r="E219" s="103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122"/>
      <c r="AQ219" s="122"/>
      <c r="AR219" s="122"/>
      <c r="AS219" s="122"/>
      <c r="AT219" s="122"/>
      <c r="AU219" s="122"/>
      <c r="AV219" s="122"/>
      <c r="AW219" s="122"/>
      <c r="AX219" s="122"/>
      <c r="AY219" s="122"/>
      <c r="AZ219" s="122"/>
      <c r="BA219" s="122"/>
      <c r="BB219" s="122"/>
      <c r="BC219" s="122"/>
      <c r="BD219" s="122"/>
      <c r="BE219" s="122"/>
      <c r="BF219" s="122"/>
      <c r="BG219" s="122"/>
      <c r="BH219" s="122"/>
      <c r="BI219" s="122"/>
      <c r="BJ219" s="122"/>
      <c r="BK219" s="122"/>
      <c r="BL219" s="122"/>
      <c r="BM219" s="122"/>
      <c r="BN219" s="122"/>
      <c r="BO219" s="122"/>
      <c r="BP219" s="122"/>
      <c r="BQ219" s="123"/>
      <c r="BR219" s="123"/>
      <c r="BS219" s="123"/>
      <c r="BT219" s="122"/>
      <c r="BU219" s="122"/>
      <c r="BV219" s="122"/>
      <c r="BW219" s="122"/>
      <c r="BX219" s="122"/>
      <c r="BY219" s="122"/>
      <c r="BZ219" s="122"/>
      <c r="CA219" s="122"/>
      <c r="CB219" s="122"/>
      <c r="CC219" s="122"/>
      <c r="CD219" s="122"/>
      <c r="CE219" s="122"/>
      <c r="CF219" s="122"/>
      <c r="CG219" s="122"/>
      <c r="CH219" s="122"/>
      <c r="CI219" s="122"/>
      <c r="CJ219" s="122"/>
      <c r="CK219" s="122"/>
      <c r="CL219" s="122"/>
      <c r="CM219" s="122"/>
      <c r="CN219" s="122"/>
      <c r="CO219" s="122"/>
      <c r="CP219" s="122"/>
      <c r="CQ219" s="122"/>
      <c r="CR219" s="122"/>
      <c r="CS219" s="122"/>
      <c r="CT219" s="122"/>
      <c r="CU219" s="122"/>
      <c r="CV219" s="122"/>
      <c r="CW219" s="122"/>
      <c r="CX219" s="122"/>
      <c r="CY219" s="122"/>
      <c r="CZ219" s="122"/>
      <c r="DA219" s="122"/>
      <c r="DB219" s="122"/>
      <c r="DC219" s="122"/>
      <c r="DD219" s="122"/>
      <c r="DE219" s="122"/>
      <c r="DF219" s="122"/>
      <c r="DG219" s="122"/>
      <c r="DH219" s="122"/>
      <c r="DI219" s="122"/>
      <c r="DJ219" s="122"/>
      <c r="DK219" s="122"/>
      <c r="DL219" s="122"/>
      <c r="DM219" s="122"/>
      <c r="DN219" s="122"/>
      <c r="DO219" s="122"/>
      <c r="DP219" s="122"/>
      <c r="DQ219" s="122"/>
      <c r="DR219" s="122"/>
      <c r="DS219" s="122"/>
      <c r="DT219" s="122"/>
      <c r="DU219" s="122"/>
      <c r="DV219" s="122"/>
      <c r="DW219" s="122"/>
      <c r="DX219" s="122"/>
      <c r="DY219" s="122"/>
      <c r="DZ219" s="122"/>
      <c r="EA219" s="122"/>
      <c r="EB219" s="122"/>
      <c r="EC219" s="122"/>
      <c r="ED219" s="122"/>
      <c r="EE219" s="122"/>
      <c r="EF219" s="122"/>
      <c r="EG219" s="122"/>
      <c r="EH219" s="122"/>
      <c r="EI219" s="122"/>
      <c r="EJ219" s="122"/>
      <c r="EK219" s="122"/>
      <c r="EL219" s="122"/>
      <c r="EM219" s="122"/>
      <c r="EN219" s="122"/>
      <c r="EO219" s="122"/>
      <c r="EP219" s="122"/>
      <c r="EQ219" s="122"/>
      <c r="ER219" s="122"/>
      <c r="ES219" s="122"/>
      <c r="ET219" s="122"/>
      <c r="EU219" s="122"/>
      <c r="EV219" s="122"/>
      <c r="EW219" s="122"/>
      <c r="EX219" s="122"/>
      <c r="EY219" s="122"/>
      <c r="EZ219" s="122"/>
      <c r="FA219" s="122"/>
      <c r="FB219" s="122"/>
      <c r="FC219" s="122"/>
      <c r="FD219" s="122"/>
      <c r="FE219" s="122"/>
      <c r="FF219" s="122"/>
      <c r="FG219" s="122"/>
      <c r="FH219" s="122"/>
      <c r="FI219" s="122"/>
      <c r="FJ219" s="122"/>
      <c r="FK219" s="122"/>
      <c r="FL219" s="122"/>
      <c r="FM219" s="122"/>
      <c r="FN219" s="122"/>
      <c r="FO219" s="122"/>
      <c r="FP219" s="122"/>
      <c r="FQ219" s="122"/>
      <c r="FR219" s="122"/>
      <c r="FS219" s="122"/>
      <c r="FT219" s="122"/>
      <c r="FU219" s="122"/>
      <c r="FV219" s="122"/>
      <c r="FW219" s="122"/>
      <c r="FX219" s="122"/>
      <c r="FY219" s="122"/>
      <c r="FZ219" s="122"/>
      <c r="GA219" s="122"/>
      <c r="GB219" s="122"/>
      <c r="GC219" s="122"/>
      <c r="GD219" s="122"/>
      <c r="GE219" s="122"/>
      <c r="GF219" s="122"/>
      <c r="GG219" s="122"/>
      <c r="GH219" s="122"/>
      <c r="GI219" s="122"/>
    </row>
    <row r="220" spans="1:191" s="13" customFormat="1" ht="20.25" customHeight="1">
      <c r="A220" s="117"/>
      <c r="B220" s="119"/>
      <c r="C220" s="142"/>
      <c r="D220" s="121"/>
      <c r="E220" s="103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122"/>
      <c r="AQ220" s="122"/>
      <c r="AR220" s="122"/>
      <c r="AS220" s="122"/>
      <c r="AT220" s="122"/>
      <c r="AU220" s="122"/>
      <c r="AV220" s="122"/>
      <c r="AW220" s="122"/>
      <c r="AX220" s="122"/>
      <c r="AY220" s="122"/>
      <c r="AZ220" s="122"/>
      <c r="BA220" s="122"/>
      <c r="BB220" s="122"/>
      <c r="BC220" s="122"/>
      <c r="BD220" s="122"/>
      <c r="BE220" s="122"/>
      <c r="BF220" s="122"/>
      <c r="BG220" s="122"/>
      <c r="BH220" s="122"/>
      <c r="BI220" s="122"/>
      <c r="BJ220" s="122"/>
      <c r="BK220" s="122"/>
      <c r="BL220" s="122"/>
      <c r="BM220" s="122"/>
      <c r="BN220" s="122"/>
      <c r="BO220" s="122"/>
      <c r="BP220" s="122"/>
      <c r="BQ220" s="123"/>
      <c r="BR220" s="123"/>
      <c r="BS220" s="123"/>
      <c r="BT220" s="122"/>
      <c r="BU220" s="122"/>
      <c r="BV220" s="122"/>
      <c r="BW220" s="122"/>
      <c r="BX220" s="122"/>
      <c r="BY220" s="122"/>
      <c r="BZ220" s="122"/>
      <c r="CA220" s="122"/>
      <c r="CB220" s="122"/>
      <c r="CC220" s="122"/>
      <c r="CD220" s="122"/>
      <c r="CE220" s="122"/>
      <c r="CF220" s="122"/>
      <c r="CG220" s="122"/>
      <c r="CH220" s="122"/>
      <c r="CI220" s="122"/>
      <c r="CJ220" s="122"/>
      <c r="CK220" s="122"/>
      <c r="CL220" s="122"/>
      <c r="CM220" s="122"/>
      <c r="CN220" s="122"/>
      <c r="CO220" s="122"/>
      <c r="CP220" s="122"/>
      <c r="CQ220" s="122"/>
      <c r="CR220" s="122"/>
      <c r="CS220" s="122"/>
      <c r="CT220" s="122"/>
      <c r="CU220" s="122"/>
      <c r="CV220" s="122"/>
      <c r="CW220" s="122"/>
      <c r="CX220" s="122"/>
      <c r="CY220" s="122"/>
      <c r="CZ220" s="122"/>
      <c r="DA220" s="122"/>
      <c r="DB220" s="122"/>
      <c r="DC220" s="122"/>
      <c r="DD220" s="122"/>
      <c r="DE220" s="122"/>
      <c r="DF220" s="122"/>
      <c r="DG220" s="122"/>
      <c r="DH220" s="122"/>
      <c r="DI220" s="122"/>
      <c r="DJ220" s="122"/>
      <c r="DK220" s="122"/>
      <c r="DL220" s="122"/>
      <c r="DM220" s="122"/>
      <c r="DN220" s="122"/>
      <c r="DO220" s="122"/>
      <c r="DP220" s="122"/>
      <c r="DQ220" s="122"/>
      <c r="DR220" s="122"/>
      <c r="DS220" s="122"/>
      <c r="DT220" s="122"/>
      <c r="DU220" s="122"/>
      <c r="DV220" s="122"/>
      <c r="DW220" s="122"/>
      <c r="DX220" s="122"/>
      <c r="DY220" s="122"/>
      <c r="DZ220" s="122"/>
      <c r="EA220" s="122"/>
      <c r="EB220" s="122"/>
      <c r="EC220" s="122"/>
      <c r="ED220" s="122"/>
      <c r="EE220" s="122"/>
      <c r="EF220" s="122"/>
      <c r="EG220" s="122"/>
      <c r="EH220" s="122"/>
      <c r="EI220" s="122"/>
      <c r="EJ220" s="122"/>
      <c r="EK220" s="122"/>
      <c r="EL220" s="122"/>
      <c r="EM220" s="122"/>
      <c r="EN220" s="122"/>
      <c r="EO220" s="122"/>
      <c r="EP220" s="122"/>
      <c r="EQ220" s="122"/>
      <c r="ER220" s="122"/>
      <c r="ES220" s="122"/>
      <c r="ET220" s="122"/>
      <c r="EU220" s="122"/>
      <c r="EV220" s="122"/>
      <c r="EW220" s="122"/>
      <c r="EX220" s="122"/>
      <c r="EY220" s="122"/>
      <c r="EZ220" s="122"/>
      <c r="FA220" s="122"/>
      <c r="FB220" s="122"/>
      <c r="FC220" s="122"/>
      <c r="FD220" s="122"/>
      <c r="FE220" s="122"/>
      <c r="FF220" s="122"/>
      <c r="FG220" s="122"/>
      <c r="FH220" s="122"/>
      <c r="FI220" s="122"/>
      <c r="FJ220" s="122"/>
      <c r="FK220" s="122"/>
      <c r="FL220" s="122"/>
      <c r="FM220" s="122"/>
      <c r="FN220" s="122"/>
      <c r="FO220" s="122"/>
      <c r="FP220" s="122"/>
      <c r="FQ220" s="122"/>
      <c r="FR220" s="122"/>
      <c r="FS220" s="122"/>
      <c r="FT220" s="122"/>
      <c r="FU220" s="122"/>
      <c r="FV220" s="122"/>
      <c r="FW220" s="122"/>
      <c r="FX220" s="122"/>
      <c r="FY220" s="122"/>
      <c r="FZ220" s="122"/>
      <c r="GA220" s="122"/>
      <c r="GB220" s="122"/>
      <c r="GC220" s="122"/>
      <c r="GD220" s="122"/>
      <c r="GE220" s="122"/>
      <c r="GF220" s="122"/>
      <c r="GG220" s="122"/>
      <c r="GH220" s="122"/>
      <c r="GI220" s="122"/>
    </row>
    <row r="221" spans="1:191" s="13" customFormat="1" ht="20.25" customHeight="1">
      <c r="A221" s="117">
        <v>107</v>
      </c>
      <c r="B221" s="119"/>
      <c r="C221" s="142"/>
      <c r="D221" s="102">
        <f t="shared" ref="D221" si="109">IFERROR(SUMPRODUCT(F221:HE221,$F$6:$HE$6)/100,0)</f>
        <v>0</v>
      </c>
      <c r="E221" s="103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122"/>
      <c r="AQ221" s="122"/>
      <c r="AR221" s="122"/>
      <c r="AS221" s="122"/>
      <c r="AT221" s="122"/>
      <c r="AU221" s="122"/>
      <c r="AV221" s="122"/>
      <c r="AW221" s="122"/>
      <c r="AX221" s="122"/>
      <c r="AY221" s="122"/>
      <c r="AZ221" s="122"/>
      <c r="BA221" s="122"/>
      <c r="BB221" s="122"/>
      <c r="BC221" s="122"/>
      <c r="BD221" s="122"/>
      <c r="BE221" s="122"/>
      <c r="BF221" s="122"/>
      <c r="BG221" s="122"/>
      <c r="BH221" s="122"/>
      <c r="BI221" s="122"/>
      <c r="BJ221" s="122"/>
      <c r="BK221" s="122"/>
      <c r="BL221" s="122"/>
      <c r="BM221" s="122"/>
      <c r="BN221" s="122"/>
      <c r="BO221" s="122"/>
      <c r="BP221" s="122"/>
      <c r="BQ221" s="123"/>
      <c r="BR221" s="123"/>
      <c r="BS221" s="123"/>
      <c r="BT221" s="122"/>
      <c r="BU221" s="122"/>
      <c r="BV221" s="122"/>
      <c r="BW221" s="122"/>
      <c r="BX221" s="122"/>
      <c r="BY221" s="122"/>
      <c r="BZ221" s="122"/>
      <c r="CA221" s="122"/>
      <c r="CB221" s="122"/>
      <c r="CC221" s="122"/>
      <c r="CD221" s="122"/>
      <c r="CE221" s="122"/>
      <c r="CF221" s="122"/>
      <c r="CG221" s="122"/>
      <c r="CH221" s="122"/>
      <c r="CI221" s="122"/>
      <c r="CJ221" s="122"/>
      <c r="CK221" s="122"/>
      <c r="CL221" s="122"/>
      <c r="CM221" s="122"/>
      <c r="CN221" s="122"/>
      <c r="CO221" s="122"/>
      <c r="CP221" s="122"/>
      <c r="CQ221" s="122"/>
      <c r="CR221" s="122"/>
      <c r="CS221" s="122"/>
      <c r="CT221" s="122"/>
      <c r="CU221" s="122"/>
      <c r="CV221" s="122"/>
      <c r="CW221" s="122"/>
      <c r="CX221" s="122"/>
      <c r="CY221" s="122"/>
      <c r="CZ221" s="122"/>
      <c r="DA221" s="122"/>
      <c r="DB221" s="122"/>
      <c r="DC221" s="122"/>
      <c r="DD221" s="122"/>
      <c r="DE221" s="122"/>
      <c r="DF221" s="122"/>
      <c r="DG221" s="122"/>
      <c r="DH221" s="122"/>
      <c r="DI221" s="122"/>
      <c r="DJ221" s="122"/>
      <c r="DK221" s="122"/>
      <c r="DL221" s="122"/>
      <c r="DM221" s="122"/>
      <c r="DN221" s="122"/>
      <c r="DO221" s="122"/>
      <c r="DP221" s="122"/>
      <c r="DQ221" s="122"/>
      <c r="DR221" s="122"/>
      <c r="DS221" s="122"/>
      <c r="DT221" s="122"/>
      <c r="DU221" s="122"/>
      <c r="DV221" s="122"/>
      <c r="DW221" s="122"/>
      <c r="DX221" s="122"/>
      <c r="DY221" s="122"/>
      <c r="DZ221" s="122"/>
      <c r="EA221" s="122"/>
      <c r="EB221" s="122"/>
      <c r="EC221" s="122"/>
      <c r="ED221" s="122"/>
      <c r="EE221" s="122"/>
      <c r="EF221" s="122"/>
      <c r="EG221" s="122"/>
      <c r="EH221" s="122"/>
      <c r="EI221" s="122"/>
      <c r="EJ221" s="122"/>
      <c r="EK221" s="122"/>
      <c r="EL221" s="122"/>
      <c r="EM221" s="122"/>
      <c r="EN221" s="122"/>
      <c r="EO221" s="122"/>
      <c r="EP221" s="122"/>
      <c r="EQ221" s="122"/>
      <c r="ER221" s="122"/>
      <c r="ES221" s="122"/>
      <c r="ET221" s="122"/>
      <c r="EU221" s="122"/>
      <c r="EV221" s="122"/>
      <c r="EW221" s="122"/>
      <c r="EX221" s="122"/>
      <c r="EY221" s="122"/>
      <c r="EZ221" s="122"/>
      <c r="FA221" s="122"/>
      <c r="FB221" s="122"/>
      <c r="FC221" s="122"/>
      <c r="FD221" s="122"/>
      <c r="FE221" s="122"/>
      <c r="FF221" s="122"/>
      <c r="FG221" s="122"/>
      <c r="FH221" s="122"/>
      <c r="FI221" s="122"/>
      <c r="FJ221" s="122"/>
      <c r="FK221" s="122"/>
      <c r="FL221" s="122"/>
      <c r="FM221" s="122"/>
      <c r="FN221" s="122"/>
      <c r="FO221" s="122"/>
      <c r="FP221" s="122"/>
      <c r="FQ221" s="122"/>
      <c r="FR221" s="122"/>
      <c r="FS221" s="122"/>
      <c r="FT221" s="122"/>
      <c r="FU221" s="122"/>
      <c r="FV221" s="122"/>
      <c r="FW221" s="122"/>
      <c r="FX221" s="122"/>
      <c r="FY221" s="122"/>
      <c r="FZ221" s="122"/>
      <c r="GA221" s="122"/>
      <c r="GB221" s="122"/>
      <c r="GC221" s="122"/>
      <c r="GD221" s="122"/>
      <c r="GE221" s="122"/>
      <c r="GF221" s="122"/>
      <c r="GG221" s="122"/>
      <c r="GH221" s="122"/>
      <c r="GI221" s="122"/>
    </row>
    <row r="222" spans="1:191" s="13" customFormat="1" ht="20.25" customHeight="1">
      <c r="A222" s="117"/>
      <c r="B222" s="119"/>
      <c r="C222" s="120"/>
      <c r="D222" s="121"/>
      <c r="E222" s="103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122"/>
      <c r="AQ222" s="122"/>
      <c r="AR222" s="122"/>
      <c r="AS222" s="122"/>
      <c r="AT222" s="122"/>
      <c r="AU222" s="122"/>
      <c r="AV222" s="122"/>
      <c r="AW222" s="122"/>
      <c r="AX222" s="122"/>
      <c r="AY222" s="122"/>
      <c r="AZ222" s="122"/>
      <c r="BA222" s="122"/>
      <c r="BB222" s="122"/>
      <c r="BC222" s="122"/>
      <c r="BD222" s="122"/>
      <c r="BE222" s="122"/>
      <c r="BF222" s="122"/>
      <c r="BG222" s="122"/>
      <c r="BH222" s="122"/>
      <c r="BI222" s="122"/>
      <c r="BJ222" s="122"/>
      <c r="BK222" s="122"/>
      <c r="BL222" s="122"/>
      <c r="BM222" s="122"/>
      <c r="BN222" s="122"/>
      <c r="BO222" s="122"/>
      <c r="BP222" s="122"/>
      <c r="BQ222" s="123"/>
      <c r="BR222" s="123"/>
      <c r="BS222" s="123"/>
      <c r="BT222" s="122"/>
      <c r="BU222" s="122"/>
      <c r="BV222" s="122"/>
      <c r="BW222" s="122"/>
      <c r="BX222" s="122"/>
      <c r="BY222" s="122"/>
      <c r="BZ222" s="122"/>
      <c r="CA222" s="122"/>
      <c r="CB222" s="122"/>
      <c r="CC222" s="122"/>
      <c r="CD222" s="122"/>
      <c r="CE222" s="122"/>
      <c r="CF222" s="122"/>
      <c r="CG222" s="122"/>
      <c r="CH222" s="122"/>
      <c r="CI222" s="122"/>
      <c r="CJ222" s="122"/>
      <c r="CK222" s="122"/>
      <c r="CL222" s="122"/>
      <c r="CM222" s="122"/>
      <c r="CN222" s="122"/>
      <c r="CO222" s="122"/>
      <c r="CP222" s="122"/>
      <c r="CQ222" s="122"/>
      <c r="CR222" s="122"/>
      <c r="CS222" s="122"/>
      <c r="CT222" s="122"/>
      <c r="CU222" s="122"/>
      <c r="CV222" s="122"/>
      <c r="CW222" s="122"/>
      <c r="CX222" s="122"/>
      <c r="CY222" s="122"/>
      <c r="CZ222" s="122"/>
      <c r="DA222" s="122"/>
      <c r="DB222" s="122"/>
      <c r="DC222" s="122"/>
      <c r="DD222" s="122"/>
      <c r="DE222" s="122"/>
      <c r="DF222" s="122"/>
      <c r="DG222" s="122"/>
      <c r="DH222" s="122"/>
      <c r="DI222" s="122"/>
      <c r="DJ222" s="122"/>
      <c r="DK222" s="122"/>
      <c r="DL222" s="122"/>
      <c r="DM222" s="122"/>
      <c r="DN222" s="122"/>
      <c r="DO222" s="122"/>
      <c r="DP222" s="122"/>
      <c r="DQ222" s="122"/>
      <c r="DR222" s="122"/>
      <c r="DS222" s="122"/>
      <c r="DT222" s="122"/>
      <c r="DU222" s="122"/>
      <c r="DV222" s="122"/>
      <c r="DW222" s="122"/>
      <c r="DX222" s="122"/>
      <c r="DY222" s="122"/>
      <c r="DZ222" s="122"/>
      <c r="EA222" s="122"/>
      <c r="EB222" s="122"/>
      <c r="EC222" s="122"/>
      <c r="ED222" s="122"/>
      <c r="EE222" s="122"/>
      <c r="EF222" s="122"/>
      <c r="EG222" s="122"/>
      <c r="EH222" s="122"/>
      <c r="EI222" s="122"/>
      <c r="EJ222" s="122"/>
      <c r="EK222" s="122"/>
      <c r="EL222" s="122"/>
      <c r="EM222" s="122"/>
      <c r="EN222" s="122"/>
      <c r="EO222" s="122"/>
      <c r="EP222" s="122"/>
      <c r="EQ222" s="122"/>
      <c r="ER222" s="122"/>
      <c r="ES222" s="122"/>
      <c r="ET222" s="122"/>
      <c r="EU222" s="122"/>
      <c r="EV222" s="122"/>
      <c r="EW222" s="122"/>
      <c r="EX222" s="122"/>
      <c r="EY222" s="122"/>
      <c r="EZ222" s="122"/>
      <c r="FA222" s="122"/>
      <c r="FB222" s="122"/>
      <c r="FC222" s="122"/>
      <c r="FD222" s="122"/>
      <c r="FE222" s="122"/>
      <c r="FF222" s="122"/>
      <c r="FG222" s="122"/>
      <c r="FH222" s="122"/>
      <c r="FI222" s="122"/>
      <c r="FJ222" s="122"/>
      <c r="FK222" s="122"/>
      <c r="FL222" s="122"/>
      <c r="FM222" s="122"/>
      <c r="FN222" s="122"/>
      <c r="FO222" s="122"/>
      <c r="FP222" s="122"/>
      <c r="FQ222" s="122"/>
      <c r="FR222" s="122"/>
      <c r="FS222" s="122"/>
      <c r="FT222" s="122"/>
      <c r="FU222" s="122"/>
      <c r="FV222" s="122"/>
      <c r="FW222" s="122"/>
      <c r="FX222" s="122"/>
      <c r="FY222" s="122"/>
      <c r="FZ222" s="122"/>
      <c r="GA222" s="122"/>
      <c r="GB222" s="122"/>
      <c r="GC222" s="122"/>
      <c r="GD222" s="122"/>
      <c r="GE222" s="122"/>
      <c r="GF222" s="122"/>
      <c r="GG222" s="122"/>
      <c r="GH222" s="122"/>
      <c r="GI222" s="122"/>
    </row>
    <row r="223" spans="1:191" s="13" customFormat="1" ht="20.25" customHeight="1">
      <c r="A223" s="117">
        <v>108</v>
      </c>
      <c r="B223" s="119"/>
      <c r="C223" s="137"/>
      <c r="D223" s="102">
        <f t="shared" ref="D223" si="110">IFERROR(SUMPRODUCT(F223:HE223,$F$6:$HE$6)/100,0)</f>
        <v>0</v>
      </c>
      <c r="E223" s="103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122"/>
      <c r="AQ223" s="122"/>
      <c r="AR223" s="122"/>
      <c r="AS223" s="122"/>
      <c r="AT223" s="122"/>
      <c r="AU223" s="122"/>
      <c r="AV223" s="122"/>
      <c r="AW223" s="122"/>
      <c r="AX223" s="122"/>
      <c r="AY223" s="122"/>
      <c r="AZ223" s="122"/>
      <c r="BA223" s="122"/>
      <c r="BB223" s="122"/>
      <c r="BC223" s="122"/>
      <c r="BD223" s="122"/>
      <c r="BE223" s="122"/>
      <c r="BF223" s="122"/>
      <c r="BG223" s="122"/>
      <c r="BH223" s="122"/>
      <c r="BI223" s="122"/>
      <c r="BJ223" s="122"/>
      <c r="BK223" s="122"/>
      <c r="BL223" s="122"/>
      <c r="BM223" s="122"/>
      <c r="BN223" s="122"/>
      <c r="BO223" s="122"/>
      <c r="BP223" s="122"/>
      <c r="BQ223" s="123"/>
      <c r="BR223" s="123"/>
      <c r="BS223" s="123"/>
      <c r="BT223" s="122"/>
      <c r="BU223" s="122"/>
      <c r="BV223" s="122"/>
      <c r="BW223" s="122"/>
      <c r="BX223" s="122"/>
      <c r="BY223" s="122"/>
      <c r="BZ223" s="122"/>
      <c r="CA223" s="122"/>
      <c r="CB223" s="122"/>
      <c r="CC223" s="122"/>
      <c r="CD223" s="122"/>
      <c r="CE223" s="122"/>
      <c r="CF223" s="122"/>
      <c r="CG223" s="122"/>
      <c r="CH223" s="122"/>
      <c r="CI223" s="122"/>
      <c r="CJ223" s="122"/>
      <c r="CK223" s="122"/>
      <c r="CL223" s="122"/>
      <c r="CM223" s="122"/>
      <c r="CN223" s="122"/>
      <c r="CO223" s="122"/>
      <c r="CP223" s="122"/>
      <c r="CQ223" s="122"/>
      <c r="CR223" s="122"/>
      <c r="CS223" s="122"/>
      <c r="CT223" s="122"/>
      <c r="CU223" s="122"/>
      <c r="CV223" s="122"/>
      <c r="CW223" s="122"/>
      <c r="CX223" s="122"/>
      <c r="CY223" s="122"/>
      <c r="CZ223" s="122"/>
      <c r="DA223" s="122"/>
      <c r="DB223" s="122"/>
      <c r="DC223" s="122"/>
      <c r="DD223" s="122"/>
      <c r="DE223" s="122"/>
      <c r="DF223" s="122"/>
      <c r="DG223" s="122"/>
      <c r="DH223" s="122"/>
      <c r="DI223" s="122"/>
      <c r="DJ223" s="122"/>
      <c r="DK223" s="122"/>
      <c r="DL223" s="122"/>
      <c r="DM223" s="122"/>
      <c r="DN223" s="122"/>
      <c r="DO223" s="122"/>
      <c r="DP223" s="122"/>
      <c r="DQ223" s="122"/>
      <c r="DR223" s="122"/>
      <c r="DS223" s="122"/>
      <c r="DT223" s="122"/>
      <c r="DU223" s="122"/>
      <c r="DV223" s="122"/>
      <c r="DW223" s="122"/>
      <c r="DX223" s="122"/>
      <c r="DY223" s="122"/>
      <c r="DZ223" s="122"/>
      <c r="EA223" s="122"/>
      <c r="EB223" s="122"/>
      <c r="EC223" s="122"/>
      <c r="ED223" s="122"/>
      <c r="EE223" s="122"/>
      <c r="EF223" s="122"/>
      <c r="EG223" s="122"/>
      <c r="EH223" s="122"/>
      <c r="EI223" s="122"/>
      <c r="EJ223" s="122"/>
      <c r="EK223" s="122"/>
      <c r="EL223" s="122"/>
      <c r="EM223" s="122"/>
      <c r="EN223" s="122"/>
      <c r="EO223" s="122"/>
      <c r="EP223" s="122"/>
      <c r="EQ223" s="122"/>
      <c r="ER223" s="122"/>
      <c r="ES223" s="122"/>
      <c r="ET223" s="122"/>
      <c r="EU223" s="122"/>
      <c r="EV223" s="122"/>
      <c r="EW223" s="122"/>
      <c r="EX223" s="122"/>
      <c r="EY223" s="122"/>
      <c r="EZ223" s="122"/>
      <c r="FA223" s="122"/>
      <c r="FB223" s="122"/>
      <c r="FC223" s="122"/>
      <c r="FD223" s="122"/>
      <c r="FE223" s="122"/>
      <c r="FF223" s="122"/>
      <c r="FG223" s="122"/>
      <c r="FH223" s="122"/>
      <c r="FI223" s="122"/>
      <c r="FJ223" s="122"/>
      <c r="FK223" s="122"/>
      <c r="FL223" s="122"/>
      <c r="FM223" s="122"/>
      <c r="FN223" s="122"/>
      <c r="FO223" s="122"/>
      <c r="FP223" s="122"/>
      <c r="FQ223" s="122"/>
      <c r="FR223" s="122"/>
      <c r="FS223" s="122"/>
      <c r="FT223" s="122"/>
      <c r="FU223" s="122"/>
      <c r="FV223" s="122"/>
      <c r="FW223" s="122"/>
      <c r="FX223" s="122"/>
      <c r="FY223" s="122"/>
      <c r="FZ223" s="122"/>
      <c r="GA223" s="122"/>
      <c r="GB223" s="122"/>
      <c r="GC223" s="122"/>
      <c r="GD223" s="122"/>
      <c r="GE223" s="122"/>
      <c r="GF223" s="122"/>
      <c r="GG223" s="122"/>
      <c r="GH223" s="122"/>
      <c r="GI223" s="122"/>
    </row>
    <row r="224" spans="1:191" s="13" customFormat="1" ht="20.25" customHeight="1">
      <c r="A224" s="117"/>
      <c r="B224" s="119"/>
      <c r="C224" s="120"/>
      <c r="D224" s="121"/>
      <c r="E224" s="103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122"/>
      <c r="AQ224" s="122"/>
      <c r="AR224" s="122"/>
      <c r="AS224" s="122"/>
      <c r="AT224" s="122"/>
      <c r="AU224" s="122"/>
      <c r="AV224" s="122"/>
      <c r="AW224" s="122"/>
      <c r="AX224" s="122"/>
      <c r="AY224" s="122"/>
      <c r="AZ224" s="122"/>
      <c r="BA224" s="122"/>
      <c r="BB224" s="122"/>
      <c r="BC224" s="122"/>
      <c r="BD224" s="122"/>
      <c r="BE224" s="122"/>
      <c r="BF224" s="122"/>
      <c r="BG224" s="122"/>
      <c r="BH224" s="122"/>
      <c r="BI224" s="122"/>
      <c r="BJ224" s="122"/>
      <c r="BK224" s="122"/>
      <c r="BL224" s="122"/>
      <c r="BM224" s="122"/>
      <c r="BN224" s="122"/>
      <c r="BO224" s="122"/>
      <c r="BP224" s="122"/>
      <c r="BQ224" s="123"/>
      <c r="BR224" s="123"/>
      <c r="BS224" s="123"/>
      <c r="BT224" s="122"/>
      <c r="BU224" s="122"/>
      <c r="BV224" s="122"/>
      <c r="BW224" s="122"/>
      <c r="BX224" s="122"/>
      <c r="BY224" s="122"/>
      <c r="BZ224" s="122"/>
      <c r="CA224" s="122"/>
      <c r="CB224" s="122"/>
      <c r="CC224" s="122"/>
      <c r="CD224" s="122"/>
      <c r="CE224" s="122"/>
      <c r="CF224" s="122"/>
      <c r="CG224" s="122"/>
      <c r="CH224" s="122"/>
      <c r="CI224" s="122"/>
      <c r="CJ224" s="122"/>
      <c r="CK224" s="122"/>
      <c r="CL224" s="122"/>
      <c r="CM224" s="122"/>
      <c r="CN224" s="122"/>
      <c r="CO224" s="122"/>
      <c r="CP224" s="122"/>
      <c r="CQ224" s="122"/>
      <c r="CR224" s="122"/>
      <c r="CS224" s="122"/>
      <c r="CT224" s="122"/>
      <c r="CU224" s="122"/>
      <c r="CV224" s="122"/>
      <c r="CW224" s="122"/>
      <c r="CX224" s="122"/>
      <c r="CY224" s="122"/>
      <c r="CZ224" s="122"/>
      <c r="DA224" s="122"/>
      <c r="DB224" s="122"/>
      <c r="DC224" s="122"/>
      <c r="DD224" s="122"/>
      <c r="DE224" s="122"/>
      <c r="DF224" s="122"/>
      <c r="DG224" s="122"/>
      <c r="DH224" s="122"/>
      <c r="DI224" s="122"/>
      <c r="DJ224" s="122"/>
      <c r="DK224" s="122"/>
      <c r="DL224" s="122"/>
      <c r="DM224" s="122"/>
      <c r="DN224" s="122"/>
      <c r="DO224" s="122"/>
      <c r="DP224" s="122"/>
      <c r="DQ224" s="122"/>
      <c r="DR224" s="122"/>
      <c r="DS224" s="122"/>
      <c r="DT224" s="122"/>
      <c r="DU224" s="122"/>
      <c r="DV224" s="122"/>
      <c r="DW224" s="122"/>
      <c r="DX224" s="122"/>
      <c r="DY224" s="122"/>
      <c r="DZ224" s="122"/>
      <c r="EA224" s="122"/>
      <c r="EB224" s="122"/>
      <c r="EC224" s="122"/>
      <c r="ED224" s="122"/>
      <c r="EE224" s="122"/>
      <c r="EF224" s="122"/>
      <c r="EG224" s="122"/>
      <c r="EH224" s="122"/>
      <c r="EI224" s="122"/>
      <c r="EJ224" s="122"/>
      <c r="EK224" s="122"/>
      <c r="EL224" s="122"/>
      <c r="EM224" s="122"/>
      <c r="EN224" s="122"/>
      <c r="EO224" s="122"/>
      <c r="EP224" s="122"/>
      <c r="EQ224" s="122"/>
      <c r="ER224" s="122"/>
      <c r="ES224" s="122"/>
      <c r="ET224" s="122"/>
      <c r="EU224" s="122"/>
      <c r="EV224" s="122"/>
      <c r="EW224" s="122"/>
      <c r="EX224" s="122"/>
      <c r="EY224" s="122"/>
      <c r="EZ224" s="122"/>
      <c r="FA224" s="122"/>
      <c r="FB224" s="122"/>
      <c r="FC224" s="122"/>
      <c r="FD224" s="122"/>
      <c r="FE224" s="122"/>
      <c r="FF224" s="122"/>
      <c r="FG224" s="122"/>
      <c r="FH224" s="122"/>
      <c r="FI224" s="122"/>
      <c r="FJ224" s="122"/>
      <c r="FK224" s="122"/>
      <c r="FL224" s="122"/>
      <c r="FM224" s="122"/>
      <c r="FN224" s="122"/>
      <c r="FO224" s="122"/>
      <c r="FP224" s="122"/>
      <c r="FQ224" s="122"/>
      <c r="FR224" s="122"/>
      <c r="FS224" s="122"/>
      <c r="FT224" s="122"/>
      <c r="FU224" s="122"/>
      <c r="FV224" s="122"/>
      <c r="FW224" s="122"/>
      <c r="FX224" s="122"/>
      <c r="FY224" s="122"/>
      <c r="FZ224" s="122"/>
      <c r="GA224" s="122"/>
      <c r="GB224" s="122"/>
      <c r="GC224" s="122"/>
      <c r="GD224" s="122"/>
      <c r="GE224" s="122"/>
      <c r="GF224" s="122"/>
      <c r="GG224" s="122"/>
      <c r="GH224" s="122"/>
      <c r="GI224" s="122"/>
    </row>
    <row r="225" spans="1:191" s="13" customFormat="1" ht="20.25" customHeight="1">
      <c r="A225" s="117">
        <v>109</v>
      </c>
      <c r="B225" s="119"/>
      <c r="C225" s="137"/>
      <c r="D225" s="102">
        <f t="shared" ref="D225" si="111">IFERROR(SUMPRODUCT(F225:HE225,$F$6:$HE$6)/100,0)</f>
        <v>0</v>
      </c>
      <c r="E225" s="103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122"/>
      <c r="AQ225" s="122"/>
      <c r="AR225" s="122"/>
      <c r="AS225" s="122"/>
      <c r="AT225" s="122"/>
      <c r="AU225" s="122"/>
      <c r="AV225" s="122"/>
      <c r="AW225" s="122"/>
      <c r="AX225" s="122"/>
      <c r="AY225" s="122"/>
      <c r="AZ225" s="122"/>
      <c r="BA225" s="122"/>
      <c r="BB225" s="122"/>
      <c r="BC225" s="122"/>
      <c r="BD225" s="122"/>
      <c r="BE225" s="122"/>
      <c r="BF225" s="122"/>
      <c r="BG225" s="122"/>
      <c r="BH225" s="122"/>
      <c r="BI225" s="122"/>
      <c r="BJ225" s="122"/>
      <c r="BK225" s="122"/>
      <c r="BL225" s="122"/>
      <c r="BM225" s="122"/>
      <c r="BN225" s="122"/>
      <c r="BO225" s="122"/>
      <c r="BP225" s="122"/>
      <c r="BQ225" s="123"/>
      <c r="BR225" s="123"/>
      <c r="BS225" s="123"/>
      <c r="BT225" s="122"/>
      <c r="BU225" s="122"/>
      <c r="BV225" s="122"/>
      <c r="BW225" s="122"/>
      <c r="BX225" s="122"/>
      <c r="BY225" s="122"/>
      <c r="BZ225" s="122"/>
      <c r="CA225" s="122"/>
      <c r="CB225" s="122"/>
      <c r="CC225" s="122"/>
      <c r="CD225" s="122"/>
      <c r="CE225" s="122"/>
      <c r="CF225" s="122"/>
      <c r="CG225" s="122"/>
      <c r="CH225" s="122"/>
      <c r="CI225" s="122"/>
      <c r="CJ225" s="122"/>
      <c r="CK225" s="122"/>
      <c r="CL225" s="122"/>
      <c r="CM225" s="122"/>
      <c r="CN225" s="122"/>
      <c r="CO225" s="122"/>
      <c r="CP225" s="122"/>
      <c r="CQ225" s="122"/>
      <c r="CR225" s="122"/>
      <c r="CS225" s="122"/>
      <c r="CT225" s="122"/>
      <c r="CU225" s="122"/>
      <c r="CV225" s="122"/>
      <c r="CW225" s="122"/>
      <c r="CX225" s="122"/>
      <c r="CY225" s="122"/>
      <c r="CZ225" s="122"/>
      <c r="DA225" s="122"/>
      <c r="DB225" s="122"/>
      <c r="DC225" s="122"/>
      <c r="DD225" s="122"/>
      <c r="DE225" s="122"/>
      <c r="DF225" s="122"/>
      <c r="DG225" s="122"/>
      <c r="DH225" s="122"/>
      <c r="DI225" s="122"/>
      <c r="DJ225" s="122"/>
      <c r="DK225" s="122"/>
      <c r="DL225" s="122"/>
      <c r="DM225" s="122"/>
      <c r="DN225" s="122"/>
      <c r="DO225" s="122"/>
      <c r="DP225" s="122"/>
      <c r="DQ225" s="122"/>
      <c r="DR225" s="122"/>
      <c r="DS225" s="122"/>
      <c r="DT225" s="122"/>
      <c r="DU225" s="122"/>
      <c r="DV225" s="122"/>
      <c r="DW225" s="122"/>
      <c r="DX225" s="122"/>
      <c r="DY225" s="122"/>
      <c r="DZ225" s="122"/>
      <c r="EA225" s="122"/>
      <c r="EB225" s="122"/>
      <c r="EC225" s="122"/>
      <c r="ED225" s="122"/>
      <c r="EE225" s="122"/>
      <c r="EF225" s="122"/>
      <c r="EG225" s="122"/>
      <c r="EH225" s="122"/>
      <c r="EI225" s="122"/>
      <c r="EJ225" s="122"/>
      <c r="EK225" s="122"/>
      <c r="EL225" s="122"/>
      <c r="EM225" s="122"/>
      <c r="EN225" s="122"/>
      <c r="EO225" s="122"/>
      <c r="EP225" s="122"/>
      <c r="EQ225" s="122"/>
      <c r="ER225" s="122"/>
      <c r="ES225" s="122"/>
      <c r="ET225" s="122"/>
      <c r="EU225" s="122"/>
      <c r="EV225" s="122"/>
      <c r="EW225" s="122"/>
      <c r="EX225" s="122"/>
      <c r="EY225" s="122"/>
      <c r="EZ225" s="122"/>
      <c r="FA225" s="122"/>
      <c r="FB225" s="122"/>
      <c r="FC225" s="122"/>
      <c r="FD225" s="122"/>
      <c r="FE225" s="122"/>
      <c r="FF225" s="122"/>
      <c r="FG225" s="122"/>
      <c r="FH225" s="122"/>
      <c r="FI225" s="122"/>
      <c r="FJ225" s="122"/>
      <c r="FK225" s="122"/>
      <c r="FL225" s="122"/>
      <c r="FM225" s="122"/>
      <c r="FN225" s="122"/>
      <c r="FO225" s="122"/>
      <c r="FP225" s="122"/>
      <c r="FQ225" s="122"/>
      <c r="FR225" s="122"/>
      <c r="FS225" s="122"/>
      <c r="FT225" s="122"/>
      <c r="FU225" s="122"/>
      <c r="FV225" s="122"/>
      <c r="FW225" s="122"/>
      <c r="FX225" s="122"/>
      <c r="FY225" s="122"/>
      <c r="FZ225" s="122"/>
      <c r="GA225" s="122"/>
      <c r="GB225" s="122"/>
      <c r="GC225" s="122"/>
      <c r="GD225" s="122"/>
      <c r="GE225" s="122"/>
      <c r="GF225" s="122"/>
      <c r="GG225" s="122"/>
      <c r="GH225" s="122"/>
      <c r="GI225" s="122"/>
    </row>
    <row r="226" spans="1:191" s="13" customFormat="1" ht="20.25" customHeight="1">
      <c r="A226" s="117"/>
      <c r="B226" s="119"/>
      <c r="C226" s="126"/>
      <c r="D226" s="121"/>
      <c r="E226" s="103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122"/>
      <c r="AQ226" s="122"/>
      <c r="AR226" s="122"/>
      <c r="AS226" s="122"/>
      <c r="AT226" s="122"/>
      <c r="AU226" s="122"/>
      <c r="AV226" s="122"/>
      <c r="AW226" s="122"/>
      <c r="AX226" s="122"/>
      <c r="AY226" s="122"/>
      <c r="AZ226" s="122"/>
      <c r="BA226" s="122"/>
      <c r="BB226" s="122"/>
      <c r="BC226" s="122"/>
      <c r="BD226" s="122"/>
      <c r="BE226" s="122"/>
      <c r="BF226" s="122"/>
      <c r="BG226" s="122"/>
      <c r="BH226" s="122"/>
      <c r="BI226" s="122"/>
      <c r="BJ226" s="122"/>
      <c r="BK226" s="122"/>
      <c r="BL226" s="122"/>
      <c r="BM226" s="122"/>
      <c r="BN226" s="122"/>
      <c r="BO226" s="122"/>
      <c r="BP226" s="122"/>
      <c r="BQ226" s="123"/>
      <c r="BR226" s="123"/>
      <c r="BS226" s="123"/>
      <c r="BT226" s="122"/>
      <c r="BU226" s="122"/>
      <c r="BV226" s="122"/>
      <c r="BW226" s="122"/>
      <c r="BX226" s="122"/>
      <c r="BY226" s="122"/>
      <c r="BZ226" s="122"/>
      <c r="CA226" s="122"/>
      <c r="CB226" s="122"/>
      <c r="CC226" s="122"/>
      <c r="CD226" s="122"/>
      <c r="CE226" s="122"/>
      <c r="CF226" s="122"/>
      <c r="CG226" s="122"/>
      <c r="CH226" s="122"/>
      <c r="CI226" s="122"/>
      <c r="CJ226" s="122"/>
      <c r="CK226" s="122"/>
      <c r="CL226" s="122"/>
      <c r="CM226" s="122"/>
      <c r="CN226" s="122"/>
      <c r="CO226" s="122"/>
      <c r="CP226" s="122"/>
      <c r="CQ226" s="122"/>
      <c r="CR226" s="122"/>
      <c r="CS226" s="122"/>
      <c r="CT226" s="122"/>
      <c r="CU226" s="122"/>
      <c r="CV226" s="122"/>
      <c r="CW226" s="122"/>
      <c r="CX226" s="122"/>
      <c r="CY226" s="122"/>
      <c r="CZ226" s="122"/>
      <c r="DA226" s="122"/>
      <c r="DB226" s="122"/>
      <c r="DC226" s="122"/>
      <c r="DD226" s="122"/>
      <c r="DE226" s="122"/>
      <c r="DF226" s="122"/>
      <c r="DG226" s="122"/>
      <c r="DH226" s="122"/>
      <c r="DI226" s="122"/>
      <c r="DJ226" s="122"/>
      <c r="DK226" s="122"/>
      <c r="DL226" s="122"/>
      <c r="DM226" s="122"/>
      <c r="DN226" s="122"/>
      <c r="DO226" s="122"/>
      <c r="DP226" s="122"/>
      <c r="DQ226" s="122"/>
      <c r="DR226" s="122"/>
      <c r="DS226" s="122"/>
      <c r="DT226" s="122"/>
      <c r="DU226" s="122"/>
      <c r="DV226" s="122"/>
      <c r="DW226" s="122"/>
      <c r="DX226" s="122"/>
      <c r="DY226" s="122"/>
      <c r="DZ226" s="122"/>
      <c r="EA226" s="122"/>
      <c r="EB226" s="122"/>
      <c r="EC226" s="122"/>
      <c r="ED226" s="122"/>
      <c r="EE226" s="122"/>
      <c r="EF226" s="122"/>
      <c r="EG226" s="122"/>
      <c r="EH226" s="122"/>
      <c r="EI226" s="122"/>
      <c r="EJ226" s="122"/>
      <c r="EK226" s="122"/>
      <c r="EL226" s="122"/>
      <c r="EM226" s="122"/>
      <c r="EN226" s="122"/>
      <c r="EO226" s="122"/>
      <c r="EP226" s="122"/>
      <c r="EQ226" s="122"/>
      <c r="ER226" s="122"/>
      <c r="ES226" s="122"/>
      <c r="ET226" s="122"/>
      <c r="EU226" s="122"/>
      <c r="EV226" s="122"/>
      <c r="EW226" s="122"/>
      <c r="EX226" s="122"/>
      <c r="EY226" s="122"/>
      <c r="EZ226" s="122"/>
      <c r="FA226" s="122"/>
      <c r="FB226" s="122"/>
      <c r="FC226" s="122"/>
      <c r="FD226" s="122"/>
      <c r="FE226" s="122"/>
      <c r="FF226" s="122"/>
      <c r="FG226" s="122"/>
      <c r="FH226" s="122"/>
      <c r="FI226" s="122"/>
      <c r="FJ226" s="122"/>
      <c r="FK226" s="122"/>
      <c r="FL226" s="122"/>
      <c r="FM226" s="122"/>
      <c r="FN226" s="122"/>
      <c r="FO226" s="122"/>
      <c r="FP226" s="122"/>
      <c r="FQ226" s="122"/>
      <c r="FR226" s="122"/>
      <c r="FS226" s="122"/>
      <c r="FT226" s="122"/>
      <c r="FU226" s="122"/>
      <c r="FV226" s="122"/>
      <c r="FW226" s="122"/>
      <c r="FX226" s="122"/>
      <c r="FY226" s="122"/>
      <c r="FZ226" s="122"/>
      <c r="GA226" s="122"/>
      <c r="GB226" s="122"/>
      <c r="GC226" s="122"/>
      <c r="GD226" s="122"/>
      <c r="GE226" s="122"/>
      <c r="GF226" s="122"/>
      <c r="GG226" s="122"/>
      <c r="GH226" s="122"/>
      <c r="GI226" s="122"/>
    </row>
    <row r="227" spans="1:191" s="13" customFormat="1" ht="20.25" customHeight="1">
      <c r="A227" s="117">
        <v>110</v>
      </c>
      <c r="B227" s="119"/>
      <c r="C227" s="142"/>
      <c r="D227" s="102">
        <f t="shared" ref="D227" si="112">IFERROR(SUMPRODUCT(F227:HE227,$F$6:$HE$6)/100,0)</f>
        <v>0</v>
      </c>
      <c r="E227" s="103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122"/>
      <c r="AQ227" s="122"/>
      <c r="AR227" s="122"/>
      <c r="AS227" s="122"/>
      <c r="AT227" s="122"/>
      <c r="AU227" s="122"/>
      <c r="AV227" s="122"/>
      <c r="AW227" s="122"/>
      <c r="AX227" s="122"/>
      <c r="AY227" s="122"/>
      <c r="AZ227" s="122"/>
      <c r="BA227" s="122"/>
      <c r="BB227" s="122"/>
      <c r="BC227" s="122"/>
      <c r="BD227" s="122"/>
      <c r="BE227" s="122"/>
      <c r="BF227" s="122"/>
      <c r="BG227" s="122"/>
      <c r="BH227" s="122"/>
      <c r="BI227" s="122"/>
      <c r="BJ227" s="122"/>
      <c r="BK227" s="122"/>
      <c r="BL227" s="122"/>
      <c r="BM227" s="122"/>
      <c r="BN227" s="122"/>
      <c r="BO227" s="122"/>
      <c r="BP227" s="122"/>
      <c r="BQ227" s="123"/>
      <c r="BR227" s="123"/>
      <c r="BS227" s="123"/>
      <c r="BT227" s="122"/>
      <c r="BU227" s="122"/>
      <c r="BV227" s="122"/>
      <c r="BW227" s="122"/>
      <c r="BX227" s="122"/>
      <c r="BY227" s="122"/>
      <c r="BZ227" s="122"/>
      <c r="CA227" s="122"/>
      <c r="CB227" s="122"/>
      <c r="CC227" s="122"/>
      <c r="CD227" s="122"/>
      <c r="CE227" s="122"/>
      <c r="CF227" s="122"/>
      <c r="CG227" s="122"/>
      <c r="CH227" s="122"/>
      <c r="CI227" s="122"/>
      <c r="CJ227" s="122"/>
      <c r="CK227" s="122"/>
      <c r="CL227" s="122"/>
      <c r="CM227" s="122"/>
      <c r="CN227" s="122"/>
      <c r="CO227" s="122"/>
      <c r="CP227" s="122"/>
      <c r="CQ227" s="122"/>
      <c r="CR227" s="122"/>
      <c r="CS227" s="122"/>
      <c r="CT227" s="122"/>
      <c r="CU227" s="122"/>
      <c r="CV227" s="122"/>
      <c r="CW227" s="122"/>
      <c r="CX227" s="122"/>
      <c r="CY227" s="122"/>
      <c r="CZ227" s="122"/>
      <c r="DA227" s="122"/>
      <c r="DB227" s="122"/>
      <c r="DC227" s="122"/>
      <c r="DD227" s="122"/>
      <c r="DE227" s="122"/>
      <c r="DF227" s="122"/>
      <c r="DG227" s="122"/>
      <c r="DH227" s="122"/>
      <c r="DI227" s="122"/>
      <c r="DJ227" s="122"/>
      <c r="DK227" s="122"/>
      <c r="DL227" s="122"/>
      <c r="DM227" s="122"/>
      <c r="DN227" s="122"/>
      <c r="DO227" s="122"/>
      <c r="DP227" s="122"/>
      <c r="DQ227" s="122"/>
      <c r="DR227" s="122"/>
      <c r="DS227" s="122"/>
      <c r="DT227" s="122"/>
      <c r="DU227" s="122"/>
      <c r="DV227" s="122"/>
      <c r="DW227" s="122"/>
      <c r="DX227" s="122"/>
      <c r="DY227" s="122"/>
      <c r="DZ227" s="122"/>
      <c r="EA227" s="122"/>
      <c r="EB227" s="122"/>
      <c r="EC227" s="122"/>
      <c r="ED227" s="122"/>
      <c r="EE227" s="122"/>
      <c r="EF227" s="122"/>
      <c r="EG227" s="122"/>
      <c r="EH227" s="122"/>
      <c r="EI227" s="122"/>
      <c r="EJ227" s="122"/>
      <c r="EK227" s="122"/>
      <c r="EL227" s="122"/>
      <c r="EM227" s="122"/>
      <c r="EN227" s="122"/>
      <c r="EO227" s="122"/>
      <c r="EP227" s="122"/>
      <c r="EQ227" s="122"/>
      <c r="ER227" s="122"/>
      <c r="ES227" s="122"/>
      <c r="ET227" s="122"/>
      <c r="EU227" s="122"/>
      <c r="EV227" s="122"/>
      <c r="EW227" s="122"/>
      <c r="EX227" s="122"/>
      <c r="EY227" s="122"/>
      <c r="EZ227" s="122"/>
      <c r="FA227" s="122"/>
      <c r="FB227" s="122"/>
      <c r="FC227" s="122"/>
      <c r="FD227" s="122"/>
      <c r="FE227" s="122"/>
      <c r="FF227" s="122"/>
      <c r="FG227" s="122"/>
      <c r="FH227" s="122"/>
      <c r="FI227" s="122"/>
      <c r="FJ227" s="122"/>
      <c r="FK227" s="122"/>
      <c r="FL227" s="122"/>
      <c r="FM227" s="122"/>
      <c r="FN227" s="122"/>
      <c r="FO227" s="122"/>
      <c r="FP227" s="122"/>
      <c r="FQ227" s="122"/>
      <c r="FR227" s="122"/>
      <c r="FS227" s="122"/>
      <c r="FT227" s="122"/>
      <c r="FU227" s="122"/>
      <c r="FV227" s="122"/>
      <c r="FW227" s="122"/>
      <c r="FX227" s="122"/>
      <c r="FY227" s="122"/>
      <c r="FZ227" s="122"/>
      <c r="GA227" s="122"/>
      <c r="GB227" s="122"/>
      <c r="GC227" s="122"/>
      <c r="GD227" s="122"/>
      <c r="GE227" s="122"/>
      <c r="GF227" s="122"/>
      <c r="GG227" s="122"/>
      <c r="GH227" s="122"/>
      <c r="GI227" s="122"/>
    </row>
    <row r="228" spans="1:191" s="13" customFormat="1" ht="20.25" customHeight="1">
      <c r="A228" s="117"/>
      <c r="B228" s="119"/>
      <c r="C228" s="126"/>
      <c r="D228" s="121"/>
      <c r="E228" s="103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122"/>
      <c r="AQ228" s="122"/>
      <c r="AR228" s="122"/>
      <c r="AS228" s="122"/>
      <c r="AT228" s="122"/>
      <c r="AU228" s="122"/>
      <c r="AV228" s="122"/>
      <c r="AW228" s="122"/>
      <c r="AX228" s="122"/>
      <c r="AY228" s="122"/>
      <c r="AZ228" s="122"/>
      <c r="BA228" s="122"/>
      <c r="BB228" s="122"/>
      <c r="BC228" s="122"/>
      <c r="BD228" s="122"/>
      <c r="BE228" s="122"/>
      <c r="BF228" s="122"/>
      <c r="BG228" s="122"/>
      <c r="BH228" s="122"/>
      <c r="BI228" s="122"/>
      <c r="BJ228" s="122"/>
      <c r="BK228" s="122"/>
      <c r="BL228" s="122"/>
      <c r="BM228" s="122"/>
      <c r="BN228" s="122"/>
      <c r="BO228" s="122"/>
      <c r="BP228" s="122"/>
      <c r="BQ228" s="123"/>
      <c r="BR228" s="123"/>
      <c r="BS228" s="123"/>
      <c r="BT228" s="122"/>
      <c r="BU228" s="122"/>
      <c r="BV228" s="122"/>
      <c r="BW228" s="122"/>
      <c r="BX228" s="122"/>
      <c r="BY228" s="122"/>
      <c r="BZ228" s="122"/>
      <c r="CA228" s="122"/>
      <c r="CB228" s="122"/>
      <c r="CC228" s="122"/>
      <c r="CD228" s="122"/>
      <c r="CE228" s="122"/>
      <c r="CF228" s="122"/>
      <c r="CG228" s="122"/>
      <c r="CH228" s="122"/>
      <c r="CI228" s="122"/>
      <c r="CJ228" s="122"/>
      <c r="CK228" s="122"/>
      <c r="CL228" s="122"/>
      <c r="CM228" s="122"/>
      <c r="CN228" s="122"/>
      <c r="CO228" s="122"/>
      <c r="CP228" s="122"/>
      <c r="CQ228" s="122"/>
      <c r="CR228" s="122"/>
      <c r="CS228" s="122"/>
      <c r="CT228" s="122"/>
      <c r="CU228" s="122"/>
      <c r="CV228" s="122"/>
      <c r="CW228" s="122"/>
      <c r="CX228" s="122"/>
      <c r="CY228" s="122"/>
      <c r="CZ228" s="122"/>
      <c r="DA228" s="122"/>
      <c r="DB228" s="122"/>
      <c r="DC228" s="122"/>
      <c r="DD228" s="122"/>
      <c r="DE228" s="122"/>
      <c r="DF228" s="122"/>
      <c r="DG228" s="122"/>
      <c r="DH228" s="122"/>
      <c r="DI228" s="122"/>
      <c r="DJ228" s="122"/>
      <c r="DK228" s="122"/>
      <c r="DL228" s="122"/>
      <c r="DM228" s="122"/>
      <c r="DN228" s="122"/>
      <c r="DO228" s="122"/>
      <c r="DP228" s="122"/>
      <c r="DQ228" s="122"/>
      <c r="DR228" s="122"/>
      <c r="DS228" s="122"/>
      <c r="DT228" s="122"/>
      <c r="DU228" s="122"/>
      <c r="DV228" s="122"/>
      <c r="DW228" s="122"/>
      <c r="DX228" s="122"/>
      <c r="DY228" s="122"/>
      <c r="DZ228" s="122"/>
      <c r="EA228" s="122"/>
      <c r="EB228" s="122"/>
      <c r="EC228" s="122"/>
      <c r="ED228" s="122"/>
      <c r="EE228" s="122"/>
      <c r="EF228" s="122"/>
      <c r="EG228" s="122"/>
      <c r="EH228" s="122"/>
      <c r="EI228" s="122"/>
      <c r="EJ228" s="122"/>
      <c r="EK228" s="122"/>
      <c r="EL228" s="122"/>
      <c r="EM228" s="122"/>
      <c r="EN228" s="122"/>
      <c r="EO228" s="122"/>
      <c r="EP228" s="122"/>
      <c r="EQ228" s="122"/>
      <c r="ER228" s="122"/>
      <c r="ES228" s="122"/>
      <c r="ET228" s="122"/>
      <c r="EU228" s="122"/>
      <c r="EV228" s="122"/>
      <c r="EW228" s="122"/>
      <c r="EX228" s="122"/>
      <c r="EY228" s="122"/>
      <c r="EZ228" s="122"/>
      <c r="FA228" s="122"/>
      <c r="FB228" s="122"/>
      <c r="FC228" s="122"/>
      <c r="FD228" s="122"/>
      <c r="FE228" s="122"/>
      <c r="FF228" s="122"/>
      <c r="FG228" s="122"/>
      <c r="FH228" s="122"/>
      <c r="FI228" s="122"/>
      <c r="FJ228" s="122"/>
      <c r="FK228" s="122"/>
      <c r="FL228" s="122"/>
      <c r="FM228" s="122"/>
      <c r="FN228" s="122"/>
      <c r="FO228" s="122"/>
      <c r="FP228" s="122"/>
      <c r="FQ228" s="122"/>
      <c r="FR228" s="122"/>
      <c r="FS228" s="122"/>
      <c r="FT228" s="122"/>
      <c r="FU228" s="122"/>
      <c r="FV228" s="122"/>
      <c r="FW228" s="122"/>
      <c r="FX228" s="122"/>
      <c r="FY228" s="122"/>
      <c r="FZ228" s="122"/>
      <c r="GA228" s="122"/>
      <c r="GB228" s="122"/>
      <c r="GC228" s="122"/>
      <c r="GD228" s="122"/>
      <c r="GE228" s="122"/>
      <c r="GF228" s="122"/>
      <c r="GG228" s="122"/>
      <c r="GH228" s="122"/>
      <c r="GI228" s="122"/>
    </row>
    <row r="229" spans="1:191" s="13" customFormat="1" ht="20.25" customHeight="1">
      <c r="A229" s="117">
        <v>111</v>
      </c>
      <c r="B229" s="119"/>
      <c r="C229" s="142"/>
      <c r="D229" s="102">
        <f t="shared" ref="D229" si="113">IFERROR(SUMPRODUCT(F229:HE229,$F$6:$HE$6)/100,0)</f>
        <v>0</v>
      </c>
      <c r="E229" s="103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122"/>
      <c r="AQ229" s="122"/>
      <c r="AR229" s="122"/>
      <c r="AS229" s="122"/>
      <c r="AT229" s="122"/>
      <c r="AU229" s="122"/>
      <c r="AV229" s="122"/>
      <c r="AW229" s="122"/>
      <c r="AX229" s="122"/>
      <c r="AY229" s="122"/>
      <c r="AZ229" s="122"/>
      <c r="BA229" s="122"/>
      <c r="BB229" s="122"/>
      <c r="BC229" s="122"/>
      <c r="BD229" s="122"/>
      <c r="BE229" s="122"/>
      <c r="BF229" s="122"/>
      <c r="BG229" s="122"/>
      <c r="BH229" s="122"/>
      <c r="BI229" s="122"/>
      <c r="BJ229" s="122"/>
      <c r="BK229" s="122"/>
      <c r="BL229" s="122"/>
      <c r="BM229" s="122"/>
      <c r="BN229" s="122"/>
      <c r="BO229" s="122"/>
      <c r="BP229" s="122"/>
      <c r="BQ229" s="123"/>
      <c r="BR229" s="123"/>
      <c r="BS229" s="123"/>
      <c r="BT229" s="122"/>
      <c r="BU229" s="122"/>
      <c r="BV229" s="122"/>
      <c r="BW229" s="122"/>
      <c r="BX229" s="122"/>
      <c r="BY229" s="122"/>
      <c r="BZ229" s="122"/>
      <c r="CA229" s="122"/>
      <c r="CB229" s="122"/>
      <c r="CC229" s="122"/>
      <c r="CD229" s="122"/>
      <c r="CE229" s="122"/>
      <c r="CF229" s="122"/>
      <c r="CG229" s="122"/>
      <c r="CH229" s="122"/>
      <c r="CI229" s="122"/>
      <c r="CJ229" s="122"/>
      <c r="CK229" s="122"/>
      <c r="CL229" s="122"/>
      <c r="CM229" s="122"/>
      <c r="CN229" s="122"/>
      <c r="CO229" s="122"/>
      <c r="CP229" s="122"/>
      <c r="CQ229" s="122"/>
      <c r="CR229" s="122"/>
      <c r="CS229" s="122"/>
      <c r="CT229" s="122"/>
      <c r="CU229" s="122"/>
      <c r="CV229" s="122"/>
      <c r="CW229" s="122"/>
      <c r="CX229" s="122"/>
      <c r="CY229" s="122"/>
      <c r="CZ229" s="122"/>
      <c r="DA229" s="122"/>
      <c r="DB229" s="122"/>
      <c r="DC229" s="122"/>
      <c r="DD229" s="122"/>
      <c r="DE229" s="122"/>
      <c r="DF229" s="122"/>
      <c r="DG229" s="122"/>
      <c r="DH229" s="122"/>
      <c r="DI229" s="122"/>
      <c r="DJ229" s="122"/>
      <c r="DK229" s="122"/>
      <c r="DL229" s="122"/>
      <c r="DM229" s="122"/>
      <c r="DN229" s="122"/>
      <c r="DO229" s="122"/>
      <c r="DP229" s="122"/>
      <c r="DQ229" s="122"/>
      <c r="DR229" s="122"/>
      <c r="DS229" s="122"/>
      <c r="DT229" s="122"/>
      <c r="DU229" s="122"/>
      <c r="DV229" s="122"/>
      <c r="DW229" s="122"/>
      <c r="DX229" s="122"/>
      <c r="DY229" s="122"/>
      <c r="DZ229" s="122"/>
      <c r="EA229" s="122"/>
      <c r="EB229" s="122"/>
      <c r="EC229" s="122"/>
      <c r="ED229" s="122"/>
      <c r="EE229" s="122"/>
      <c r="EF229" s="122"/>
      <c r="EG229" s="122"/>
      <c r="EH229" s="122"/>
      <c r="EI229" s="122"/>
      <c r="EJ229" s="122"/>
      <c r="EK229" s="122"/>
      <c r="EL229" s="122"/>
      <c r="EM229" s="122"/>
      <c r="EN229" s="122"/>
      <c r="EO229" s="122"/>
      <c r="EP229" s="122"/>
      <c r="EQ229" s="122"/>
      <c r="ER229" s="122"/>
      <c r="ES229" s="122"/>
      <c r="ET229" s="122"/>
      <c r="EU229" s="122"/>
      <c r="EV229" s="122"/>
      <c r="EW229" s="122"/>
      <c r="EX229" s="122"/>
      <c r="EY229" s="122"/>
      <c r="EZ229" s="122"/>
      <c r="FA229" s="122"/>
      <c r="FB229" s="122"/>
      <c r="FC229" s="122"/>
      <c r="FD229" s="122"/>
      <c r="FE229" s="122"/>
      <c r="FF229" s="122"/>
      <c r="FG229" s="122"/>
      <c r="FH229" s="122"/>
      <c r="FI229" s="122"/>
      <c r="FJ229" s="122"/>
      <c r="FK229" s="122"/>
      <c r="FL229" s="122"/>
      <c r="FM229" s="122"/>
      <c r="FN229" s="122"/>
      <c r="FO229" s="122"/>
      <c r="FP229" s="122"/>
      <c r="FQ229" s="122"/>
      <c r="FR229" s="122"/>
      <c r="FS229" s="122"/>
      <c r="FT229" s="122"/>
      <c r="FU229" s="122"/>
      <c r="FV229" s="122"/>
      <c r="FW229" s="122"/>
      <c r="FX229" s="122"/>
      <c r="FY229" s="122"/>
      <c r="FZ229" s="122"/>
      <c r="GA229" s="122"/>
      <c r="GB229" s="122"/>
      <c r="GC229" s="122"/>
      <c r="GD229" s="122"/>
      <c r="GE229" s="122"/>
      <c r="GF229" s="122"/>
      <c r="GG229" s="122"/>
      <c r="GH229" s="122"/>
      <c r="GI229" s="122"/>
    </row>
    <row r="230" spans="1:191" s="13" customFormat="1" ht="20.25" customHeight="1">
      <c r="A230" s="117"/>
      <c r="B230" s="119"/>
      <c r="C230" s="126"/>
      <c r="D230" s="121"/>
      <c r="E230" s="103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122"/>
      <c r="AQ230" s="122"/>
      <c r="AR230" s="122"/>
      <c r="AS230" s="122"/>
      <c r="AT230" s="122"/>
      <c r="AU230" s="122"/>
      <c r="AV230" s="122"/>
      <c r="AW230" s="122"/>
      <c r="AX230" s="122"/>
      <c r="AY230" s="122"/>
      <c r="AZ230" s="122"/>
      <c r="BA230" s="122"/>
      <c r="BB230" s="122"/>
      <c r="BC230" s="122"/>
      <c r="BD230" s="122"/>
      <c r="BE230" s="122"/>
      <c r="BF230" s="122"/>
      <c r="BG230" s="122"/>
      <c r="BH230" s="122"/>
      <c r="BI230" s="122"/>
      <c r="BJ230" s="122"/>
      <c r="BK230" s="122"/>
      <c r="BL230" s="122"/>
      <c r="BM230" s="122"/>
      <c r="BN230" s="122"/>
      <c r="BO230" s="122"/>
      <c r="BP230" s="122"/>
      <c r="BQ230" s="123"/>
      <c r="BR230" s="123"/>
      <c r="BS230" s="123"/>
      <c r="BT230" s="122"/>
      <c r="BU230" s="122"/>
      <c r="BV230" s="122"/>
      <c r="BW230" s="122"/>
      <c r="BX230" s="122"/>
      <c r="BY230" s="122"/>
      <c r="BZ230" s="122"/>
      <c r="CA230" s="122"/>
      <c r="CB230" s="122"/>
      <c r="CC230" s="122"/>
      <c r="CD230" s="122"/>
      <c r="CE230" s="122"/>
      <c r="CF230" s="122"/>
      <c r="CG230" s="122"/>
      <c r="CH230" s="122"/>
      <c r="CI230" s="122"/>
      <c r="CJ230" s="122"/>
      <c r="CK230" s="122"/>
      <c r="CL230" s="122"/>
      <c r="CM230" s="122"/>
      <c r="CN230" s="122"/>
      <c r="CO230" s="122"/>
      <c r="CP230" s="122"/>
      <c r="CQ230" s="122"/>
      <c r="CR230" s="122"/>
      <c r="CS230" s="122"/>
      <c r="CT230" s="122"/>
      <c r="CU230" s="122"/>
      <c r="CV230" s="122"/>
      <c r="CW230" s="122"/>
      <c r="CX230" s="122"/>
      <c r="CY230" s="122"/>
      <c r="CZ230" s="122"/>
      <c r="DA230" s="122"/>
      <c r="DB230" s="122"/>
      <c r="DC230" s="122"/>
      <c r="DD230" s="122"/>
      <c r="DE230" s="122"/>
      <c r="DF230" s="122"/>
      <c r="DG230" s="122"/>
      <c r="DH230" s="122"/>
      <c r="DI230" s="122"/>
      <c r="DJ230" s="122"/>
      <c r="DK230" s="122"/>
      <c r="DL230" s="122"/>
      <c r="DM230" s="122"/>
      <c r="DN230" s="122"/>
      <c r="DO230" s="122"/>
      <c r="DP230" s="122"/>
      <c r="DQ230" s="122"/>
      <c r="DR230" s="122"/>
      <c r="DS230" s="122"/>
      <c r="DT230" s="122"/>
      <c r="DU230" s="122"/>
      <c r="DV230" s="122"/>
      <c r="DW230" s="122"/>
      <c r="DX230" s="122"/>
      <c r="DY230" s="122"/>
      <c r="DZ230" s="122"/>
      <c r="EA230" s="122"/>
      <c r="EB230" s="122"/>
      <c r="EC230" s="122"/>
      <c r="ED230" s="122"/>
      <c r="EE230" s="122"/>
      <c r="EF230" s="122"/>
      <c r="EG230" s="122"/>
      <c r="EH230" s="122"/>
      <c r="EI230" s="122"/>
      <c r="EJ230" s="122"/>
      <c r="EK230" s="122"/>
      <c r="EL230" s="122"/>
      <c r="EM230" s="122"/>
      <c r="EN230" s="122"/>
      <c r="EO230" s="122"/>
      <c r="EP230" s="122"/>
      <c r="EQ230" s="122"/>
      <c r="ER230" s="122"/>
      <c r="ES230" s="122"/>
      <c r="ET230" s="122"/>
      <c r="EU230" s="122"/>
      <c r="EV230" s="122"/>
      <c r="EW230" s="122"/>
      <c r="EX230" s="122"/>
      <c r="EY230" s="122"/>
      <c r="EZ230" s="122"/>
      <c r="FA230" s="122"/>
      <c r="FB230" s="122"/>
      <c r="FC230" s="122"/>
      <c r="FD230" s="122"/>
      <c r="FE230" s="122"/>
      <c r="FF230" s="122"/>
      <c r="FG230" s="122"/>
      <c r="FH230" s="122"/>
      <c r="FI230" s="122"/>
      <c r="FJ230" s="122"/>
      <c r="FK230" s="122"/>
      <c r="FL230" s="122"/>
      <c r="FM230" s="122"/>
      <c r="FN230" s="122"/>
      <c r="FO230" s="122"/>
      <c r="FP230" s="122"/>
      <c r="FQ230" s="122"/>
      <c r="FR230" s="122"/>
      <c r="FS230" s="122"/>
      <c r="FT230" s="122"/>
      <c r="FU230" s="122"/>
      <c r="FV230" s="122"/>
      <c r="FW230" s="122"/>
      <c r="FX230" s="122"/>
      <c r="FY230" s="122"/>
      <c r="FZ230" s="122"/>
      <c r="GA230" s="122"/>
      <c r="GB230" s="122"/>
      <c r="GC230" s="122"/>
      <c r="GD230" s="122"/>
      <c r="GE230" s="122"/>
      <c r="GF230" s="122"/>
      <c r="GG230" s="122"/>
      <c r="GH230" s="122"/>
      <c r="GI230" s="122"/>
    </row>
    <row r="231" spans="1:191" s="13" customFormat="1" ht="20.25" customHeight="1">
      <c r="A231" s="117">
        <v>112</v>
      </c>
      <c r="B231" s="119"/>
      <c r="C231" s="142"/>
      <c r="D231" s="102">
        <f t="shared" ref="D231" si="114">IFERROR(SUMPRODUCT(F231:HE231,$F$6:$HE$6)/100,0)</f>
        <v>0</v>
      </c>
      <c r="E231" s="103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122"/>
      <c r="AQ231" s="122"/>
      <c r="AR231" s="122"/>
      <c r="AS231" s="122"/>
      <c r="AT231" s="122"/>
      <c r="AU231" s="122"/>
      <c r="AV231" s="122"/>
      <c r="AW231" s="122"/>
      <c r="AX231" s="122"/>
      <c r="AY231" s="122"/>
      <c r="AZ231" s="122"/>
      <c r="BA231" s="122"/>
      <c r="BB231" s="122"/>
      <c r="BC231" s="122"/>
      <c r="BD231" s="122"/>
      <c r="BE231" s="122"/>
      <c r="BF231" s="122"/>
      <c r="BG231" s="122"/>
      <c r="BH231" s="122"/>
      <c r="BI231" s="122"/>
      <c r="BJ231" s="122"/>
      <c r="BK231" s="122"/>
      <c r="BL231" s="122"/>
      <c r="BM231" s="122"/>
      <c r="BN231" s="122"/>
      <c r="BO231" s="122"/>
      <c r="BP231" s="122"/>
      <c r="BQ231" s="123"/>
      <c r="BR231" s="123"/>
      <c r="BS231" s="123"/>
      <c r="BT231" s="122"/>
      <c r="BU231" s="122"/>
      <c r="BV231" s="122"/>
      <c r="BW231" s="122"/>
      <c r="BX231" s="122"/>
      <c r="BY231" s="122"/>
      <c r="BZ231" s="122"/>
      <c r="CA231" s="122"/>
      <c r="CB231" s="122"/>
      <c r="CC231" s="122"/>
      <c r="CD231" s="122"/>
      <c r="CE231" s="122"/>
      <c r="CF231" s="122"/>
      <c r="CG231" s="122"/>
      <c r="CH231" s="122"/>
      <c r="CI231" s="122"/>
      <c r="CJ231" s="122"/>
      <c r="CK231" s="122"/>
      <c r="CL231" s="122"/>
      <c r="CM231" s="122"/>
      <c r="CN231" s="122"/>
      <c r="CO231" s="122"/>
      <c r="CP231" s="122"/>
      <c r="CQ231" s="122"/>
      <c r="CR231" s="122"/>
      <c r="CS231" s="122"/>
      <c r="CT231" s="122"/>
      <c r="CU231" s="122"/>
      <c r="CV231" s="122"/>
      <c r="CW231" s="122"/>
      <c r="CX231" s="122"/>
      <c r="CY231" s="122"/>
      <c r="CZ231" s="122"/>
      <c r="DA231" s="122"/>
      <c r="DB231" s="122"/>
      <c r="DC231" s="122"/>
      <c r="DD231" s="122"/>
      <c r="DE231" s="122"/>
      <c r="DF231" s="122"/>
      <c r="DG231" s="122"/>
      <c r="DH231" s="122"/>
      <c r="DI231" s="122"/>
      <c r="DJ231" s="122"/>
      <c r="DK231" s="122"/>
      <c r="DL231" s="122"/>
      <c r="DM231" s="122"/>
      <c r="DN231" s="122"/>
      <c r="DO231" s="122"/>
      <c r="DP231" s="122"/>
      <c r="DQ231" s="122"/>
      <c r="DR231" s="122"/>
      <c r="DS231" s="122"/>
      <c r="DT231" s="122"/>
      <c r="DU231" s="122"/>
      <c r="DV231" s="122"/>
      <c r="DW231" s="122"/>
      <c r="DX231" s="122"/>
      <c r="DY231" s="122"/>
      <c r="DZ231" s="122"/>
      <c r="EA231" s="122"/>
      <c r="EB231" s="122"/>
      <c r="EC231" s="122"/>
      <c r="ED231" s="122"/>
      <c r="EE231" s="122"/>
      <c r="EF231" s="122"/>
      <c r="EG231" s="122"/>
      <c r="EH231" s="122"/>
      <c r="EI231" s="122"/>
      <c r="EJ231" s="122"/>
      <c r="EK231" s="122"/>
      <c r="EL231" s="122"/>
      <c r="EM231" s="122"/>
      <c r="EN231" s="122"/>
      <c r="EO231" s="122"/>
      <c r="EP231" s="122"/>
      <c r="EQ231" s="122"/>
      <c r="ER231" s="122"/>
      <c r="ES231" s="122"/>
      <c r="ET231" s="122"/>
      <c r="EU231" s="122"/>
      <c r="EV231" s="122"/>
      <c r="EW231" s="122"/>
      <c r="EX231" s="122"/>
      <c r="EY231" s="122"/>
      <c r="EZ231" s="122"/>
      <c r="FA231" s="122"/>
      <c r="FB231" s="122"/>
      <c r="FC231" s="122"/>
      <c r="FD231" s="122"/>
      <c r="FE231" s="122"/>
      <c r="FF231" s="122"/>
      <c r="FG231" s="122"/>
      <c r="FH231" s="122"/>
      <c r="FI231" s="122"/>
      <c r="FJ231" s="122"/>
      <c r="FK231" s="122"/>
      <c r="FL231" s="122"/>
      <c r="FM231" s="122"/>
      <c r="FN231" s="122"/>
      <c r="FO231" s="122"/>
      <c r="FP231" s="122"/>
      <c r="FQ231" s="122"/>
      <c r="FR231" s="122"/>
      <c r="FS231" s="122"/>
      <c r="FT231" s="122"/>
      <c r="FU231" s="122"/>
      <c r="FV231" s="122"/>
      <c r="FW231" s="122"/>
      <c r="FX231" s="122"/>
      <c r="FY231" s="122"/>
      <c r="FZ231" s="122"/>
      <c r="GA231" s="122"/>
      <c r="GB231" s="122"/>
      <c r="GC231" s="122"/>
      <c r="GD231" s="122"/>
      <c r="GE231" s="122"/>
      <c r="GF231" s="122"/>
      <c r="GG231" s="122"/>
      <c r="GH231" s="122"/>
      <c r="GI231" s="122"/>
    </row>
    <row r="232" spans="1:191" s="13" customFormat="1" ht="20.25" customHeight="1">
      <c r="A232" s="117"/>
      <c r="B232" s="119"/>
      <c r="C232" s="126"/>
      <c r="D232" s="121"/>
      <c r="E232" s="103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122"/>
      <c r="AQ232" s="122"/>
      <c r="AR232" s="122"/>
      <c r="AS232" s="122"/>
      <c r="AT232" s="122"/>
      <c r="AU232" s="122"/>
      <c r="AV232" s="122"/>
      <c r="AW232" s="122"/>
      <c r="AX232" s="122"/>
      <c r="AY232" s="122"/>
      <c r="AZ232" s="122"/>
      <c r="BA232" s="122"/>
      <c r="BB232" s="122"/>
      <c r="BC232" s="122"/>
      <c r="BD232" s="122"/>
      <c r="BE232" s="122"/>
      <c r="BF232" s="122"/>
      <c r="BG232" s="122"/>
      <c r="BH232" s="122"/>
      <c r="BI232" s="122"/>
      <c r="BJ232" s="122"/>
      <c r="BK232" s="122"/>
      <c r="BL232" s="122"/>
      <c r="BM232" s="122"/>
      <c r="BN232" s="122"/>
      <c r="BO232" s="122"/>
      <c r="BP232" s="122"/>
      <c r="BQ232" s="123"/>
      <c r="BR232" s="123"/>
      <c r="BS232" s="123"/>
      <c r="BT232" s="122"/>
      <c r="BU232" s="122"/>
      <c r="BV232" s="122"/>
      <c r="BW232" s="122"/>
      <c r="BX232" s="122"/>
      <c r="BY232" s="122"/>
      <c r="BZ232" s="122"/>
      <c r="CA232" s="122"/>
      <c r="CB232" s="122"/>
      <c r="CC232" s="122"/>
      <c r="CD232" s="122"/>
      <c r="CE232" s="122"/>
      <c r="CF232" s="122"/>
      <c r="CG232" s="122"/>
      <c r="CH232" s="122"/>
      <c r="CI232" s="122"/>
      <c r="CJ232" s="122"/>
      <c r="CK232" s="122"/>
      <c r="CL232" s="122"/>
      <c r="CM232" s="122"/>
      <c r="CN232" s="122"/>
      <c r="CO232" s="122"/>
      <c r="CP232" s="122"/>
      <c r="CQ232" s="122"/>
      <c r="CR232" s="122"/>
      <c r="CS232" s="122"/>
      <c r="CT232" s="122"/>
      <c r="CU232" s="122"/>
      <c r="CV232" s="122"/>
      <c r="CW232" s="122"/>
      <c r="CX232" s="122"/>
      <c r="CY232" s="122"/>
      <c r="CZ232" s="122"/>
      <c r="DA232" s="122"/>
      <c r="DB232" s="122"/>
      <c r="DC232" s="122"/>
      <c r="DD232" s="122"/>
      <c r="DE232" s="122"/>
      <c r="DF232" s="122"/>
      <c r="DG232" s="122"/>
      <c r="DH232" s="122"/>
      <c r="DI232" s="122"/>
      <c r="DJ232" s="122"/>
      <c r="DK232" s="122"/>
      <c r="DL232" s="122"/>
      <c r="DM232" s="122"/>
      <c r="DN232" s="122"/>
      <c r="DO232" s="122"/>
      <c r="DP232" s="122"/>
      <c r="DQ232" s="122"/>
      <c r="DR232" s="122"/>
      <c r="DS232" s="122"/>
      <c r="DT232" s="122"/>
      <c r="DU232" s="122"/>
      <c r="DV232" s="122"/>
      <c r="DW232" s="122"/>
      <c r="DX232" s="122"/>
      <c r="DY232" s="122"/>
      <c r="DZ232" s="122"/>
      <c r="EA232" s="122"/>
      <c r="EB232" s="122"/>
      <c r="EC232" s="122"/>
      <c r="ED232" s="122"/>
      <c r="EE232" s="122"/>
      <c r="EF232" s="122"/>
      <c r="EG232" s="122"/>
      <c r="EH232" s="122"/>
      <c r="EI232" s="122"/>
      <c r="EJ232" s="122"/>
      <c r="EK232" s="122"/>
      <c r="EL232" s="122"/>
      <c r="EM232" s="122"/>
      <c r="EN232" s="122"/>
      <c r="EO232" s="122"/>
      <c r="EP232" s="122"/>
      <c r="EQ232" s="122"/>
      <c r="ER232" s="122"/>
      <c r="ES232" s="122"/>
      <c r="ET232" s="122"/>
      <c r="EU232" s="122"/>
      <c r="EV232" s="122"/>
      <c r="EW232" s="122"/>
      <c r="EX232" s="122"/>
      <c r="EY232" s="122"/>
      <c r="EZ232" s="122"/>
      <c r="FA232" s="122"/>
      <c r="FB232" s="122"/>
      <c r="FC232" s="122"/>
      <c r="FD232" s="122"/>
      <c r="FE232" s="122"/>
      <c r="FF232" s="122"/>
      <c r="FG232" s="122"/>
      <c r="FH232" s="122"/>
      <c r="FI232" s="122"/>
      <c r="FJ232" s="122"/>
      <c r="FK232" s="122"/>
      <c r="FL232" s="122"/>
      <c r="FM232" s="122"/>
      <c r="FN232" s="122"/>
      <c r="FO232" s="122"/>
      <c r="FP232" s="122"/>
      <c r="FQ232" s="122"/>
      <c r="FR232" s="122"/>
      <c r="FS232" s="122"/>
      <c r="FT232" s="122"/>
      <c r="FU232" s="122"/>
      <c r="FV232" s="122"/>
      <c r="FW232" s="122"/>
      <c r="FX232" s="122"/>
      <c r="FY232" s="122"/>
      <c r="FZ232" s="122"/>
      <c r="GA232" s="122"/>
      <c r="GB232" s="122"/>
      <c r="GC232" s="122"/>
      <c r="GD232" s="122"/>
      <c r="GE232" s="122"/>
      <c r="GF232" s="122"/>
      <c r="GG232" s="122"/>
      <c r="GH232" s="122"/>
      <c r="GI232" s="122"/>
    </row>
    <row r="233" spans="1:191" s="13" customFormat="1" ht="20.25" customHeight="1">
      <c r="A233" s="117">
        <v>113</v>
      </c>
      <c r="B233" s="119"/>
      <c r="C233" s="142"/>
      <c r="D233" s="102">
        <f t="shared" ref="D233" si="115">IFERROR(SUMPRODUCT(F233:HE233,$F$6:$HE$6)/100,0)</f>
        <v>0</v>
      </c>
      <c r="E233" s="103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122"/>
      <c r="AQ233" s="122"/>
      <c r="AR233" s="122"/>
      <c r="AS233" s="122"/>
      <c r="AT233" s="122"/>
      <c r="AU233" s="122"/>
      <c r="AV233" s="122"/>
      <c r="AW233" s="122"/>
      <c r="AX233" s="122"/>
      <c r="AY233" s="122"/>
      <c r="AZ233" s="122"/>
      <c r="BA233" s="122"/>
      <c r="BB233" s="122"/>
      <c r="BC233" s="122"/>
      <c r="BD233" s="122"/>
      <c r="BE233" s="122"/>
      <c r="BF233" s="122"/>
      <c r="BG233" s="122"/>
      <c r="BH233" s="122"/>
      <c r="BI233" s="122"/>
      <c r="BJ233" s="122"/>
      <c r="BK233" s="122"/>
      <c r="BL233" s="122"/>
      <c r="BM233" s="122"/>
      <c r="BN233" s="122"/>
      <c r="BO233" s="122"/>
      <c r="BP233" s="122"/>
      <c r="BQ233" s="123"/>
      <c r="BR233" s="123"/>
      <c r="BS233" s="123"/>
      <c r="BT233" s="122"/>
      <c r="BU233" s="122"/>
      <c r="BV233" s="122"/>
      <c r="BW233" s="122"/>
      <c r="BX233" s="122"/>
      <c r="BY233" s="122"/>
      <c r="BZ233" s="122"/>
      <c r="CA233" s="122"/>
      <c r="CB233" s="122"/>
      <c r="CC233" s="122"/>
      <c r="CD233" s="122"/>
      <c r="CE233" s="122"/>
      <c r="CF233" s="122"/>
      <c r="CG233" s="122"/>
      <c r="CH233" s="122"/>
      <c r="CI233" s="122"/>
      <c r="CJ233" s="122"/>
      <c r="CK233" s="122"/>
      <c r="CL233" s="122"/>
      <c r="CM233" s="122"/>
      <c r="CN233" s="122"/>
      <c r="CO233" s="122"/>
      <c r="CP233" s="122"/>
      <c r="CQ233" s="122"/>
      <c r="CR233" s="122"/>
      <c r="CS233" s="122"/>
      <c r="CT233" s="122"/>
      <c r="CU233" s="122"/>
      <c r="CV233" s="122"/>
      <c r="CW233" s="122"/>
      <c r="CX233" s="122"/>
      <c r="CY233" s="122"/>
      <c r="CZ233" s="122"/>
      <c r="DA233" s="122"/>
      <c r="DB233" s="122"/>
      <c r="DC233" s="122"/>
      <c r="DD233" s="122"/>
      <c r="DE233" s="122"/>
      <c r="DF233" s="122"/>
      <c r="DG233" s="122"/>
      <c r="DH233" s="122"/>
      <c r="DI233" s="122"/>
      <c r="DJ233" s="122"/>
      <c r="DK233" s="122"/>
      <c r="DL233" s="122"/>
      <c r="DM233" s="122"/>
      <c r="DN233" s="122"/>
      <c r="DO233" s="122"/>
      <c r="DP233" s="122"/>
      <c r="DQ233" s="122"/>
      <c r="DR233" s="122"/>
      <c r="DS233" s="122"/>
      <c r="DT233" s="122"/>
      <c r="DU233" s="122"/>
      <c r="DV233" s="122"/>
      <c r="DW233" s="122"/>
      <c r="DX233" s="122"/>
      <c r="DY233" s="122"/>
      <c r="DZ233" s="122"/>
      <c r="EA233" s="122"/>
      <c r="EB233" s="122"/>
      <c r="EC233" s="122"/>
      <c r="ED233" s="122"/>
      <c r="EE233" s="122"/>
      <c r="EF233" s="122"/>
      <c r="EG233" s="122"/>
      <c r="EH233" s="122"/>
      <c r="EI233" s="122"/>
      <c r="EJ233" s="122"/>
      <c r="EK233" s="122"/>
      <c r="EL233" s="122"/>
      <c r="EM233" s="122"/>
      <c r="EN233" s="122"/>
      <c r="EO233" s="122"/>
      <c r="EP233" s="122"/>
      <c r="EQ233" s="122"/>
      <c r="ER233" s="122"/>
      <c r="ES233" s="122"/>
      <c r="ET233" s="122"/>
      <c r="EU233" s="122"/>
      <c r="EV233" s="122"/>
      <c r="EW233" s="122"/>
      <c r="EX233" s="122"/>
      <c r="EY233" s="122"/>
      <c r="EZ233" s="122"/>
      <c r="FA233" s="122"/>
      <c r="FB233" s="122"/>
      <c r="FC233" s="122"/>
      <c r="FD233" s="122"/>
      <c r="FE233" s="122"/>
      <c r="FF233" s="122"/>
      <c r="FG233" s="122"/>
      <c r="FH233" s="122"/>
      <c r="FI233" s="122"/>
      <c r="FJ233" s="122"/>
      <c r="FK233" s="122"/>
      <c r="FL233" s="122"/>
      <c r="FM233" s="122"/>
      <c r="FN233" s="122"/>
      <c r="FO233" s="122"/>
      <c r="FP233" s="122"/>
      <c r="FQ233" s="122"/>
      <c r="FR233" s="122"/>
      <c r="FS233" s="122"/>
      <c r="FT233" s="122"/>
      <c r="FU233" s="122"/>
      <c r="FV233" s="122"/>
      <c r="FW233" s="122"/>
      <c r="FX233" s="122"/>
      <c r="FY233" s="122"/>
      <c r="FZ233" s="122"/>
      <c r="GA233" s="122"/>
      <c r="GB233" s="122"/>
      <c r="GC233" s="122"/>
      <c r="GD233" s="122"/>
      <c r="GE233" s="122"/>
      <c r="GF233" s="122"/>
      <c r="GG233" s="122"/>
      <c r="GH233" s="122"/>
      <c r="GI233" s="122"/>
    </row>
    <row r="234" spans="1:191" s="13" customFormat="1" ht="20.25" customHeight="1">
      <c r="A234" s="117"/>
      <c r="B234" s="128"/>
      <c r="C234" s="117"/>
      <c r="D234" s="121"/>
      <c r="E234" s="103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122"/>
      <c r="AQ234" s="122"/>
      <c r="AR234" s="122"/>
      <c r="AS234" s="122"/>
      <c r="AT234" s="122"/>
      <c r="AU234" s="122"/>
      <c r="AV234" s="122"/>
      <c r="AW234" s="122"/>
      <c r="AX234" s="122"/>
      <c r="AY234" s="122"/>
      <c r="AZ234" s="122"/>
      <c r="BA234" s="122"/>
      <c r="BB234" s="122"/>
      <c r="BC234" s="122"/>
      <c r="BD234" s="122"/>
      <c r="BE234" s="122"/>
      <c r="BF234" s="122"/>
      <c r="BG234" s="122"/>
      <c r="BH234" s="122"/>
      <c r="BI234" s="122"/>
      <c r="BJ234" s="122"/>
      <c r="BK234" s="122"/>
      <c r="BL234" s="122"/>
      <c r="BM234" s="122"/>
      <c r="BN234" s="122"/>
      <c r="BO234" s="122"/>
      <c r="BP234" s="122"/>
      <c r="BQ234" s="123"/>
      <c r="BR234" s="123"/>
      <c r="BS234" s="123"/>
      <c r="BT234" s="122"/>
      <c r="BU234" s="122"/>
      <c r="BV234" s="122"/>
      <c r="BW234" s="122"/>
      <c r="BX234" s="122"/>
      <c r="BY234" s="122"/>
      <c r="BZ234" s="122"/>
      <c r="CA234" s="122"/>
      <c r="CB234" s="122"/>
      <c r="CC234" s="122"/>
      <c r="CD234" s="122"/>
      <c r="CE234" s="122"/>
      <c r="CF234" s="122"/>
      <c r="CG234" s="122"/>
      <c r="CH234" s="122"/>
      <c r="CI234" s="122"/>
      <c r="CJ234" s="122"/>
      <c r="CK234" s="122"/>
      <c r="CL234" s="122"/>
      <c r="CM234" s="122"/>
      <c r="CN234" s="122"/>
      <c r="CO234" s="122"/>
      <c r="CP234" s="122"/>
      <c r="CQ234" s="122"/>
      <c r="CR234" s="122"/>
      <c r="CS234" s="122"/>
      <c r="CT234" s="122"/>
      <c r="CU234" s="122"/>
      <c r="CV234" s="122"/>
      <c r="CW234" s="122"/>
      <c r="CX234" s="122"/>
      <c r="CY234" s="122"/>
      <c r="CZ234" s="122"/>
      <c r="DA234" s="122"/>
      <c r="DB234" s="122"/>
      <c r="DC234" s="122"/>
      <c r="DD234" s="122"/>
      <c r="DE234" s="122"/>
      <c r="DF234" s="122"/>
      <c r="DG234" s="122"/>
      <c r="DH234" s="122"/>
      <c r="DI234" s="122"/>
      <c r="DJ234" s="122"/>
      <c r="DK234" s="122"/>
      <c r="DL234" s="122"/>
      <c r="DM234" s="122"/>
      <c r="DN234" s="122"/>
      <c r="DO234" s="122"/>
      <c r="DP234" s="122"/>
      <c r="DQ234" s="122"/>
      <c r="DR234" s="122"/>
      <c r="DS234" s="122"/>
      <c r="DT234" s="122"/>
      <c r="DU234" s="122"/>
      <c r="DV234" s="122"/>
      <c r="DW234" s="122"/>
      <c r="DX234" s="122"/>
      <c r="DY234" s="122"/>
      <c r="DZ234" s="122"/>
      <c r="EA234" s="122"/>
      <c r="EB234" s="122"/>
      <c r="EC234" s="122"/>
      <c r="ED234" s="122"/>
      <c r="EE234" s="122"/>
      <c r="EF234" s="122"/>
      <c r="EG234" s="122"/>
      <c r="EH234" s="122"/>
      <c r="EI234" s="122"/>
      <c r="EJ234" s="122"/>
      <c r="EK234" s="122"/>
      <c r="EL234" s="122"/>
      <c r="EM234" s="122"/>
      <c r="EN234" s="122"/>
      <c r="EO234" s="122"/>
      <c r="EP234" s="122"/>
      <c r="EQ234" s="122"/>
      <c r="ER234" s="122"/>
      <c r="ES234" s="122"/>
      <c r="ET234" s="122"/>
      <c r="EU234" s="122"/>
      <c r="EV234" s="122"/>
      <c r="EW234" s="122"/>
      <c r="EX234" s="122"/>
      <c r="EY234" s="122"/>
      <c r="EZ234" s="122"/>
      <c r="FA234" s="122"/>
      <c r="FB234" s="122"/>
      <c r="FC234" s="122"/>
      <c r="FD234" s="122"/>
      <c r="FE234" s="122"/>
      <c r="FF234" s="122"/>
      <c r="FG234" s="122"/>
      <c r="FH234" s="122"/>
      <c r="FI234" s="122"/>
      <c r="FJ234" s="122"/>
      <c r="FK234" s="122"/>
      <c r="FL234" s="122"/>
      <c r="FM234" s="122"/>
      <c r="FN234" s="122"/>
      <c r="FO234" s="122"/>
      <c r="FP234" s="122"/>
      <c r="FQ234" s="122"/>
      <c r="FR234" s="122"/>
      <c r="FS234" s="122"/>
      <c r="FT234" s="122"/>
      <c r="FU234" s="122"/>
      <c r="FV234" s="122"/>
      <c r="FW234" s="122"/>
      <c r="FX234" s="122"/>
      <c r="FY234" s="122"/>
      <c r="FZ234" s="122"/>
      <c r="GA234" s="122"/>
      <c r="GB234" s="122"/>
      <c r="GC234" s="122"/>
      <c r="GD234" s="122"/>
      <c r="GE234" s="122"/>
      <c r="GF234" s="122"/>
      <c r="GG234" s="122"/>
      <c r="GH234" s="122"/>
      <c r="GI234" s="122"/>
    </row>
    <row r="235" spans="1:191" s="13" customFormat="1" ht="20.25" customHeight="1">
      <c r="A235" s="117">
        <v>114</v>
      </c>
      <c r="B235" s="124"/>
      <c r="C235" s="120"/>
      <c r="D235" s="102">
        <f t="shared" ref="D235" si="116">IFERROR(SUMPRODUCT(F235:HE235,$F$6:$HE$6)/100,0)</f>
        <v>0</v>
      </c>
      <c r="E235" s="103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122"/>
      <c r="AQ235" s="122"/>
      <c r="AR235" s="122"/>
      <c r="AS235" s="122"/>
      <c r="AT235" s="122"/>
      <c r="AU235" s="122"/>
      <c r="AV235" s="122"/>
      <c r="AW235" s="122"/>
      <c r="AX235" s="122"/>
      <c r="AY235" s="122"/>
      <c r="AZ235" s="122"/>
      <c r="BA235" s="122"/>
      <c r="BB235" s="122"/>
      <c r="BC235" s="122"/>
      <c r="BD235" s="122"/>
      <c r="BE235" s="122"/>
      <c r="BF235" s="122"/>
      <c r="BG235" s="122"/>
      <c r="BH235" s="122"/>
      <c r="BI235" s="122"/>
      <c r="BJ235" s="122"/>
      <c r="BK235" s="122"/>
      <c r="BL235" s="122"/>
      <c r="BM235" s="122"/>
      <c r="BN235" s="122"/>
      <c r="BO235" s="122"/>
      <c r="BP235" s="122"/>
      <c r="BQ235" s="123"/>
      <c r="BR235" s="123"/>
      <c r="BS235" s="123"/>
      <c r="BT235" s="122"/>
      <c r="BU235" s="122"/>
      <c r="BV235" s="122"/>
      <c r="BW235" s="122"/>
      <c r="BX235" s="122"/>
      <c r="BY235" s="122"/>
      <c r="BZ235" s="122"/>
      <c r="CA235" s="122"/>
      <c r="CB235" s="122"/>
      <c r="CC235" s="122"/>
      <c r="CD235" s="122"/>
      <c r="CE235" s="122"/>
      <c r="CF235" s="122"/>
      <c r="CG235" s="122"/>
      <c r="CH235" s="122"/>
      <c r="CI235" s="122"/>
      <c r="CJ235" s="122"/>
      <c r="CK235" s="122"/>
      <c r="CL235" s="122"/>
      <c r="CM235" s="122"/>
      <c r="CN235" s="122"/>
      <c r="CO235" s="122"/>
      <c r="CP235" s="122"/>
      <c r="CQ235" s="122"/>
      <c r="CR235" s="122"/>
      <c r="CS235" s="122"/>
      <c r="CT235" s="122"/>
      <c r="CU235" s="122"/>
      <c r="CV235" s="122"/>
      <c r="CW235" s="122"/>
      <c r="CX235" s="122"/>
      <c r="CY235" s="122"/>
      <c r="CZ235" s="122"/>
      <c r="DA235" s="122"/>
      <c r="DB235" s="122"/>
      <c r="DC235" s="122"/>
      <c r="DD235" s="122"/>
      <c r="DE235" s="122"/>
      <c r="DF235" s="122"/>
      <c r="DG235" s="122"/>
      <c r="DH235" s="122"/>
      <c r="DI235" s="122"/>
      <c r="DJ235" s="122"/>
      <c r="DK235" s="122"/>
      <c r="DL235" s="122"/>
      <c r="DM235" s="122"/>
      <c r="DN235" s="122"/>
      <c r="DO235" s="122"/>
      <c r="DP235" s="122"/>
      <c r="DQ235" s="122"/>
      <c r="DR235" s="122"/>
      <c r="DS235" s="122"/>
      <c r="DT235" s="122"/>
      <c r="DU235" s="122"/>
      <c r="DV235" s="122"/>
      <c r="DW235" s="122"/>
      <c r="DX235" s="122"/>
      <c r="DY235" s="122"/>
      <c r="DZ235" s="122"/>
      <c r="EA235" s="122"/>
      <c r="EB235" s="122"/>
      <c r="EC235" s="122"/>
      <c r="ED235" s="122"/>
      <c r="EE235" s="122"/>
      <c r="EF235" s="122"/>
      <c r="EG235" s="122"/>
      <c r="EH235" s="122"/>
      <c r="EI235" s="122"/>
      <c r="EJ235" s="122"/>
      <c r="EK235" s="122"/>
      <c r="EL235" s="122"/>
      <c r="EM235" s="122"/>
      <c r="EN235" s="122"/>
      <c r="EO235" s="122"/>
      <c r="EP235" s="122"/>
      <c r="EQ235" s="122"/>
      <c r="ER235" s="122"/>
      <c r="ES235" s="122"/>
      <c r="ET235" s="122"/>
      <c r="EU235" s="122"/>
      <c r="EV235" s="122"/>
      <c r="EW235" s="122"/>
      <c r="EX235" s="122"/>
      <c r="EY235" s="122"/>
      <c r="EZ235" s="122"/>
      <c r="FA235" s="122"/>
      <c r="FB235" s="122"/>
      <c r="FC235" s="122"/>
      <c r="FD235" s="122"/>
      <c r="FE235" s="122"/>
      <c r="FF235" s="122"/>
      <c r="FG235" s="122"/>
      <c r="FH235" s="122"/>
      <c r="FI235" s="122"/>
      <c r="FJ235" s="122"/>
      <c r="FK235" s="122"/>
      <c r="FL235" s="122"/>
      <c r="FM235" s="122"/>
      <c r="FN235" s="122"/>
      <c r="FO235" s="122"/>
      <c r="FP235" s="122"/>
      <c r="FQ235" s="122"/>
      <c r="FR235" s="122"/>
      <c r="FS235" s="122"/>
      <c r="FT235" s="122"/>
      <c r="FU235" s="122"/>
      <c r="FV235" s="122"/>
      <c r="FW235" s="122"/>
      <c r="FX235" s="122"/>
      <c r="FY235" s="122"/>
      <c r="FZ235" s="122"/>
      <c r="GA235" s="122"/>
      <c r="GB235" s="122"/>
      <c r="GC235" s="122"/>
      <c r="GD235" s="122"/>
      <c r="GE235" s="122"/>
      <c r="GF235" s="122"/>
      <c r="GG235" s="122"/>
      <c r="GH235" s="122"/>
      <c r="GI235" s="122"/>
    </row>
    <row r="236" spans="1:191" s="13" customFormat="1" ht="20.25" customHeight="1">
      <c r="A236" s="117"/>
      <c r="B236" s="125"/>
      <c r="C236" s="126"/>
      <c r="D236" s="121"/>
      <c r="E236" s="103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122"/>
      <c r="AQ236" s="122"/>
      <c r="AR236" s="122"/>
      <c r="AS236" s="122"/>
      <c r="AT236" s="122"/>
      <c r="AU236" s="122"/>
      <c r="AV236" s="122"/>
      <c r="AW236" s="122"/>
      <c r="AX236" s="122"/>
      <c r="AY236" s="122"/>
      <c r="AZ236" s="122"/>
      <c r="BA236" s="122"/>
      <c r="BB236" s="122"/>
      <c r="BC236" s="122"/>
      <c r="BD236" s="122"/>
      <c r="BE236" s="122"/>
      <c r="BF236" s="122"/>
      <c r="BG236" s="122"/>
      <c r="BH236" s="122"/>
      <c r="BI236" s="122"/>
      <c r="BJ236" s="122"/>
      <c r="BK236" s="122"/>
      <c r="BL236" s="122"/>
      <c r="BM236" s="122"/>
      <c r="BN236" s="122"/>
      <c r="BO236" s="122"/>
      <c r="BP236" s="122"/>
      <c r="BQ236" s="123"/>
      <c r="BR236" s="123"/>
      <c r="BS236" s="123"/>
      <c r="BT236" s="122"/>
      <c r="BU236" s="122"/>
      <c r="BV236" s="122"/>
      <c r="BW236" s="122"/>
      <c r="BX236" s="122"/>
      <c r="BY236" s="122"/>
      <c r="BZ236" s="122"/>
      <c r="CA236" s="122"/>
      <c r="CB236" s="122"/>
      <c r="CC236" s="122"/>
      <c r="CD236" s="122"/>
      <c r="CE236" s="122"/>
      <c r="CF236" s="122"/>
      <c r="CG236" s="122"/>
      <c r="CH236" s="122"/>
      <c r="CI236" s="122"/>
      <c r="CJ236" s="122"/>
      <c r="CK236" s="122"/>
      <c r="CL236" s="122"/>
      <c r="CM236" s="122"/>
      <c r="CN236" s="122"/>
      <c r="CO236" s="122"/>
      <c r="CP236" s="122"/>
      <c r="CQ236" s="122"/>
      <c r="CR236" s="122"/>
      <c r="CS236" s="122"/>
      <c r="CT236" s="122"/>
      <c r="CU236" s="122"/>
      <c r="CV236" s="122"/>
      <c r="CW236" s="122"/>
      <c r="CX236" s="122"/>
      <c r="CY236" s="122"/>
      <c r="CZ236" s="122"/>
      <c r="DA236" s="122"/>
      <c r="DB236" s="122"/>
      <c r="DC236" s="122"/>
      <c r="DD236" s="122"/>
      <c r="DE236" s="122"/>
      <c r="DF236" s="122"/>
      <c r="DG236" s="122"/>
      <c r="DH236" s="122"/>
      <c r="DI236" s="122"/>
      <c r="DJ236" s="122"/>
      <c r="DK236" s="122"/>
      <c r="DL236" s="122"/>
      <c r="DM236" s="122"/>
      <c r="DN236" s="122"/>
      <c r="DO236" s="122"/>
      <c r="DP236" s="122"/>
      <c r="DQ236" s="122"/>
      <c r="DR236" s="122"/>
      <c r="DS236" s="122"/>
      <c r="DT236" s="122"/>
      <c r="DU236" s="122"/>
      <c r="DV236" s="122"/>
      <c r="DW236" s="122"/>
      <c r="DX236" s="122"/>
      <c r="DY236" s="122"/>
      <c r="DZ236" s="122"/>
      <c r="EA236" s="122"/>
      <c r="EB236" s="122"/>
      <c r="EC236" s="122"/>
      <c r="ED236" s="122"/>
      <c r="EE236" s="122"/>
      <c r="EF236" s="122"/>
      <c r="EG236" s="122"/>
      <c r="EH236" s="122"/>
      <c r="EI236" s="122"/>
      <c r="EJ236" s="122"/>
      <c r="EK236" s="122"/>
      <c r="EL236" s="122"/>
      <c r="EM236" s="122"/>
      <c r="EN236" s="122"/>
      <c r="EO236" s="122"/>
      <c r="EP236" s="122"/>
      <c r="EQ236" s="122"/>
      <c r="ER236" s="122"/>
      <c r="ES236" s="122"/>
      <c r="ET236" s="122"/>
      <c r="EU236" s="122"/>
      <c r="EV236" s="122"/>
      <c r="EW236" s="122"/>
      <c r="EX236" s="122"/>
      <c r="EY236" s="122"/>
      <c r="EZ236" s="122"/>
      <c r="FA236" s="122"/>
      <c r="FB236" s="122"/>
      <c r="FC236" s="122"/>
      <c r="FD236" s="122"/>
      <c r="FE236" s="122"/>
      <c r="FF236" s="122"/>
      <c r="FG236" s="122"/>
      <c r="FH236" s="122"/>
      <c r="FI236" s="122"/>
      <c r="FJ236" s="122"/>
      <c r="FK236" s="122"/>
      <c r="FL236" s="122"/>
      <c r="FM236" s="122"/>
      <c r="FN236" s="122"/>
      <c r="FO236" s="122"/>
      <c r="FP236" s="122"/>
      <c r="FQ236" s="122"/>
      <c r="FR236" s="122"/>
      <c r="FS236" s="122"/>
      <c r="FT236" s="122"/>
      <c r="FU236" s="122"/>
      <c r="FV236" s="122"/>
      <c r="FW236" s="122"/>
      <c r="FX236" s="122"/>
      <c r="FY236" s="122"/>
      <c r="FZ236" s="122"/>
      <c r="GA236" s="122"/>
      <c r="GB236" s="122"/>
      <c r="GC236" s="122"/>
      <c r="GD236" s="122"/>
      <c r="GE236" s="122"/>
      <c r="GF236" s="122"/>
      <c r="GG236" s="122"/>
      <c r="GH236" s="122"/>
      <c r="GI236" s="122"/>
    </row>
    <row r="237" spans="1:191" s="13" customFormat="1" ht="20.25" customHeight="1">
      <c r="A237" s="117">
        <v>115</v>
      </c>
      <c r="B237" s="125"/>
      <c r="C237" s="126"/>
      <c r="D237" s="102">
        <f t="shared" ref="D237" si="117">IFERROR(SUMPRODUCT(F237:HE237,$F$6:$HE$6)/100,0)</f>
        <v>0</v>
      </c>
      <c r="E237" s="103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122"/>
      <c r="AQ237" s="122"/>
      <c r="AR237" s="122"/>
      <c r="AS237" s="122"/>
      <c r="AT237" s="122"/>
      <c r="AU237" s="122"/>
      <c r="AV237" s="122"/>
      <c r="AW237" s="122"/>
      <c r="AX237" s="122"/>
      <c r="AY237" s="122"/>
      <c r="AZ237" s="122"/>
      <c r="BA237" s="122"/>
      <c r="BB237" s="122"/>
      <c r="BC237" s="122"/>
      <c r="BD237" s="122"/>
      <c r="BE237" s="122"/>
      <c r="BF237" s="122"/>
      <c r="BG237" s="122"/>
      <c r="BH237" s="122"/>
      <c r="BI237" s="122"/>
      <c r="BJ237" s="122"/>
      <c r="BK237" s="122"/>
      <c r="BL237" s="122"/>
      <c r="BM237" s="122"/>
      <c r="BN237" s="122"/>
      <c r="BO237" s="122"/>
      <c r="BP237" s="122"/>
      <c r="BQ237" s="123"/>
      <c r="BR237" s="123"/>
      <c r="BS237" s="123"/>
      <c r="BT237" s="122"/>
      <c r="BU237" s="122"/>
      <c r="BV237" s="122"/>
      <c r="BW237" s="122"/>
      <c r="BX237" s="122"/>
      <c r="BY237" s="122"/>
      <c r="BZ237" s="122"/>
      <c r="CA237" s="122"/>
      <c r="CB237" s="122"/>
      <c r="CC237" s="122"/>
      <c r="CD237" s="122"/>
      <c r="CE237" s="122"/>
      <c r="CF237" s="122"/>
      <c r="CG237" s="122"/>
      <c r="CH237" s="122"/>
      <c r="CI237" s="122"/>
      <c r="CJ237" s="122"/>
      <c r="CK237" s="122"/>
      <c r="CL237" s="122"/>
      <c r="CM237" s="122"/>
      <c r="CN237" s="122"/>
      <c r="CO237" s="122"/>
      <c r="CP237" s="122"/>
      <c r="CQ237" s="122"/>
      <c r="CR237" s="122"/>
      <c r="CS237" s="122"/>
      <c r="CT237" s="122"/>
      <c r="CU237" s="122"/>
      <c r="CV237" s="122"/>
      <c r="CW237" s="122"/>
      <c r="CX237" s="122"/>
      <c r="CY237" s="122"/>
      <c r="CZ237" s="122"/>
      <c r="DA237" s="122"/>
      <c r="DB237" s="122"/>
      <c r="DC237" s="122"/>
      <c r="DD237" s="122"/>
      <c r="DE237" s="122"/>
      <c r="DF237" s="122"/>
      <c r="DG237" s="122"/>
      <c r="DH237" s="122"/>
      <c r="DI237" s="122"/>
      <c r="DJ237" s="122"/>
      <c r="DK237" s="122"/>
      <c r="DL237" s="122"/>
      <c r="DM237" s="122"/>
      <c r="DN237" s="122"/>
      <c r="DO237" s="122"/>
      <c r="DP237" s="122"/>
      <c r="DQ237" s="122"/>
      <c r="DR237" s="122"/>
      <c r="DS237" s="122"/>
      <c r="DT237" s="122"/>
      <c r="DU237" s="122"/>
      <c r="DV237" s="122"/>
      <c r="DW237" s="122"/>
      <c r="DX237" s="122"/>
      <c r="DY237" s="122"/>
      <c r="DZ237" s="122"/>
      <c r="EA237" s="122"/>
      <c r="EB237" s="122"/>
      <c r="EC237" s="122"/>
      <c r="ED237" s="122"/>
      <c r="EE237" s="122"/>
      <c r="EF237" s="122"/>
      <c r="EG237" s="122"/>
      <c r="EH237" s="122"/>
      <c r="EI237" s="122"/>
      <c r="EJ237" s="122"/>
      <c r="EK237" s="122"/>
      <c r="EL237" s="122"/>
      <c r="EM237" s="122"/>
      <c r="EN237" s="122"/>
      <c r="EO237" s="122"/>
      <c r="EP237" s="122"/>
      <c r="EQ237" s="122"/>
      <c r="ER237" s="122"/>
      <c r="ES237" s="122"/>
      <c r="ET237" s="122"/>
      <c r="EU237" s="122"/>
      <c r="EV237" s="122"/>
      <c r="EW237" s="122"/>
      <c r="EX237" s="122"/>
      <c r="EY237" s="122"/>
      <c r="EZ237" s="122"/>
      <c r="FA237" s="122"/>
      <c r="FB237" s="122"/>
      <c r="FC237" s="122"/>
      <c r="FD237" s="122"/>
      <c r="FE237" s="122"/>
      <c r="FF237" s="122"/>
      <c r="FG237" s="122"/>
      <c r="FH237" s="122"/>
      <c r="FI237" s="122"/>
      <c r="FJ237" s="122"/>
      <c r="FK237" s="122"/>
      <c r="FL237" s="122"/>
      <c r="FM237" s="122"/>
      <c r="FN237" s="122"/>
      <c r="FO237" s="122"/>
      <c r="FP237" s="122"/>
      <c r="FQ237" s="122"/>
      <c r="FR237" s="122"/>
      <c r="FS237" s="122"/>
      <c r="FT237" s="122"/>
      <c r="FU237" s="122"/>
      <c r="FV237" s="122"/>
      <c r="FW237" s="122"/>
      <c r="FX237" s="122"/>
      <c r="FY237" s="122"/>
      <c r="FZ237" s="122"/>
      <c r="GA237" s="122"/>
      <c r="GB237" s="122"/>
      <c r="GC237" s="122"/>
      <c r="GD237" s="122"/>
      <c r="GE237" s="122"/>
      <c r="GF237" s="122"/>
      <c r="GG237" s="122"/>
      <c r="GH237" s="122"/>
      <c r="GI237" s="122"/>
    </row>
    <row r="238" spans="1:191" s="13" customFormat="1" ht="20.25" customHeight="1">
      <c r="A238" s="117"/>
      <c r="B238" s="119"/>
      <c r="C238" s="126"/>
      <c r="D238" s="121"/>
      <c r="E238" s="103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122"/>
      <c r="AQ238" s="122"/>
      <c r="AR238" s="122"/>
      <c r="AS238" s="122"/>
      <c r="AT238" s="122"/>
      <c r="AU238" s="122"/>
      <c r="AV238" s="122"/>
      <c r="AW238" s="122"/>
      <c r="AX238" s="122"/>
      <c r="AY238" s="122"/>
      <c r="AZ238" s="122"/>
      <c r="BA238" s="122"/>
      <c r="BB238" s="122"/>
      <c r="BC238" s="122"/>
      <c r="BD238" s="122"/>
      <c r="BE238" s="122"/>
      <c r="BF238" s="122"/>
      <c r="BG238" s="122"/>
      <c r="BH238" s="122"/>
      <c r="BI238" s="122"/>
      <c r="BJ238" s="122"/>
      <c r="BK238" s="122"/>
      <c r="BL238" s="122"/>
      <c r="BM238" s="122"/>
      <c r="BN238" s="122"/>
      <c r="BO238" s="122"/>
      <c r="BP238" s="122"/>
      <c r="BQ238" s="123"/>
      <c r="BR238" s="123"/>
      <c r="BS238" s="123"/>
      <c r="BT238" s="122"/>
      <c r="BU238" s="122"/>
      <c r="BV238" s="122"/>
      <c r="BW238" s="122"/>
      <c r="BX238" s="122"/>
      <c r="BY238" s="122"/>
      <c r="BZ238" s="122"/>
      <c r="CA238" s="122"/>
      <c r="CB238" s="122"/>
      <c r="CC238" s="122"/>
      <c r="CD238" s="122"/>
      <c r="CE238" s="122"/>
      <c r="CF238" s="122"/>
      <c r="CG238" s="122"/>
      <c r="CH238" s="122"/>
      <c r="CI238" s="122"/>
      <c r="CJ238" s="122"/>
      <c r="CK238" s="122"/>
      <c r="CL238" s="122"/>
      <c r="CM238" s="122"/>
      <c r="CN238" s="122"/>
      <c r="CO238" s="122"/>
      <c r="CP238" s="122"/>
      <c r="CQ238" s="122"/>
      <c r="CR238" s="122"/>
      <c r="CS238" s="122"/>
      <c r="CT238" s="122"/>
      <c r="CU238" s="122"/>
      <c r="CV238" s="122"/>
      <c r="CW238" s="122"/>
      <c r="CX238" s="122"/>
      <c r="CY238" s="122"/>
      <c r="CZ238" s="122"/>
      <c r="DA238" s="122"/>
      <c r="DB238" s="122"/>
      <c r="DC238" s="122"/>
      <c r="DD238" s="122"/>
      <c r="DE238" s="122"/>
      <c r="DF238" s="122"/>
      <c r="DG238" s="122"/>
      <c r="DH238" s="122"/>
      <c r="DI238" s="122"/>
      <c r="DJ238" s="122"/>
      <c r="DK238" s="122"/>
      <c r="DL238" s="122"/>
      <c r="DM238" s="122"/>
      <c r="DN238" s="122"/>
      <c r="DO238" s="122"/>
      <c r="DP238" s="122"/>
      <c r="DQ238" s="122"/>
      <c r="DR238" s="122"/>
      <c r="DS238" s="122"/>
      <c r="DT238" s="122"/>
      <c r="DU238" s="122"/>
      <c r="DV238" s="122"/>
      <c r="DW238" s="122"/>
      <c r="DX238" s="122"/>
      <c r="DY238" s="122"/>
      <c r="DZ238" s="122"/>
      <c r="EA238" s="122"/>
      <c r="EB238" s="122"/>
      <c r="EC238" s="122"/>
      <c r="ED238" s="122"/>
      <c r="EE238" s="122"/>
      <c r="EF238" s="122"/>
      <c r="EG238" s="122"/>
      <c r="EH238" s="122"/>
      <c r="EI238" s="122"/>
      <c r="EJ238" s="122"/>
      <c r="EK238" s="122"/>
      <c r="EL238" s="122"/>
      <c r="EM238" s="122"/>
      <c r="EN238" s="122"/>
      <c r="EO238" s="122"/>
      <c r="EP238" s="122"/>
      <c r="EQ238" s="122"/>
      <c r="ER238" s="122"/>
      <c r="ES238" s="122"/>
      <c r="ET238" s="122"/>
      <c r="EU238" s="122"/>
      <c r="EV238" s="122"/>
      <c r="EW238" s="122"/>
      <c r="EX238" s="122"/>
      <c r="EY238" s="122"/>
      <c r="EZ238" s="122"/>
      <c r="FA238" s="122"/>
      <c r="FB238" s="122"/>
      <c r="FC238" s="122"/>
      <c r="FD238" s="122"/>
      <c r="FE238" s="122"/>
      <c r="FF238" s="122"/>
      <c r="FG238" s="122"/>
      <c r="FH238" s="122"/>
      <c r="FI238" s="122"/>
      <c r="FJ238" s="122"/>
      <c r="FK238" s="122"/>
      <c r="FL238" s="122"/>
      <c r="FM238" s="122"/>
      <c r="FN238" s="122"/>
      <c r="FO238" s="122"/>
      <c r="FP238" s="122"/>
      <c r="FQ238" s="122"/>
      <c r="FR238" s="122"/>
      <c r="FS238" s="122"/>
      <c r="FT238" s="122"/>
      <c r="FU238" s="122"/>
      <c r="FV238" s="122"/>
      <c r="FW238" s="122"/>
      <c r="FX238" s="122"/>
      <c r="FY238" s="122"/>
      <c r="FZ238" s="122"/>
      <c r="GA238" s="122"/>
      <c r="GB238" s="122"/>
      <c r="GC238" s="122"/>
      <c r="GD238" s="122"/>
      <c r="GE238" s="122"/>
      <c r="GF238" s="122"/>
      <c r="GG238" s="122"/>
      <c r="GH238" s="122"/>
      <c r="GI238" s="122"/>
    </row>
    <row r="239" spans="1:191" s="13" customFormat="1" ht="20.25" customHeight="1">
      <c r="A239" s="117">
        <v>116</v>
      </c>
      <c r="B239" s="119"/>
      <c r="C239" s="126"/>
      <c r="D239" s="102">
        <f t="shared" ref="D239" si="118">IFERROR(SUMPRODUCT(F239:HE239,$F$6:$HE$6)/100,0)</f>
        <v>0</v>
      </c>
      <c r="E239" s="103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122"/>
      <c r="AQ239" s="122"/>
      <c r="AR239" s="122"/>
      <c r="AS239" s="122"/>
      <c r="AT239" s="122"/>
      <c r="AU239" s="122"/>
      <c r="AV239" s="122"/>
      <c r="AW239" s="122"/>
      <c r="AX239" s="122"/>
      <c r="AY239" s="122"/>
      <c r="AZ239" s="122"/>
      <c r="BA239" s="122"/>
      <c r="BB239" s="122"/>
      <c r="BC239" s="122"/>
      <c r="BD239" s="122"/>
      <c r="BE239" s="122"/>
      <c r="BF239" s="122"/>
      <c r="BG239" s="122"/>
      <c r="BH239" s="122"/>
      <c r="BI239" s="122"/>
      <c r="BJ239" s="122"/>
      <c r="BK239" s="122"/>
      <c r="BL239" s="122"/>
      <c r="BM239" s="122"/>
      <c r="BN239" s="122"/>
      <c r="BO239" s="122"/>
      <c r="BP239" s="122"/>
      <c r="BQ239" s="123"/>
      <c r="BR239" s="123"/>
      <c r="BS239" s="123"/>
      <c r="BT239" s="122"/>
      <c r="BU239" s="122"/>
      <c r="BV239" s="122"/>
      <c r="BW239" s="122"/>
      <c r="BX239" s="122"/>
      <c r="BY239" s="122"/>
      <c r="BZ239" s="122"/>
      <c r="CA239" s="122"/>
      <c r="CB239" s="122"/>
      <c r="CC239" s="122"/>
      <c r="CD239" s="122"/>
      <c r="CE239" s="122"/>
      <c r="CF239" s="122"/>
      <c r="CG239" s="122"/>
      <c r="CH239" s="122"/>
      <c r="CI239" s="122"/>
      <c r="CJ239" s="122"/>
      <c r="CK239" s="122"/>
      <c r="CL239" s="122"/>
      <c r="CM239" s="122"/>
      <c r="CN239" s="122"/>
      <c r="CO239" s="122"/>
      <c r="CP239" s="122"/>
      <c r="CQ239" s="122"/>
      <c r="CR239" s="122"/>
      <c r="CS239" s="122"/>
      <c r="CT239" s="122"/>
      <c r="CU239" s="122"/>
      <c r="CV239" s="122"/>
      <c r="CW239" s="122"/>
      <c r="CX239" s="122"/>
      <c r="CY239" s="122"/>
      <c r="CZ239" s="122"/>
      <c r="DA239" s="122"/>
      <c r="DB239" s="122"/>
      <c r="DC239" s="122"/>
      <c r="DD239" s="122"/>
      <c r="DE239" s="122"/>
      <c r="DF239" s="122"/>
      <c r="DG239" s="122"/>
      <c r="DH239" s="122"/>
      <c r="DI239" s="122"/>
      <c r="DJ239" s="122"/>
      <c r="DK239" s="122"/>
      <c r="DL239" s="122"/>
      <c r="DM239" s="122"/>
      <c r="DN239" s="122"/>
      <c r="DO239" s="122"/>
      <c r="DP239" s="122"/>
      <c r="DQ239" s="122"/>
      <c r="DR239" s="122"/>
      <c r="DS239" s="122"/>
      <c r="DT239" s="122"/>
      <c r="DU239" s="122"/>
      <c r="DV239" s="122"/>
      <c r="DW239" s="122"/>
      <c r="DX239" s="122"/>
      <c r="DY239" s="122"/>
      <c r="DZ239" s="122"/>
      <c r="EA239" s="122"/>
      <c r="EB239" s="122"/>
      <c r="EC239" s="122"/>
      <c r="ED239" s="122"/>
      <c r="EE239" s="122"/>
      <c r="EF239" s="122"/>
      <c r="EG239" s="122"/>
      <c r="EH239" s="122"/>
      <c r="EI239" s="122"/>
      <c r="EJ239" s="122"/>
      <c r="EK239" s="122"/>
      <c r="EL239" s="122"/>
      <c r="EM239" s="122"/>
      <c r="EN239" s="122"/>
      <c r="EO239" s="122"/>
      <c r="EP239" s="122"/>
      <c r="EQ239" s="122"/>
      <c r="ER239" s="122"/>
      <c r="ES239" s="122"/>
      <c r="ET239" s="122"/>
      <c r="EU239" s="122"/>
      <c r="EV239" s="122"/>
      <c r="EW239" s="122"/>
      <c r="EX239" s="122"/>
      <c r="EY239" s="122"/>
      <c r="EZ239" s="122"/>
      <c r="FA239" s="122"/>
      <c r="FB239" s="122"/>
      <c r="FC239" s="122"/>
      <c r="FD239" s="122"/>
      <c r="FE239" s="122"/>
      <c r="FF239" s="122"/>
      <c r="FG239" s="122"/>
      <c r="FH239" s="122"/>
      <c r="FI239" s="122"/>
      <c r="FJ239" s="122"/>
      <c r="FK239" s="122"/>
      <c r="FL239" s="122"/>
      <c r="FM239" s="122"/>
      <c r="FN239" s="122"/>
      <c r="FO239" s="122"/>
      <c r="FP239" s="122"/>
      <c r="FQ239" s="122"/>
      <c r="FR239" s="122"/>
      <c r="FS239" s="122"/>
      <c r="FT239" s="122"/>
      <c r="FU239" s="122"/>
      <c r="FV239" s="122"/>
      <c r="FW239" s="122"/>
      <c r="FX239" s="122"/>
      <c r="FY239" s="122"/>
      <c r="FZ239" s="122"/>
      <c r="GA239" s="122"/>
      <c r="GB239" s="122"/>
      <c r="GC239" s="122"/>
      <c r="GD239" s="122"/>
      <c r="GE239" s="122"/>
      <c r="GF239" s="122"/>
      <c r="GG239" s="122"/>
      <c r="GH239" s="122"/>
      <c r="GI239" s="122"/>
    </row>
    <row r="240" spans="1:191" s="13" customFormat="1" ht="20.25" customHeight="1">
      <c r="A240" s="117"/>
      <c r="B240" s="119"/>
      <c r="C240" s="126"/>
      <c r="D240" s="121"/>
      <c r="E240" s="103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122"/>
      <c r="AQ240" s="122"/>
      <c r="AR240" s="122"/>
      <c r="AS240" s="122"/>
      <c r="AT240" s="122"/>
      <c r="AU240" s="122"/>
      <c r="AV240" s="122"/>
      <c r="AW240" s="122"/>
      <c r="AX240" s="122"/>
      <c r="AY240" s="122"/>
      <c r="AZ240" s="122"/>
      <c r="BA240" s="122"/>
      <c r="BB240" s="122"/>
      <c r="BC240" s="122"/>
      <c r="BD240" s="122"/>
      <c r="BE240" s="122"/>
      <c r="BF240" s="122"/>
      <c r="BG240" s="122"/>
      <c r="BH240" s="122"/>
      <c r="BI240" s="122"/>
      <c r="BJ240" s="122"/>
      <c r="BK240" s="122"/>
      <c r="BL240" s="122"/>
      <c r="BM240" s="122"/>
      <c r="BN240" s="122"/>
      <c r="BO240" s="122"/>
      <c r="BP240" s="122"/>
      <c r="BQ240" s="123"/>
      <c r="BR240" s="123"/>
      <c r="BS240" s="123"/>
      <c r="BT240" s="122"/>
      <c r="BU240" s="122"/>
      <c r="BV240" s="122"/>
      <c r="BW240" s="122"/>
      <c r="BX240" s="122"/>
      <c r="BY240" s="122"/>
      <c r="BZ240" s="122"/>
      <c r="CA240" s="122"/>
      <c r="CB240" s="122"/>
      <c r="CC240" s="122"/>
      <c r="CD240" s="122"/>
      <c r="CE240" s="122"/>
      <c r="CF240" s="122"/>
      <c r="CG240" s="122"/>
      <c r="CH240" s="122"/>
      <c r="CI240" s="122"/>
      <c r="CJ240" s="122"/>
      <c r="CK240" s="122"/>
      <c r="CL240" s="122"/>
      <c r="CM240" s="122"/>
      <c r="CN240" s="122"/>
      <c r="CO240" s="122"/>
      <c r="CP240" s="122"/>
      <c r="CQ240" s="122"/>
      <c r="CR240" s="122"/>
      <c r="CS240" s="122"/>
      <c r="CT240" s="122"/>
      <c r="CU240" s="122"/>
      <c r="CV240" s="122"/>
      <c r="CW240" s="122"/>
      <c r="CX240" s="122"/>
      <c r="CY240" s="122"/>
      <c r="CZ240" s="122"/>
      <c r="DA240" s="122"/>
      <c r="DB240" s="122"/>
      <c r="DC240" s="122"/>
      <c r="DD240" s="122"/>
      <c r="DE240" s="122"/>
      <c r="DF240" s="122"/>
      <c r="DG240" s="122"/>
      <c r="DH240" s="122"/>
      <c r="DI240" s="122"/>
      <c r="DJ240" s="122"/>
      <c r="DK240" s="122"/>
      <c r="DL240" s="122"/>
      <c r="DM240" s="122"/>
      <c r="DN240" s="122"/>
      <c r="DO240" s="122"/>
      <c r="DP240" s="122"/>
      <c r="DQ240" s="122"/>
      <c r="DR240" s="122"/>
      <c r="DS240" s="122"/>
      <c r="DT240" s="122"/>
      <c r="DU240" s="122"/>
      <c r="DV240" s="122"/>
      <c r="DW240" s="122"/>
      <c r="DX240" s="122"/>
      <c r="DY240" s="122"/>
      <c r="DZ240" s="122"/>
      <c r="EA240" s="122"/>
      <c r="EB240" s="122"/>
      <c r="EC240" s="122"/>
      <c r="ED240" s="122"/>
      <c r="EE240" s="122"/>
      <c r="EF240" s="122"/>
      <c r="EG240" s="122"/>
      <c r="EH240" s="122"/>
      <c r="EI240" s="122"/>
      <c r="EJ240" s="122"/>
      <c r="EK240" s="122"/>
      <c r="EL240" s="122"/>
      <c r="EM240" s="122"/>
      <c r="EN240" s="122"/>
      <c r="EO240" s="122"/>
      <c r="EP240" s="122"/>
      <c r="EQ240" s="122"/>
      <c r="ER240" s="122"/>
      <c r="ES240" s="122"/>
      <c r="ET240" s="122"/>
      <c r="EU240" s="122"/>
      <c r="EV240" s="122"/>
      <c r="EW240" s="122"/>
      <c r="EX240" s="122"/>
      <c r="EY240" s="122"/>
      <c r="EZ240" s="122"/>
      <c r="FA240" s="122"/>
      <c r="FB240" s="122"/>
      <c r="FC240" s="122"/>
      <c r="FD240" s="122"/>
      <c r="FE240" s="122"/>
      <c r="FF240" s="122"/>
      <c r="FG240" s="122"/>
      <c r="FH240" s="122"/>
      <c r="FI240" s="122"/>
      <c r="FJ240" s="122"/>
      <c r="FK240" s="122"/>
      <c r="FL240" s="122"/>
      <c r="FM240" s="122"/>
      <c r="FN240" s="122"/>
      <c r="FO240" s="122"/>
      <c r="FP240" s="122"/>
      <c r="FQ240" s="122"/>
      <c r="FR240" s="122"/>
      <c r="FS240" s="122"/>
      <c r="FT240" s="122"/>
      <c r="FU240" s="122"/>
      <c r="FV240" s="122"/>
      <c r="FW240" s="122"/>
      <c r="FX240" s="122"/>
      <c r="FY240" s="122"/>
      <c r="FZ240" s="122"/>
      <c r="GA240" s="122"/>
      <c r="GB240" s="122"/>
      <c r="GC240" s="122"/>
      <c r="GD240" s="122"/>
      <c r="GE240" s="122"/>
      <c r="GF240" s="122"/>
      <c r="GG240" s="122"/>
      <c r="GH240" s="122"/>
      <c r="GI240" s="122"/>
    </row>
    <row r="241" spans="1:191" s="13" customFormat="1" ht="20.25" customHeight="1">
      <c r="A241" s="117">
        <v>117</v>
      </c>
      <c r="B241" s="119"/>
      <c r="C241" s="120"/>
      <c r="D241" s="102">
        <f t="shared" ref="D241" si="119">IFERROR(SUMPRODUCT(F241:HE241,$F$6:$HE$6)/100,0)</f>
        <v>0</v>
      </c>
      <c r="E241" s="103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122"/>
      <c r="AQ241" s="122"/>
      <c r="AR241" s="122"/>
      <c r="AS241" s="122"/>
      <c r="AT241" s="122"/>
      <c r="AU241" s="122"/>
      <c r="AV241" s="122"/>
      <c r="AW241" s="122"/>
      <c r="AX241" s="122"/>
      <c r="AY241" s="122"/>
      <c r="AZ241" s="122"/>
      <c r="BA241" s="122"/>
      <c r="BB241" s="122"/>
      <c r="BC241" s="122"/>
      <c r="BD241" s="122"/>
      <c r="BE241" s="122"/>
      <c r="BF241" s="122"/>
      <c r="BG241" s="122"/>
      <c r="BH241" s="122"/>
      <c r="BI241" s="122"/>
      <c r="BJ241" s="122"/>
      <c r="BK241" s="122"/>
      <c r="BL241" s="122"/>
      <c r="BM241" s="122"/>
      <c r="BN241" s="122"/>
      <c r="BO241" s="122"/>
      <c r="BP241" s="123"/>
      <c r="BQ241" s="123"/>
      <c r="BR241" s="123"/>
      <c r="BS241" s="123"/>
      <c r="BT241" s="122"/>
      <c r="BU241" s="122"/>
      <c r="BV241" s="122"/>
      <c r="BW241" s="122"/>
      <c r="BX241" s="122"/>
      <c r="BY241" s="122"/>
      <c r="BZ241" s="122"/>
      <c r="CA241" s="122"/>
      <c r="CB241" s="122"/>
      <c r="CC241" s="122"/>
      <c r="CD241" s="122"/>
      <c r="CE241" s="122"/>
      <c r="CF241" s="122"/>
      <c r="CG241" s="122"/>
      <c r="CH241" s="122"/>
      <c r="CI241" s="122"/>
      <c r="CJ241" s="122"/>
      <c r="CK241" s="122"/>
      <c r="CL241" s="122"/>
      <c r="CM241" s="122"/>
      <c r="CN241" s="122"/>
      <c r="CO241" s="122"/>
      <c r="CP241" s="122"/>
      <c r="CQ241" s="122"/>
      <c r="CR241" s="122"/>
      <c r="CS241" s="122"/>
      <c r="CT241" s="122"/>
      <c r="CU241" s="122"/>
      <c r="CV241" s="122"/>
      <c r="CW241" s="122"/>
      <c r="CX241" s="122"/>
      <c r="CY241" s="122"/>
      <c r="CZ241" s="122"/>
      <c r="DA241" s="122"/>
      <c r="DB241" s="122"/>
      <c r="DC241" s="122"/>
      <c r="DD241" s="122"/>
      <c r="DE241" s="122"/>
      <c r="DF241" s="122"/>
      <c r="DG241" s="122"/>
      <c r="DH241" s="122"/>
      <c r="DI241" s="122"/>
      <c r="DJ241" s="122"/>
      <c r="DK241" s="122"/>
      <c r="DL241" s="122"/>
      <c r="DM241" s="122"/>
      <c r="DN241" s="122"/>
      <c r="DO241" s="122"/>
      <c r="DP241" s="122"/>
      <c r="DQ241" s="122"/>
      <c r="DR241" s="122"/>
      <c r="DS241" s="122"/>
      <c r="DT241" s="122"/>
      <c r="DU241" s="122"/>
      <c r="DV241" s="122"/>
      <c r="DW241" s="122"/>
      <c r="DX241" s="122"/>
      <c r="DY241" s="122"/>
      <c r="DZ241" s="122"/>
      <c r="EA241" s="122"/>
      <c r="EB241" s="122"/>
      <c r="EC241" s="122"/>
      <c r="ED241" s="122"/>
      <c r="EE241" s="122"/>
      <c r="EF241" s="122"/>
      <c r="EG241" s="122"/>
      <c r="EH241" s="122"/>
      <c r="EI241" s="122"/>
      <c r="EJ241" s="122"/>
      <c r="EK241" s="122"/>
      <c r="EL241" s="122"/>
      <c r="EM241" s="122"/>
      <c r="EN241" s="122"/>
      <c r="EO241" s="122"/>
      <c r="EP241" s="122"/>
      <c r="EQ241" s="122"/>
      <c r="ER241" s="122"/>
      <c r="ES241" s="122"/>
      <c r="ET241" s="122"/>
      <c r="EU241" s="122"/>
      <c r="EV241" s="122"/>
      <c r="EW241" s="122"/>
      <c r="EX241" s="122"/>
      <c r="EY241" s="122"/>
      <c r="EZ241" s="122"/>
      <c r="FA241" s="122"/>
      <c r="FB241" s="122"/>
      <c r="FC241" s="122"/>
      <c r="FD241" s="122"/>
      <c r="FE241" s="122"/>
      <c r="FF241" s="122"/>
      <c r="FG241" s="122"/>
      <c r="FH241" s="122"/>
      <c r="FI241" s="122"/>
      <c r="FJ241" s="122"/>
      <c r="FK241" s="122"/>
      <c r="FL241" s="122"/>
      <c r="FM241" s="122"/>
      <c r="FN241" s="122"/>
      <c r="FO241" s="122"/>
      <c r="FP241" s="122"/>
      <c r="FQ241" s="122"/>
      <c r="FR241" s="122"/>
      <c r="FS241" s="122"/>
      <c r="FT241" s="122"/>
      <c r="FU241" s="122"/>
      <c r="FV241" s="122"/>
      <c r="FW241" s="122"/>
      <c r="FX241" s="122"/>
      <c r="FY241" s="122"/>
      <c r="FZ241" s="122"/>
      <c r="GA241" s="122"/>
      <c r="GB241" s="122"/>
      <c r="GC241" s="122"/>
      <c r="GD241" s="122"/>
      <c r="GE241" s="122"/>
      <c r="GF241" s="122"/>
      <c r="GG241" s="122"/>
      <c r="GH241" s="122"/>
      <c r="GI241" s="122"/>
    </row>
    <row r="242" spans="1:191" s="13" customFormat="1" ht="20.25" customHeight="1">
      <c r="A242" s="117"/>
      <c r="B242" s="119"/>
      <c r="C242" s="120"/>
      <c r="D242" s="121"/>
      <c r="E242" s="103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122"/>
      <c r="AQ242" s="122"/>
      <c r="AR242" s="122"/>
      <c r="AS242" s="122"/>
      <c r="AT242" s="122"/>
      <c r="AU242" s="122"/>
      <c r="AV242" s="122"/>
      <c r="AW242" s="122"/>
      <c r="AX242" s="122"/>
      <c r="AY242" s="122"/>
      <c r="AZ242" s="122"/>
      <c r="BA242" s="122"/>
      <c r="BB242" s="122"/>
      <c r="BC242" s="122"/>
      <c r="BD242" s="122"/>
      <c r="BE242" s="122"/>
      <c r="BF242" s="122"/>
      <c r="BG242" s="122"/>
      <c r="BH242" s="122"/>
      <c r="BI242" s="122"/>
      <c r="BJ242" s="122"/>
      <c r="BK242" s="122"/>
      <c r="BL242" s="122"/>
      <c r="BM242" s="122"/>
      <c r="BN242" s="122"/>
      <c r="BO242" s="122"/>
      <c r="BP242" s="123"/>
      <c r="BQ242" s="123"/>
      <c r="BR242" s="123"/>
      <c r="BS242" s="123"/>
      <c r="BT242" s="122"/>
      <c r="BU242" s="122"/>
      <c r="BV242" s="122"/>
      <c r="BW242" s="122"/>
      <c r="BX242" s="122"/>
      <c r="BY242" s="122"/>
      <c r="BZ242" s="122"/>
      <c r="CA242" s="122"/>
      <c r="CB242" s="122"/>
      <c r="CC242" s="122"/>
      <c r="CD242" s="122"/>
      <c r="CE242" s="122"/>
      <c r="CF242" s="122"/>
      <c r="CG242" s="122"/>
      <c r="CH242" s="122"/>
      <c r="CI242" s="122"/>
      <c r="CJ242" s="122"/>
      <c r="CK242" s="122"/>
      <c r="CL242" s="122"/>
      <c r="CM242" s="122"/>
      <c r="CN242" s="122"/>
      <c r="CO242" s="122"/>
      <c r="CP242" s="122"/>
      <c r="CQ242" s="122"/>
      <c r="CR242" s="122"/>
      <c r="CS242" s="122"/>
      <c r="CT242" s="122"/>
      <c r="CU242" s="122"/>
      <c r="CV242" s="122"/>
      <c r="CW242" s="122"/>
      <c r="CX242" s="122"/>
      <c r="CY242" s="122"/>
      <c r="CZ242" s="122"/>
      <c r="DA242" s="122"/>
      <c r="DB242" s="122"/>
      <c r="DC242" s="122"/>
      <c r="DD242" s="122"/>
      <c r="DE242" s="122"/>
      <c r="DF242" s="122"/>
      <c r="DG242" s="122"/>
      <c r="DH242" s="122"/>
      <c r="DI242" s="122"/>
      <c r="DJ242" s="122"/>
      <c r="DK242" s="122"/>
      <c r="DL242" s="122"/>
      <c r="DM242" s="122"/>
      <c r="DN242" s="122"/>
      <c r="DO242" s="122"/>
      <c r="DP242" s="122"/>
      <c r="DQ242" s="122"/>
      <c r="DR242" s="122"/>
      <c r="DS242" s="122"/>
      <c r="DT242" s="122"/>
      <c r="DU242" s="122"/>
      <c r="DV242" s="122"/>
      <c r="DW242" s="122"/>
      <c r="DX242" s="122"/>
      <c r="DY242" s="122"/>
      <c r="DZ242" s="122"/>
      <c r="EA242" s="122"/>
      <c r="EB242" s="122"/>
      <c r="EC242" s="122"/>
      <c r="ED242" s="122"/>
      <c r="EE242" s="122"/>
      <c r="EF242" s="122"/>
      <c r="EG242" s="122"/>
      <c r="EH242" s="122"/>
      <c r="EI242" s="122"/>
      <c r="EJ242" s="122"/>
      <c r="EK242" s="122"/>
      <c r="EL242" s="122"/>
      <c r="EM242" s="122"/>
      <c r="EN242" s="122"/>
      <c r="EO242" s="122"/>
      <c r="EP242" s="122"/>
      <c r="EQ242" s="122"/>
      <c r="ER242" s="122"/>
      <c r="ES242" s="122"/>
      <c r="ET242" s="122"/>
      <c r="EU242" s="122"/>
      <c r="EV242" s="122"/>
      <c r="EW242" s="122"/>
      <c r="EX242" s="122"/>
      <c r="EY242" s="122"/>
      <c r="EZ242" s="122"/>
      <c r="FA242" s="122"/>
      <c r="FB242" s="122"/>
      <c r="FC242" s="122"/>
      <c r="FD242" s="122"/>
      <c r="FE242" s="122"/>
      <c r="FF242" s="122"/>
      <c r="FG242" s="122"/>
      <c r="FH242" s="122"/>
      <c r="FI242" s="122"/>
      <c r="FJ242" s="122"/>
      <c r="FK242" s="122"/>
      <c r="FL242" s="122"/>
      <c r="FM242" s="122"/>
      <c r="FN242" s="122"/>
      <c r="FO242" s="122"/>
      <c r="FP242" s="122"/>
      <c r="FQ242" s="122"/>
      <c r="FR242" s="122"/>
      <c r="FS242" s="122"/>
      <c r="FT242" s="122"/>
      <c r="FU242" s="122"/>
      <c r="FV242" s="122"/>
      <c r="FW242" s="122"/>
      <c r="FX242" s="122"/>
      <c r="FY242" s="122"/>
      <c r="FZ242" s="122"/>
      <c r="GA242" s="122"/>
      <c r="GB242" s="122"/>
      <c r="GC242" s="122"/>
      <c r="GD242" s="122"/>
      <c r="GE242" s="122"/>
      <c r="GF242" s="122"/>
      <c r="GG242" s="122"/>
      <c r="GH242" s="122"/>
      <c r="GI242" s="122"/>
    </row>
    <row r="243" spans="1:191" s="13" customFormat="1" ht="20.25" customHeight="1">
      <c r="A243" s="117">
        <v>118</v>
      </c>
      <c r="B243" s="119"/>
      <c r="C243" s="120"/>
      <c r="D243" s="102">
        <f t="shared" ref="D243" si="120">IFERROR(SUMPRODUCT(F243:HE243,$F$6:$HE$6)/100,0)</f>
        <v>0</v>
      </c>
      <c r="E243" s="103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122"/>
      <c r="AQ243" s="122"/>
      <c r="AR243" s="122"/>
      <c r="AS243" s="122"/>
      <c r="AT243" s="122"/>
      <c r="AU243" s="122"/>
      <c r="AV243" s="122"/>
      <c r="AW243" s="122"/>
      <c r="AX243" s="122"/>
      <c r="AY243" s="122"/>
      <c r="AZ243" s="122"/>
      <c r="BA243" s="122"/>
      <c r="BB243" s="122"/>
      <c r="BC243" s="122"/>
      <c r="BD243" s="122"/>
      <c r="BE243" s="122"/>
      <c r="BF243" s="122"/>
      <c r="BG243" s="122"/>
      <c r="BH243" s="122"/>
      <c r="BI243" s="122"/>
      <c r="BJ243" s="122"/>
      <c r="BK243" s="122"/>
      <c r="BL243" s="122"/>
      <c r="BM243" s="122"/>
      <c r="BN243" s="122"/>
      <c r="BO243" s="122"/>
      <c r="BP243" s="123"/>
      <c r="BQ243" s="123"/>
      <c r="BR243" s="123"/>
      <c r="BS243" s="123"/>
      <c r="BT243" s="122"/>
      <c r="BU243" s="122"/>
      <c r="BV243" s="122"/>
      <c r="BW243" s="122"/>
      <c r="BX243" s="122"/>
      <c r="BY243" s="122"/>
      <c r="BZ243" s="122"/>
      <c r="CA243" s="122"/>
      <c r="CB243" s="122"/>
      <c r="CC243" s="122"/>
      <c r="CD243" s="122"/>
      <c r="CE243" s="122"/>
      <c r="CF243" s="122"/>
      <c r="CG243" s="122"/>
      <c r="CH243" s="122"/>
      <c r="CI243" s="122"/>
      <c r="CJ243" s="122"/>
      <c r="CK243" s="122"/>
      <c r="CL243" s="122"/>
      <c r="CM243" s="122"/>
      <c r="CN243" s="122"/>
      <c r="CO243" s="122"/>
      <c r="CP243" s="122"/>
      <c r="CQ243" s="122"/>
      <c r="CR243" s="122"/>
      <c r="CS243" s="122"/>
      <c r="CT243" s="122"/>
      <c r="CU243" s="122"/>
      <c r="CV243" s="122"/>
      <c r="CW243" s="122"/>
      <c r="CX243" s="122"/>
      <c r="CY243" s="122"/>
      <c r="CZ243" s="122"/>
      <c r="DA243" s="122"/>
      <c r="DB243" s="122"/>
      <c r="DC243" s="122"/>
      <c r="DD243" s="122"/>
      <c r="DE243" s="122"/>
      <c r="DF243" s="122"/>
      <c r="DG243" s="122"/>
      <c r="DH243" s="122"/>
      <c r="DI243" s="122"/>
      <c r="DJ243" s="122"/>
      <c r="DK243" s="122"/>
      <c r="DL243" s="122"/>
      <c r="DM243" s="122"/>
      <c r="DN243" s="122"/>
      <c r="DO243" s="122"/>
      <c r="DP243" s="122"/>
      <c r="DQ243" s="122"/>
      <c r="DR243" s="122"/>
      <c r="DS243" s="122"/>
      <c r="DT243" s="122"/>
      <c r="DU243" s="122"/>
      <c r="DV243" s="122"/>
      <c r="DW243" s="122"/>
      <c r="DX243" s="122"/>
      <c r="DY243" s="122"/>
      <c r="DZ243" s="122"/>
      <c r="EA243" s="122"/>
      <c r="EB243" s="122"/>
      <c r="EC243" s="122"/>
      <c r="ED243" s="122"/>
      <c r="EE243" s="122"/>
      <c r="EF243" s="122"/>
      <c r="EG243" s="122"/>
      <c r="EH243" s="122"/>
      <c r="EI243" s="122"/>
      <c r="EJ243" s="122"/>
      <c r="EK243" s="122"/>
      <c r="EL243" s="122"/>
      <c r="EM243" s="122"/>
      <c r="EN243" s="122"/>
      <c r="EO243" s="122"/>
      <c r="EP243" s="122"/>
      <c r="EQ243" s="122"/>
      <c r="ER243" s="122"/>
      <c r="ES243" s="122"/>
      <c r="ET243" s="122"/>
      <c r="EU243" s="122"/>
      <c r="EV243" s="122"/>
      <c r="EW243" s="122"/>
      <c r="EX243" s="122"/>
      <c r="EY243" s="122"/>
      <c r="EZ243" s="122"/>
      <c r="FA243" s="122"/>
      <c r="FB243" s="122"/>
      <c r="FC243" s="122"/>
      <c r="FD243" s="122"/>
      <c r="FE243" s="122"/>
      <c r="FF243" s="122"/>
      <c r="FG243" s="122"/>
      <c r="FH243" s="122"/>
      <c r="FI243" s="122"/>
      <c r="FJ243" s="122"/>
      <c r="FK243" s="122"/>
      <c r="FL243" s="122"/>
      <c r="FM243" s="122"/>
      <c r="FN243" s="122"/>
      <c r="FO243" s="122"/>
      <c r="FP243" s="122"/>
      <c r="FQ243" s="122"/>
      <c r="FR243" s="122"/>
      <c r="FS243" s="122"/>
      <c r="FT243" s="122"/>
      <c r="FU243" s="122"/>
      <c r="FV243" s="122"/>
      <c r="FW243" s="122"/>
      <c r="FX243" s="122"/>
      <c r="FY243" s="122"/>
      <c r="FZ243" s="122"/>
      <c r="GA243" s="122"/>
      <c r="GB243" s="122"/>
      <c r="GC243" s="122"/>
      <c r="GD243" s="122"/>
      <c r="GE243" s="122"/>
      <c r="GF243" s="122"/>
      <c r="GG243" s="122"/>
      <c r="GH243" s="122"/>
      <c r="GI243" s="122"/>
    </row>
    <row r="244" spans="1:191" s="13" customFormat="1" ht="20.25" customHeight="1">
      <c r="A244" s="117"/>
      <c r="B244" s="119"/>
      <c r="C244" s="120"/>
      <c r="D244" s="121"/>
      <c r="E244" s="103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122"/>
      <c r="AQ244" s="122"/>
      <c r="AR244" s="122"/>
      <c r="AS244" s="122"/>
      <c r="AT244" s="122"/>
      <c r="AU244" s="122"/>
      <c r="AV244" s="122"/>
      <c r="AW244" s="122"/>
      <c r="AX244" s="122"/>
      <c r="AY244" s="122"/>
      <c r="AZ244" s="122"/>
      <c r="BA244" s="122"/>
      <c r="BB244" s="122"/>
      <c r="BC244" s="122"/>
      <c r="BD244" s="122"/>
      <c r="BE244" s="122"/>
      <c r="BF244" s="122"/>
      <c r="BG244" s="122"/>
      <c r="BH244" s="122"/>
      <c r="BI244" s="122"/>
      <c r="BJ244" s="122"/>
      <c r="BK244" s="122"/>
      <c r="BL244" s="122"/>
      <c r="BM244" s="122"/>
      <c r="BN244" s="122"/>
      <c r="BO244" s="122"/>
      <c r="BP244" s="123"/>
      <c r="BQ244" s="123"/>
      <c r="BR244" s="123"/>
      <c r="BS244" s="123"/>
      <c r="BT244" s="122"/>
      <c r="BU244" s="122"/>
      <c r="BV244" s="122"/>
      <c r="BW244" s="122"/>
      <c r="BX244" s="122"/>
      <c r="BY244" s="122"/>
      <c r="BZ244" s="122"/>
      <c r="CA244" s="122"/>
      <c r="CB244" s="122"/>
      <c r="CC244" s="122"/>
      <c r="CD244" s="122"/>
      <c r="CE244" s="122"/>
      <c r="CF244" s="122"/>
      <c r="CG244" s="122"/>
      <c r="CH244" s="122"/>
      <c r="CI244" s="122"/>
      <c r="CJ244" s="122"/>
      <c r="CK244" s="122"/>
      <c r="CL244" s="122"/>
      <c r="CM244" s="122"/>
      <c r="CN244" s="122"/>
      <c r="CO244" s="122"/>
      <c r="CP244" s="122"/>
      <c r="CQ244" s="122"/>
      <c r="CR244" s="122"/>
      <c r="CS244" s="122"/>
      <c r="CT244" s="122"/>
      <c r="CU244" s="122"/>
      <c r="CV244" s="122"/>
      <c r="CW244" s="122"/>
      <c r="CX244" s="122"/>
      <c r="CY244" s="122"/>
      <c r="CZ244" s="122"/>
      <c r="DA244" s="122"/>
      <c r="DB244" s="122"/>
      <c r="DC244" s="122"/>
      <c r="DD244" s="122"/>
      <c r="DE244" s="122"/>
      <c r="DF244" s="122"/>
      <c r="DG244" s="122"/>
      <c r="DH244" s="122"/>
      <c r="DI244" s="122"/>
      <c r="DJ244" s="122"/>
      <c r="DK244" s="122"/>
      <c r="DL244" s="122"/>
      <c r="DM244" s="122"/>
      <c r="DN244" s="122"/>
      <c r="DO244" s="122"/>
      <c r="DP244" s="122"/>
      <c r="DQ244" s="122"/>
      <c r="DR244" s="122"/>
      <c r="DS244" s="122"/>
      <c r="DT244" s="122"/>
      <c r="DU244" s="122"/>
      <c r="DV244" s="122"/>
      <c r="DW244" s="122"/>
      <c r="DX244" s="122"/>
      <c r="DY244" s="122"/>
      <c r="DZ244" s="122"/>
      <c r="EA244" s="122"/>
      <c r="EB244" s="122"/>
      <c r="EC244" s="122"/>
      <c r="ED244" s="122"/>
      <c r="EE244" s="122"/>
      <c r="EF244" s="122"/>
      <c r="EG244" s="122"/>
      <c r="EH244" s="122"/>
      <c r="EI244" s="122"/>
      <c r="EJ244" s="122"/>
      <c r="EK244" s="122"/>
      <c r="EL244" s="122"/>
      <c r="EM244" s="122"/>
      <c r="EN244" s="122"/>
      <c r="EO244" s="122"/>
      <c r="EP244" s="122"/>
      <c r="EQ244" s="122"/>
      <c r="ER244" s="122"/>
      <c r="ES244" s="122"/>
      <c r="ET244" s="122"/>
      <c r="EU244" s="122"/>
      <c r="EV244" s="122"/>
      <c r="EW244" s="122"/>
      <c r="EX244" s="122"/>
      <c r="EY244" s="122"/>
      <c r="EZ244" s="122"/>
      <c r="FA244" s="122"/>
      <c r="FB244" s="122"/>
      <c r="FC244" s="122"/>
      <c r="FD244" s="122"/>
      <c r="FE244" s="122"/>
      <c r="FF244" s="122"/>
      <c r="FG244" s="122"/>
      <c r="FH244" s="122"/>
      <c r="FI244" s="122"/>
      <c r="FJ244" s="122"/>
      <c r="FK244" s="122"/>
      <c r="FL244" s="122"/>
      <c r="FM244" s="122"/>
      <c r="FN244" s="122"/>
      <c r="FO244" s="122"/>
      <c r="FP244" s="122"/>
      <c r="FQ244" s="122"/>
      <c r="FR244" s="122"/>
      <c r="FS244" s="122"/>
      <c r="FT244" s="122"/>
      <c r="FU244" s="122"/>
      <c r="FV244" s="122"/>
      <c r="FW244" s="122"/>
      <c r="FX244" s="122"/>
      <c r="FY244" s="122"/>
      <c r="FZ244" s="122"/>
      <c r="GA244" s="122"/>
      <c r="GB244" s="122"/>
      <c r="GC244" s="122"/>
      <c r="GD244" s="122"/>
      <c r="GE244" s="122"/>
      <c r="GF244" s="122"/>
      <c r="GG244" s="122"/>
      <c r="GH244" s="122"/>
      <c r="GI244" s="122"/>
    </row>
    <row r="245" spans="1:191" s="13" customFormat="1" ht="20.25" customHeight="1">
      <c r="A245" s="117">
        <v>119</v>
      </c>
      <c r="B245" s="119"/>
      <c r="C245" s="149"/>
      <c r="D245" s="102">
        <f t="shared" ref="D245" si="121">IFERROR(SUMPRODUCT(F245:HE245,$F$6:$HE$6)/100,0)</f>
        <v>0</v>
      </c>
      <c r="E245" s="103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122"/>
      <c r="AQ245" s="122"/>
      <c r="AR245" s="122"/>
      <c r="AS245" s="122"/>
      <c r="AT245" s="122"/>
      <c r="AU245" s="122"/>
      <c r="AV245" s="122"/>
      <c r="AW245" s="122"/>
      <c r="AX245" s="122"/>
      <c r="AY245" s="122"/>
      <c r="AZ245" s="122"/>
      <c r="BA245" s="122"/>
      <c r="BB245" s="122"/>
      <c r="BC245" s="122"/>
      <c r="BD245" s="122"/>
      <c r="BE245" s="122"/>
      <c r="BF245" s="122"/>
      <c r="BG245" s="122"/>
      <c r="BH245" s="122"/>
      <c r="BI245" s="122"/>
      <c r="BJ245" s="122"/>
      <c r="BK245" s="122"/>
      <c r="BL245" s="122"/>
      <c r="BM245" s="122"/>
      <c r="BN245" s="122"/>
      <c r="BO245" s="122"/>
      <c r="BP245" s="123"/>
      <c r="BQ245" s="123"/>
      <c r="BR245" s="123"/>
      <c r="BS245" s="123"/>
      <c r="BT245" s="122"/>
      <c r="BU245" s="122"/>
      <c r="BV245" s="122"/>
      <c r="BW245" s="122"/>
      <c r="BX245" s="122"/>
      <c r="BY245" s="122"/>
      <c r="BZ245" s="122"/>
      <c r="CA245" s="122"/>
      <c r="CB245" s="122"/>
      <c r="CC245" s="122"/>
      <c r="CD245" s="122"/>
      <c r="CE245" s="122"/>
      <c r="CF245" s="122"/>
      <c r="CG245" s="122"/>
      <c r="CH245" s="122"/>
      <c r="CI245" s="122"/>
      <c r="CJ245" s="122"/>
      <c r="CK245" s="122"/>
      <c r="CL245" s="122"/>
      <c r="CM245" s="122"/>
      <c r="CN245" s="122"/>
      <c r="CO245" s="122"/>
      <c r="CP245" s="122"/>
      <c r="CQ245" s="122"/>
      <c r="CR245" s="122"/>
      <c r="CS245" s="122"/>
      <c r="CT245" s="122"/>
      <c r="CU245" s="122"/>
      <c r="CV245" s="122"/>
      <c r="CW245" s="122"/>
      <c r="CX245" s="122"/>
      <c r="CY245" s="122"/>
      <c r="CZ245" s="122"/>
      <c r="DA245" s="122"/>
      <c r="DB245" s="122"/>
      <c r="DC245" s="122"/>
      <c r="DD245" s="122"/>
      <c r="DE245" s="122"/>
      <c r="DF245" s="122"/>
      <c r="DG245" s="122"/>
      <c r="DH245" s="122"/>
      <c r="DI245" s="122"/>
      <c r="DJ245" s="122"/>
      <c r="DK245" s="122"/>
      <c r="DL245" s="122"/>
      <c r="DM245" s="122"/>
      <c r="DN245" s="122"/>
      <c r="DO245" s="122"/>
      <c r="DP245" s="122"/>
      <c r="DQ245" s="122"/>
      <c r="DR245" s="122"/>
      <c r="DS245" s="122"/>
      <c r="DT245" s="122"/>
      <c r="DU245" s="122"/>
      <c r="DV245" s="122"/>
      <c r="DW245" s="122"/>
      <c r="DX245" s="122"/>
      <c r="DY245" s="122"/>
      <c r="DZ245" s="122"/>
      <c r="EA245" s="122"/>
      <c r="EB245" s="122"/>
      <c r="EC245" s="122"/>
      <c r="ED245" s="122"/>
      <c r="EE245" s="122"/>
      <c r="EF245" s="122"/>
      <c r="EG245" s="122"/>
      <c r="EH245" s="122"/>
      <c r="EI245" s="122"/>
      <c r="EJ245" s="122"/>
      <c r="EK245" s="122"/>
      <c r="EL245" s="122"/>
      <c r="EM245" s="122"/>
      <c r="EN245" s="122"/>
      <c r="EO245" s="122"/>
      <c r="EP245" s="122"/>
      <c r="EQ245" s="122"/>
      <c r="ER245" s="122"/>
      <c r="ES245" s="122"/>
      <c r="ET245" s="122"/>
      <c r="EU245" s="122"/>
      <c r="EV245" s="122"/>
      <c r="EW245" s="122"/>
      <c r="EX245" s="122"/>
      <c r="EY245" s="122"/>
      <c r="EZ245" s="122"/>
      <c r="FA245" s="122"/>
      <c r="FB245" s="122"/>
      <c r="FC245" s="122"/>
      <c r="FD245" s="122"/>
      <c r="FE245" s="122"/>
      <c r="FF245" s="122"/>
      <c r="FG245" s="122"/>
      <c r="FH245" s="122"/>
      <c r="FI245" s="122"/>
      <c r="FJ245" s="122"/>
      <c r="FK245" s="122"/>
      <c r="FL245" s="122"/>
      <c r="FM245" s="122"/>
      <c r="FN245" s="122"/>
      <c r="FO245" s="122"/>
      <c r="FP245" s="122"/>
      <c r="FQ245" s="122"/>
      <c r="FR245" s="122"/>
      <c r="FS245" s="122"/>
      <c r="FT245" s="122"/>
      <c r="FU245" s="122"/>
      <c r="FV245" s="122"/>
      <c r="FW245" s="122"/>
      <c r="FX245" s="122"/>
      <c r="FY245" s="122"/>
      <c r="FZ245" s="122"/>
      <c r="GA245" s="122"/>
      <c r="GB245" s="122"/>
      <c r="GC245" s="122"/>
      <c r="GD245" s="122"/>
      <c r="GE245" s="122"/>
      <c r="GF245" s="122"/>
      <c r="GG245" s="122"/>
      <c r="GH245" s="122"/>
      <c r="GI245" s="122"/>
    </row>
    <row r="246" spans="1:191" s="13" customFormat="1" ht="20.25" customHeight="1">
      <c r="A246" s="117"/>
      <c r="B246" s="119"/>
      <c r="C246" s="149"/>
      <c r="D246" s="121"/>
      <c r="E246" s="103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122"/>
      <c r="AQ246" s="122"/>
      <c r="AR246" s="122"/>
      <c r="AS246" s="122"/>
      <c r="AT246" s="122"/>
      <c r="AU246" s="122"/>
      <c r="AV246" s="122"/>
      <c r="AW246" s="122"/>
      <c r="AX246" s="122"/>
      <c r="AY246" s="122"/>
      <c r="AZ246" s="122"/>
      <c r="BA246" s="122"/>
      <c r="BB246" s="122"/>
      <c r="BC246" s="122"/>
      <c r="BD246" s="122"/>
      <c r="BE246" s="122"/>
      <c r="BF246" s="122"/>
      <c r="BG246" s="122"/>
      <c r="BH246" s="122"/>
      <c r="BI246" s="122"/>
      <c r="BJ246" s="122"/>
      <c r="BK246" s="122"/>
      <c r="BL246" s="122"/>
      <c r="BM246" s="122"/>
      <c r="BN246" s="122"/>
      <c r="BO246" s="122"/>
      <c r="BP246" s="123"/>
      <c r="BQ246" s="123"/>
      <c r="BR246" s="123"/>
      <c r="BS246" s="123"/>
      <c r="BT246" s="122"/>
      <c r="BU246" s="122"/>
      <c r="BV246" s="122"/>
      <c r="BW246" s="122"/>
      <c r="BX246" s="122"/>
      <c r="BY246" s="122"/>
      <c r="BZ246" s="122"/>
      <c r="CA246" s="122"/>
      <c r="CB246" s="122"/>
      <c r="CC246" s="122"/>
      <c r="CD246" s="122"/>
      <c r="CE246" s="122"/>
      <c r="CF246" s="122"/>
      <c r="CG246" s="122"/>
      <c r="CH246" s="122"/>
      <c r="CI246" s="122"/>
      <c r="CJ246" s="122"/>
      <c r="CK246" s="122"/>
      <c r="CL246" s="122"/>
      <c r="CM246" s="122"/>
      <c r="CN246" s="122"/>
      <c r="CO246" s="122"/>
      <c r="CP246" s="122"/>
      <c r="CQ246" s="122"/>
      <c r="CR246" s="122"/>
      <c r="CS246" s="122"/>
      <c r="CT246" s="122"/>
      <c r="CU246" s="122"/>
      <c r="CV246" s="122"/>
      <c r="CW246" s="122"/>
      <c r="CX246" s="122"/>
      <c r="CY246" s="122"/>
      <c r="CZ246" s="122"/>
      <c r="DA246" s="122"/>
      <c r="DB246" s="122"/>
      <c r="DC246" s="122"/>
      <c r="DD246" s="122"/>
      <c r="DE246" s="122"/>
      <c r="DF246" s="122"/>
      <c r="DG246" s="122"/>
      <c r="DH246" s="122"/>
      <c r="DI246" s="122"/>
      <c r="DJ246" s="122"/>
      <c r="DK246" s="122"/>
      <c r="DL246" s="122"/>
      <c r="DM246" s="122"/>
      <c r="DN246" s="122"/>
      <c r="DO246" s="122"/>
      <c r="DP246" s="122"/>
      <c r="DQ246" s="122"/>
      <c r="DR246" s="122"/>
      <c r="DS246" s="122"/>
      <c r="DT246" s="122"/>
      <c r="DU246" s="122"/>
      <c r="DV246" s="122"/>
      <c r="DW246" s="122"/>
      <c r="DX246" s="122"/>
      <c r="DY246" s="122"/>
      <c r="DZ246" s="122"/>
      <c r="EA246" s="122"/>
      <c r="EB246" s="122"/>
      <c r="EC246" s="122"/>
      <c r="ED246" s="122"/>
      <c r="EE246" s="122"/>
      <c r="EF246" s="122"/>
      <c r="EG246" s="122"/>
      <c r="EH246" s="122"/>
      <c r="EI246" s="122"/>
      <c r="EJ246" s="122"/>
      <c r="EK246" s="122"/>
      <c r="EL246" s="122"/>
      <c r="EM246" s="122"/>
      <c r="EN246" s="122"/>
      <c r="EO246" s="122"/>
      <c r="EP246" s="122"/>
      <c r="EQ246" s="122"/>
      <c r="ER246" s="122"/>
      <c r="ES246" s="122"/>
      <c r="ET246" s="122"/>
      <c r="EU246" s="122"/>
      <c r="EV246" s="122"/>
      <c r="EW246" s="122"/>
      <c r="EX246" s="122"/>
      <c r="EY246" s="122"/>
      <c r="EZ246" s="122"/>
      <c r="FA246" s="122"/>
      <c r="FB246" s="122"/>
      <c r="FC246" s="122"/>
      <c r="FD246" s="122"/>
      <c r="FE246" s="122"/>
      <c r="FF246" s="122"/>
      <c r="FG246" s="122"/>
      <c r="FH246" s="122"/>
      <c r="FI246" s="122"/>
      <c r="FJ246" s="122"/>
      <c r="FK246" s="122"/>
      <c r="FL246" s="122"/>
      <c r="FM246" s="122"/>
      <c r="FN246" s="122"/>
      <c r="FO246" s="122"/>
      <c r="FP246" s="122"/>
      <c r="FQ246" s="122"/>
      <c r="FR246" s="122"/>
      <c r="FS246" s="122"/>
      <c r="FT246" s="122"/>
      <c r="FU246" s="122"/>
      <c r="FV246" s="122"/>
      <c r="FW246" s="122"/>
      <c r="FX246" s="122"/>
      <c r="FY246" s="122"/>
      <c r="FZ246" s="122"/>
      <c r="GA246" s="122"/>
      <c r="GB246" s="122"/>
      <c r="GC246" s="122"/>
      <c r="GD246" s="122"/>
      <c r="GE246" s="122"/>
      <c r="GF246" s="122"/>
      <c r="GG246" s="122"/>
      <c r="GH246" s="122"/>
      <c r="GI246" s="122"/>
    </row>
    <row r="247" spans="1:191" s="13" customFormat="1" ht="20.25" customHeight="1">
      <c r="A247" s="117">
        <v>120</v>
      </c>
      <c r="B247" s="119"/>
      <c r="C247" s="149"/>
      <c r="D247" s="102">
        <f t="shared" ref="D247" si="122">IFERROR(SUMPRODUCT(F247:HE247,$F$6:$HE$6)/100,0)</f>
        <v>0</v>
      </c>
      <c r="E247" s="103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122"/>
      <c r="AQ247" s="122"/>
      <c r="AR247" s="122"/>
      <c r="AS247" s="122"/>
      <c r="AT247" s="122"/>
      <c r="AU247" s="122"/>
      <c r="AV247" s="122"/>
      <c r="AW247" s="122"/>
      <c r="AX247" s="122"/>
      <c r="AY247" s="122"/>
      <c r="AZ247" s="122"/>
      <c r="BA247" s="122"/>
      <c r="BB247" s="122"/>
      <c r="BC247" s="122"/>
      <c r="BD247" s="122"/>
      <c r="BE247" s="122"/>
      <c r="BF247" s="122"/>
      <c r="BG247" s="122"/>
      <c r="BH247" s="122"/>
      <c r="BI247" s="122"/>
      <c r="BJ247" s="122"/>
      <c r="BK247" s="122"/>
      <c r="BL247" s="122"/>
      <c r="BM247" s="122"/>
      <c r="BN247" s="122"/>
      <c r="BO247" s="122"/>
      <c r="BP247" s="123"/>
      <c r="BQ247" s="123"/>
      <c r="BR247" s="123"/>
      <c r="BS247" s="123"/>
      <c r="BT247" s="122"/>
      <c r="BU247" s="122"/>
      <c r="BV247" s="122"/>
      <c r="BW247" s="122"/>
      <c r="BX247" s="122"/>
      <c r="BY247" s="122"/>
      <c r="BZ247" s="122"/>
      <c r="CA247" s="122"/>
      <c r="CB247" s="122"/>
      <c r="CC247" s="122"/>
      <c r="CD247" s="122"/>
      <c r="CE247" s="122"/>
      <c r="CF247" s="122"/>
      <c r="CG247" s="122"/>
      <c r="CH247" s="122"/>
      <c r="CI247" s="122"/>
      <c r="CJ247" s="122"/>
      <c r="CK247" s="122"/>
      <c r="CL247" s="122"/>
      <c r="CM247" s="122"/>
      <c r="CN247" s="122"/>
      <c r="CO247" s="122"/>
      <c r="CP247" s="122"/>
      <c r="CQ247" s="122"/>
      <c r="CR247" s="122"/>
      <c r="CS247" s="122"/>
      <c r="CT247" s="122"/>
      <c r="CU247" s="122"/>
      <c r="CV247" s="122"/>
      <c r="CW247" s="122"/>
      <c r="CX247" s="122"/>
      <c r="CY247" s="122"/>
      <c r="CZ247" s="122"/>
      <c r="DA247" s="122"/>
      <c r="DB247" s="122"/>
      <c r="DC247" s="122"/>
      <c r="DD247" s="122"/>
      <c r="DE247" s="122"/>
      <c r="DF247" s="122"/>
      <c r="DG247" s="122"/>
      <c r="DH247" s="122"/>
      <c r="DI247" s="122"/>
      <c r="DJ247" s="122"/>
      <c r="DK247" s="122"/>
      <c r="DL247" s="122"/>
      <c r="DM247" s="122"/>
      <c r="DN247" s="122"/>
      <c r="DO247" s="122"/>
      <c r="DP247" s="122"/>
      <c r="DQ247" s="122"/>
      <c r="DR247" s="122"/>
      <c r="DS247" s="122"/>
      <c r="DT247" s="122"/>
      <c r="DU247" s="122"/>
      <c r="DV247" s="122"/>
      <c r="DW247" s="122"/>
      <c r="DX247" s="122"/>
      <c r="DY247" s="122"/>
      <c r="DZ247" s="122"/>
      <c r="EA247" s="122"/>
      <c r="EB247" s="122"/>
      <c r="EC247" s="122"/>
      <c r="ED247" s="122"/>
      <c r="EE247" s="122"/>
      <c r="EF247" s="122"/>
      <c r="EG247" s="122"/>
      <c r="EH247" s="122"/>
      <c r="EI247" s="122"/>
      <c r="EJ247" s="122"/>
      <c r="EK247" s="122"/>
      <c r="EL247" s="122"/>
      <c r="EM247" s="122"/>
      <c r="EN247" s="122"/>
      <c r="EO247" s="122"/>
      <c r="EP247" s="122"/>
      <c r="EQ247" s="122"/>
      <c r="ER247" s="122"/>
      <c r="ES247" s="122"/>
      <c r="ET247" s="122"/>
      <c r="EU247" s="122"/>
      <c r="EV247" s="122"/>
      <c r="EW247" s="122"/>
      <c r="EX247" s="122"/>
      <c r="EY247" s="122"/>
      <c r="EZ247" s="122"/>
      <c r="FA247" s="122"/>
      <c r="FB247" s="122"/>
      <c r="FC247" s="122"/>
      <c r="FD247" s="122"/>
      <c r="FE247" s="122"/>
      <c r="FF247" s="122"/>
      <c r="FG247" s="122"/>
      <c r="FH247" s="122"/>
      <c r="FI247" s="122"/>
      <c r="FJ247" s="122"/>
      <c r="FK247" s="122"/>
      <c r="FL247" s="122"/>
      <c r="FM247" s="122"/>
      <c r="FN247" s="122"/>
      <c r="FO247" s="122"/>
      <c r="FP247" s="122"/>
      <c r="FQ247" s="122"/>
      <c r="FR247" s="122"/>
      <c r="FS247" s="122"/>
      <c r="FT247" s="122"/>
      <c r="FU247" s="122"/>
      <c r="FV247" s="122"/>
      <c r="FW247" s="122"/>
      <c r="FX247" s="122"/>
      <c r="FY247" s="122"/>
      <c r="FZ247" s="122"/>
      <c r="GA247" s="122"/>
      <c r="GB247" s="122"/>
      <c r="GC247" s="122"/>
      <c r="GD247" s="122"/>
      <c r="GE247" s="122"/>
      <c r="GF247" s="122"/>
      <c r="GG247" s="122"/>
      <c r="GH247" s="122"/>
      <c r="GI247" s="122"/>
    </row>
    <row r="248" spans="1:191" s="13" customFormat="1" ht="20.25" customHeight="1">
      <c r="A248" s="117"/>
      <c r="B248" s="119"/>
      <c r="C248" s="149"/>
      <c r="D248" s="121"/>
      <c r="E248" s="103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122"/>
      <c r="AQ248" s="122"/>
      <c r="AR248" s="122"/>
      <c r="AS248" s="122"/>
      <c r="AT248" s="122"/>
      <c r="AU248" s="122"/>
      <c r="AV248" s="122"/>
      <c r="AW248" s="122"/>
      <c r="AX248" s="122"/>
      <c r="AY248" s="122"/>
      <c r="AZ248" s="122"/>
      <c r="BA248" s="122"/>
      <c r="BB248" s="122"/>
      <c r="BC248" s="122"/>
      <c r="BD248" s="122"/>
      <c r="BE248" s="122"/>
      <c r="BF248" s="122"/>
      <c r="BG248" s="122"/>
      <c r="BH248" s="122"/>
      <c r="BI248" s="122"/>
      <c r="BJ248" s="122"/>
      <c r="BK248" s="122"/>
      <c r="BL248" s="122"/>
      <c r="BM248" s="122"/>
      <c r="BN248" s="122"/>
      <c r="BO248" s="122"/>
      <c r="BP248" s="123"/>
      <c r="BQ248" s="123"/>
      <c r="BR248" s="123"/>
      <c r="BS248" s="123"/>
      <c r="BT248" s="122"/>
      <c r="BU248" s="122"/>
      <c r="BV248" s="122"/>
      <c r="BW248" s="122"/>
      <c r="BX248" s="122"/>
      <c r="BY248" s="122"/>
      <c r="BZ248" s="122"/>
      <c r="CA248" s="122"/>
      <c r="CB248" s="122"/>
      <c r="CC248" s="122"/>
      <c r="CD248" s="122"/>
      <c r="CE248" s="122"/>
      <c r="CF248" s="122"/>
      <c r="CG248" s="122"/>
      <c r="CH248" s="122"/>
      <c r="CI248" s="122"/>
      <c r="CJ248" s="122"/>
      <c r="CK248" s="122"/>
      <c r="CL248" s="122"/>
      <c r="CM248" s="122"/>
      <c r="CN248" s="122"/>
      <c r="CO248" s="122"/>
      <c r="CP248" s="122"/>
      <c r="CQ248" s="122"/>
      <c r="CR248" s="122"/>
      <c r="CS248" s="122"/>
      <c r="CT248" s="122"/>
      <c r="CU248" s="122"/>
      <c r="CV248" s="122"/>
      <c r="CW248" s="122"/>
      <c r="CX248" s="122"/>
      <c r="CY248" s="122"/>
      <c r="CZ248" s="122"/>
      <c r="DA248" s="122"/>
      <c r="DB248" s="122"/>
      <c r="DC248" s="122"/>
      <c r="DD248" s="122"/>
      <c r="DE248" s="122"/>
      <c r="DF248" s="122"/>
      <c r="DG248" s="122"/>
      <c r="DH248" s="122"/>
      <c r="DI248" s="122"/>
      <c r="DJ248" s="122"/>
      <c r="DK248" s="122"/>
      <c r="DL248" s="122"/>
      <c r="DM248" s="122"/>
      <c r="DN248" s="122"/>
      <c r="DO248" s="122"/>
      <c r="DP248" s="122"/>
      <c r="DQ248" s="122"/>
      <c r="DR248" s="122"/>
      <c r="DS248" s="122"/>
      <c r="DT248" s="122"/>
      <c r="DU248" s="122"/>
      <c r="DV248" s="122"/>
      <c r="DW248" s="122"/>
      <c r="DX248" s="122"/>
      <c r="DY248" s="122"/>
      <c r="DZ248" s="122"/>
      <c r="EA248" s="122"/>
      <c r="EB248" s="122"/>
      <c r="EC248" s="122"/>
      <c r="ED248" s="122"/>
      <c r="EE248" s="122"/>
      <c r="EF248" s="122"/>
      <c r="EG248" s="122"/>
      <c r="EH248" s="122"/>
      <c r="EI248" s="122"/>
      <c r="EJ248" s="122"/>
      <c r="EK248" s="122"/>
      <c r="EL248" s="122"/>
      <c r="EM248" s="122"/>
      <c r="EN248" s="122"/>
      <c r="EO248" s="122"/>
      <c r="EP248" s="122"/>
      <c r="EQ248" s="122"/>
      <c r="ER248" s="122"/>
      <c r="ES248" s="122"/>
      <c r="ET248" s="122"/>
      <c r="EU248" s="122"/>
      <c r="EV248" s="122"/>
      <c r="EW248" s="122"/>
      <c r="EX248" s="122"/>
      <c r="EY248" s="122"/>
      <c r="EZ248" s="122"/>
      <c r="FA248" s="122"/>
      <c r="FB248" s="122"/>
      <c r="FC248" s="122"/>
      <c r="FD248" s="122"/>
      <c r="FE248" s="122"/>
      <c r="FF248" s="122"/>
      <c r="FG248" s="122"/>
      <c r="FH248" s="122"/>
      <c r="FI248" s="122"/>
      <c r="FJ248" s="122"/>
      <c r="FK248" s="122"/>
      <c r="FL248" s="122"/>
      <c r="FM248" s="122"/>
      <c r="FN248" s="122"/>
      <c r="FO248" s="122"/>
      <c r="FP248" s="122"/>
      <c r="FQ248" s="122"/>
      <c r="FR248" s="122"/>
      <c r="FS248" s="122"/>
      <c r="FT248" s="122"/>
      <c r="FU248" s="122"/>
      <c r="FV248" s="122"/>
      <c r="FW248" s="122"/>
      <c r="FX248" s="122"/>
      <c r="FY248" s="122"/>
      <c r="FZ248" s="122"/>
      <c r="GA248" s="122"/>
      <c r="GB248" s="122"/>
      <c r="GC248" s="122"/>
      <c r="GD248" s="122"/>
      <c r="GE248" s="122"/>
      <c r="GF248" s="122"/>
      <c r="GG248" s="122"/>
      <c r="GH248" s="122"/>
      <c r="GI248" s="122"/>
    </row>
    <row r="249" spans="1:191" s="13" customFormat="1" ht="20.25" customHeight="1">
      <c r="A249" s="117">
        <v>121</v>
      </c>
      <c r="B249" s="124"/>
      <c r="C249" s="149"/>
      <c r="D249" s="102">
        <f t="shared" ref="D249" si="123">IFERROR(SUMPRODUCT(F249:HE249,$F$6:$HE$6)/100,0)</f>
        <v>0</v>
      </c>
      <c r="E249" s="103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122"/>
      <c r="AQ249" s="122"/>
      <c r="AR249" s="122"/>
      <c r="AS249" s="122"/>
      <c r="AT249" s="122"/>
      <c r="AU249" s="122"/>
      <c r="AV249" s="122"/>
      <c r="AW249" s="122"/>
      <c r="AX249" s="122"/>
      <c r="AY249" s="122"/>
      <c r="AZ249" s="122"/>
      <c r="BA249" s="122"/>
      <c r="BB249" s="122"/>
      <c r="BC249" s="122"/>
      <c r="BD249" s="122"/>
      <c r="BE249" s="122"/>
      <c r="BF249" s="122"/>
      <c r="BG249" s="122"/>
      <c r="BH249" s="122"/>
      <c r="BI249" s="122"/>
      <c r="BJ249" s="122"/>
      <c r="BK249" s="122"/>
      <c r="BL249" s="122"/>
      <c r="BM249" s="122"/>
      <c r="BN249" s="122"/>
      <c r="BO249" s="122"/>
      <c r="BP249" s="123"/>
      <c r="BQ249" s="123"/>
      <c r="BR249" s="123"/>
      <c r="BS249" s="123"/>
      <c r="BT249" s="122"/>
      <c r="BU249" s="122"/>
      <c r="BV249" s="122"/>
      <c r="BW249" s="122"/>
      <c r="BX249" s="122"/>
      <c r="BY249" s="122"/>
      <c r="BZ249" s="122"/>
      <c r="CA249" s="122"/>
      <c r="CB249" s="122"/>
      <c r="CC249" s="122"/>
      <c r="CD249" s="122"/>
      <c r="CE249" s="122"/>
      <c r="CF249" s="122"/>
      <c r="CG249" s="122"/>
      <c r="CH249" s="122"/>
      <c r="CI249" s="122"/>
      <c r="CJ249" s="122"/>
      <c r="CK249" s="122"/>
      <c r="CL249" s="122"/>
      <c r="CM249" s="122"/>
      <c r="CN249" s="122"/>
      <c r="CO249" s="122"/>
      <c r="CP249" s="122"/>
      <c r="CQ249" s="122"/>
      <c r="CR249" s="122"/>
      <c r="CS249" s="122"/>
      <c r="CT249" s="122"/>
      <c r="CU249" s="122"/>
      <c r="CV249" s="122"/>
      <c r="CW249" s="122"/>
      <c r="CX249" s="122"/>
      <c r="CY249" s="122"/>
      <c r="CZ249" s="122"/>
      <c r="DA249" s="122"/>
      <c r="DB249" s="122"/>
      <c r="DC249" s="122"/>
      <c r="DD249" s="122"/>
      <c r="DE249" s="122"/>
      <c r="DF249" s="122"/>
      <c r="DG249" s="122"/>
      <c r="DH249" s="122"/>
      <c r="DI249" s="122"/>
      <c r="DJ249" s="122"/>
      <c r="DK249" s="122"/>
      <c r="DL249" s="122"/>
      <c r="DM249" s="122"/>
      <c r="DN249" s="122"/>
      <c r="DO249" s="122"/>
      <c r="DP249" s="122"/>
      <c r="DQ249" s="122"/>
      <c r="DR249" s="122"/>
      <c r="DS249" s="122"/>
      <c r="DT249" s="122"/>
      <c r="DU249" s="122"/>
      <c r="DV249" s="122"/>
      <c r="DW249" s="122"/>
      <c r="DX249" s="122"/>
      <c r="DY249" s="122"/>
      <c r="DZ249" s="122"/>
      <c r="EA249" s="122"/>
      <c r="EB249" s="122"/>
      <c r="EC249" s="122"/>
      <c r="ED249" s="122"/>
      <c r="EE249" s="122"/>
      <c r="EF249" s="122"/>
      <c r="EG249" s="122"/>
      <c r="EH249" s="122"/>
      <c r="EI249" s="122"/>
      <c r="EJ249" s="122"/>
      <c r="EK249" s="122"/>
      <c r="EL249" s="122"/>
      <c r="EM249" s="122"/>
      <c r="EN249" s="122"/>
      <c r="EO249" s="122"/>
      <c r="EP249" s="122"/>
      <c r="EQ249" s="122"/>
      <c r="ER249" s="122"/>
      <c r="ES249" s="122"/>
      <c r="ET249" s="122"/>
      <c r="EU249" s="122"/>
      <c r="EV249" s="122"/>
      <c r="EW249" s="122"/>
      <c r="EX249" s="122"/>
      <c r="EY249" s="122"/>
      <c r="EZ249" s="122"/>
      <c r="FA249" s="122"/>
      <c r="FB249" s="122"/>
      <c r="FC249" s="122"/>
      <c r="FD249" s="122"/>
      <c r="FE249" s="122"/>
      <c r="FF249" s="122"/>
      <c r="FG249" s="122"/>
      <c r="FH249" s="122"/>
      <c r="FI249" s="122"/>
      <c r="FJ249" s="122"/>
      <c r="FK249" s="122"/>
      <c r="FL249" s="122"/>
      <c r="FM249" s="122"/>
      <c r="FN249" s="122"/>
      <c r="FO249" s="122"/>
      <c r="FP249" s="122"/>
      <c r="FQ249" s="122"/>
      <c r="FR249" s="122"/>
      <c r="FS249" s="122"/>
      <c r="FT249" s="122"/>
      <c r="FU249" s="122"/>
      <c r="FV249" s="122"/>
      <c r="FW249" s="122"/>
      <c r="FX249" s="122"/>
      <c r="FY249" s="122"/>
      <c r="FZ249" s="122"/>
      <c r="GA249" s="122"/>
      <c r="GB249" s="122"/>
      <c r="GC249" s="122"/>
      <c r="GD249" s="122"/>
      <c r="GE249" s="122"/>
      <c r="GF249" s="122"/>
      <c r="GG249" s="122"/>
      <c r="GH249" s="122"/>
      <c r="GI249" s="122"/>
    </row>
    <row r="250" spans="1:191" s="13" customFormat="1" ht="20.25" customHeight="1">
      <c r="A250" s="117"/>
      <c r="B250" s="119"/>
      <c r="C250" s="149"/>
      <c r="D250" s="121"/>
      <c r="E250" s="103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122"/>
      <c r="AQ250" s="122"/>
      <c r="AR250" s="122"/>
      <c r="AS250" s="122"/>
      <c r="AT250" s="122"/>
      <c r="AU250" s="122"/>
      <c r="AV250" s="122"/>
      <c r="AW250" s="122"/>
      <c r="AX250" s="122"/>
      <c r="AY250" s="122"/>
      <c r="AZ250" s="122"/>
      <c r="BA250" s="122"/>
      <c r="BB250" s="122"/>
      <c r="BC250" s="122"/>
      <c r="BD250" s="122"/>
      <c r="BE250" s="122"/>
      <c r="BF250" s="122"/>
      <c r="BG250" s="122"/>
      <c r="BH250" s="122"/>
      <c r="BI250" s="122"/>
      <c r="BJ250" s="122"/>
      <c r="BK250" s="122"/>
      <c r="BL250" s="122"/>
      <c r="BM250" s="122"/>
      <c r="BN250" s="122"/>
      <c r="BO250" s="122"/>
      <c r="BP250" s="123"/>
      <c r="BQ250" s="123"/>
      <c r="BR250" s="123"/>
      <c r="BS250" s="123"/>
      <c r="BT250" s="122"/>
      <c r="BU250" s="122"/>
      <c r="BV250" s="122"/>
      <c r="BW250" s="122"/>
      <c r="BX250" s="122"/>
      <c r="BY250" s="122"/>
      <c r="BZ250" s="122"/>
      <c r="CA250" s="122"/>
      <c r="CB250" s="122"/>
      <c r="CC250" s="122"/>
      <c r="CD250" s="122"/>
      <c r="CE250" s="122"/>
      <c r="CF250" s="122"/>
      <c r="CG250" s="122"/>
      <c r="CH250" s="122"/>
      <c r="CI250" s="122"/>
      <c r="CJ250" s="122"/>
      <c r="CK250" s="122"/>
      <c r="CL250" s="122"/>
      <c r="CM250" s="122"/>
      <c r="CN250" s="122"/>
      <c r="CO250" s="122"/>
      <c r="CP250" s="122"/>
      <c r="CQ250" s="122"/>
      <c r="CR250" s="122"/>
      <c r="CS250" s="122"/>
      <c r="CT250" s="122"/>
      <c r="CU250" s="122"/>
      <c r="CV250" s="122"/>
      <c r="CW250" s="122"/>
      <c r="CX250" s="122"/>
      <c r="CY250" s="122"/>
      <c r="CZ250" s="122"/>
      <c r="DA250" s="122"/>
      <c r="DB250" s="122"/>
      <c r="DC250" s="122"/>
      <c r="DD250" s="122"/>
      <c r="DE250" s="122"/>
      <c r="DF250" s="122"/>
      <c r="DG250" s="122"/>
      <c r="DH250" s="122"/>
      <c r="DI250" s="122"/>
      <c r="DJ250" s="122"/>
      <c r="DK250" s="122"/>
      <c r="DL250" s="122"/>
      <c r="DM250" s="122"/>
      <c r="DN250" s="122"/>
      <c r="DO250" s="122"/>
      <c r="DP250" s="122"/>
      <c r="DQ250" s="122"/>
      <c r="DR250" s="122"/>
      <c r="DS250" s="122"/>
      <c r="DT250" s="122"/>
      <c r="DU250" s="122"/>
      <c r="DV250" s="122"/>
      <c r="DW250" s="122"/>
      <c r="DX250" s="122"/>
      <c r="DY250" s="122"/>
      <c r="DZ250" s="122"/>
      <c r="EA250" s="122"/>
      <c r="EB250" s="122"/>
      <c r="EC250" s="122"/>
      <c r="ED250" s="122"/>
      <c r="EE250" s="122"/>
      <c r="EF250" s="122"/>
      <c r="EG250" s="122"/>
      <c r="EH250" s="122"/>
      <c r="EI250" s="122"/>
      <c r="EJ250" s="122"/>
      <c r="EK250" s="122"/>
      <c r="EL250" s="122"/>
      <c r="EM250" s="122"/>
      <c r="EN250" s="122"/>
      <c r="EO250" s="122"/>
      <c r="EP250" s="122"/>
      <c r="EQ250" s="122"/>
      <c r="ER250" s="122"/>
      <c r="ES250" s="122"/>
      <c r="ET250" s="122"/>
      <c r="EU250" s="122"/>
      <c r="EV250" s="122"/>
      <c r="EW250" s="122"/>
      <c r="EX250" s="122"/>
      <c r="EY250" s="122"/>
      <c r="EZ250" s="122"/>
      <c r="FA250" s="122"/>
      <c r="FB250" s="122"/>
      <c r="FC250" s="122"/>
      <c r="FD250" s="122"/>
      <c r="FE250" s="122"/>
      <c r="FF250" s="122"/>
      <c r="FG250" s="122"/>
      <c r="FH250" s="122"/>
      <c r="FI250" s="122"/>
      <c r="FJ250" s="122"/>
      <c r="FK250" s="122"/>
      <c r="FL250" s="122"/>
      <c r="FM250" s="122"/>
      <c r="FN250" s="122"/>
      <c r="FO250" s="122"/>
      <c r="FP250" s="122"/>
      <c r="FQ250" s="122"/>
      <c r="FR250" s="122"/>
      <c r="FS250" s="122"/>
      <c r="FT250" s="122"/>
      <c r="FU250" s="122"/>
      <c r="FV250" s="122"/>
      <c r="FW250" s="122"/>
      <c r="FX250" s="122"/>
      <c r="FY250" s="122"/>
      <c r="FZ250" s="122"/>
      <c r="GA250" s="122"/>
      <c r="GB250" s="122"/>
      <c r="GC250" s="122"/>
      <c r="GD250" s="122"/>
      <c r="GE250" s="122"/>
      <c r="GF250" s="122"/>
      <c r="GG250" s="122"/>
      <c r="GH250" s="122"/>
      <c r="GI250" s="122"/>
    </row>
    <row r="251" spans="1:191" s="13" customFormat="1" ht="20.25" customHeight="1">
      <c r="A251" s="117">
        <v>122</v>
      </c>
      <c r="B251" s="119"/>
      <c r="C251" s="149"/>
      <c r="D251" s="102">
        <f t="shared" ref="D251" si="124">IFERROR(SUMPRODUCT(F251:HE251,$F$6:$HE$6)/100,0)</f>
        <v>0</v>
      </c>
      <c r="E251" s="103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122"/>
      <c r="AQ251" s="122"/>
      <c r="AR251" s="122"/>
      <c r="AS251" s="122"/>
      <c r="AT251" s="122"/>
      <c r="AU251" s="122"/>
      <c r="AV251" s="122"/>
      <c r="AW251" s="122"/>
      <c r="AX251" s="122"/>
      <c r="AY251" s="122"/>
      <c r="AZ251" s="122"/>
      <c r="BA251" s="122"/>
      <c r="BB251" s="122"/>
      <c r="BC251" s="122"/>
      <c r="BD251" s="122"/>
      <c r="BE251" s="122"/>
      <c r="BF251" s="122"/>
      <c r="BG251" s="122"/>
      <c r="BH251" s="122"/>
      <c r="BI251" s="122"/>
      <c r="BJ251" s="122"/>
      <c r="BK251" s="122"/>
      <c r="BL251" s="122"/>
      <c r="BM251" s="122"/>
      <c r="BN251" s="122"/>
      <c r="BO251" s="122"/>
      <c r="BP251" s="123"/>
      <c r="BQ251" s="123"/>
      <c r="BR251" s="123"/>
      <c r="BS251" s="123"/>
      <c r="BT251" s="122"/>
      <c r="BU251" s="122"/>
      <c r="BV251" s="122"/>
      <c r="BW251" s="122"/>
      <c r="BX251" s="122"/>
      <c r="BY251" s="122"/>
      <c r="BZ251" s="122"/>
      <c r="CA251" s="122"/>
      <c r="CB251" s="122"/>
      <c r="CC251" s="122"/>
      <c r="CD251" s="122"/>
      <c r="CE251" s="122"/>
      <c r="CF251" s="122"/>
      <c r="CG251" s="122"/>
      <c r="CH251" s="122"/>
      <c r="CI251" s="122"/>
      <c r="CJ251" s="122"/>
      <c r="CK251" s="122"/>
      <c r="CL251" s="122"/>
      <c r="CM251" s="122"/>
      <c r="CN251" s="122"/>
      <c r="CO251" s="122"/>
      <c r="CP251" s="122"/>
      <c r="CQ251" s="122"/>
      <c r="CR251" s="122"/>
      <c r="CS251" s="122"/>
      <c r="CT251" s="122"/>
      <c r="CU251" s="122"/>
      <c r="CV251" s="122"/>
      <c r="CW251" s="122"/>
      <c r="CX251" s="122"/>
      <c r="CY251" s="122"/>
      <c r="CZ251" s="122"/>
      <c r="DA251" s="122"/>
      <c r="DB251" s="122"/>
      <c r="DC251" s="122"/>
      <c r="DD251" s="122"/>
      <c r="DE251" s="122"/>
      <c r="DF251" s="122"/>
      <c r="DG251" s="122"/>
      <c r="DH251" s="122"/>
      <c r="DI251" s="122"/>
      <c r="DJ251" s="122"/>
      <c r="DK251" s="122"/>
      <c r="DL251" s="122"/>
      <c r="DM251" s="122"/>
      <c r="DN251" s="122"/>
      <c r="DO251" s="122"/>
      <c r="DP251" s="122"/>
      <c r="DQ251" s="122"/>
      <c r="DR251" s="122"/>
      <c r="DS251" s="122"/>
      <c r="DT251" s="122"/>
      <c r="DU251" s="122"/>
      <c r="DV251" s="122"/>
      <c r="DW251" s="122"/>
      <c r="DX251" s="122"/>
      <c r="DY251" s="122"/>
      <c r="DZ251" s="122"/>
      <c r="EA251" s="122"/>
      <c r="EB251" s="122"/>
      <c r="EC251" s="122"/>
      <c r="ED251" s="122"/>
      <c r="EE251" s="122"/>
      <c r="EF251" s="122"/>
      <c r="EG251" s="122"/>
      <c r="EH251" s="122"/>
      <c r="EI251" s="122"/>
      <c r="EJ251" s="122"/>
      <c r="EK251" s="122"/>
      <c r="EL251" s="122"/>
      <c r="EM251" s="122"/>
      <c r="EN251" s="122"/>
      <c r="EO251" s="122"/>
      <c r="EP251" s="122"/>
      <c r="EQ251" s="122"/>
      <c r="ER251" s="122"/>
      <c r="ES251" s="122"/>
      <c r="ET251" s="122"/>
      <c r="EU251" s="122"/>
      <c r="EV251" s="122"/>
      <c r="EW251" s="122"/>
      <c r="EX251" s="122"/>
      <c r="EY251" s="122"/>
      <c r="EZ251" s="122"/>
      <c r="FA251" s="122"/>
      <c r="FB251" s="122"/>
      <c r="FC251" s="122"/>
      <c r="FD251" s="122"/>
      <c r="FE251" s="122"/>
      <c r="FF251" s="122"/>
      <c r="FG251" s="122"/>
      <c r="FH251" s="122"/>
      <c r="FI251" s="122"/>
      <c r="FJ251" s="122"/>
      <c r="FK251" s="122"/>
      <c r="FL251" s="122"/>
      <c r="FM251" s="122"/>
      <c r="FN251" s="122"/>
      <c r="FO251" s="122"/>
      <c r="FP251" s="122"/>
      <c r="FQ251" s="122"/>
      <c r="FR251" s="122"/>
      <c r="FS251" s="122"/>
      <c r="FT251" s="122"/>
      <c r="FU251" s="122"/>
      <c r="FV251" s="122"/>
      <c r="FW251" s="122"/>
      <c r="FX251" s="122"/>
      <c r="FY251" s="122"/>
      <c r="FZ251" s="122"/>
      <c r="GA251" s="122"/>
      <c r="GB251" s="122"/>
      <c r="GC251" s="122"/>
      <c r="GD251" s="122"/>
      <c r="GE251" s="122"/>
      <c r="GF251" s="122"/>
      <c r="GG251" s="122"/>
      <c r="GH251" s="122"/>
      <c r="GI251" s="122"/>
    </row>
    <row r="252" spans="1:191" s="13" customFormat="1" ht="20.25" customHeight="1">
      <c r="A252" s="117"/>
      <c r="B252" s="119"/>
      <c r="C252" s="150"/>
      <c r="D252" s="121"/>
      <c r="E252" s="103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122"/>
      <c r="AQ252" s="122"/>
      <c r="AR252" s="122"/>
      <c r="AS252" s="122"/>
      <c r="AT252" s="122"/>
      <c r="AU252" s="122"/>
      <c r="AV252" s="122"/>
      <c r="AW252" s="122"/>
      <c r="AX252" s="122"/>
      <c r="AY252" s="122"/>
      <c r="AZ252" s="122"/>
      <c r="BA252" s="122"/>
      <c r="BB252" s="122"/>
      <c r="BC252" s="122"/>
      <c r="BD252" s="122"/>
      <c r="BE252" s="122"/>
      <c r="BF252" s="122"/>
      <c r="BG252" s="122"/>
      <c r="BH252" s="122"/>
      <c r="BI252" s="122"/>
      <c r="BJ252" s="122"/>
      <c r="BK252" s="122"/>
      <c r="BL252" s="122"/>
      <c r="BM252" s="122"/>
      <c r="BN252" s="122"/>
      <c r="BO252" s="122"/>
      <c r="BP252" s="123"/>
      <c r="BQ252" s="123"/>
      <c r="BR252" s="123"/>
      <c r="BS252" s="123"/>
      <c r="BT252" s="122"/>
      <c r="BU252" s="122"/>
      <c r="BV252" s="122"/>
      <c r="BW252" s="122"/>
      <c r="BX252" s="122"/>
      <c r="BY252" s="122"/>
      <c r="BZ252" s="122"/>
      <c r="CA252" s="122"/>
      <c r="CB252" s="122"/>
      <c r="CC252" s="122"/>
      <c r="CD252" s="122"/>
      <c r="CE252" s="122"/>
      <c r="CF252" s="122"/>
      <c r="CG252" s="122"/>
      <c r="CH252" s="122"/>
      <c r="CI252" s="122"/>
      <c r="CJ252" s="122"/>
      <c r="CK252" s="122"/>
      <c r="CL252" s="122"/>
      <c r="CM252" s="122"/>
      <c r="CN252" s="122"/>
      <c r="CO252" s="122"/>
      <c r="CP252" s="122"/>
      <c r="CQ252" s="122"/>
      <c r="CR252" s="122"/>
      <c r="CS252" s="122"/>
      <c r="CT252" s="122"/>
      <c r="CU252" s="122"/>
      <c r="CV252" s="122"/>
      <c r="CW252" s="122"/>
      <c r="CX252" s="122"/>
      <c r="CY252" s="122"/>
      <c r="CZ252" s="122"/>
      <c r="DA252" s="122"/>
      <c r="DB252" s="122"/>
      <c r="DC252" s="122"/>
      <c r="DD252" s="122"/>
      <c r="DE252" s="122"/>
      <c r="DF252" s="122"/>
      <c r="DG252" s="122"/>
      <c r="DH252" s="122"/>
      <c r="DI252" s="122"/>
      <c r="DJ252" s="122"/>
      <c r="DK252" s="122"/>
      <c r="DL252" s="122"/>
      <c r="DM252" s="122"/>
      <c r="DN252" s="122"/>
      <c r="DO252" s="122"/>
      <c r="DP252" s="122"/>
      <c r="DQ252" s="122"/>
      <c r="DR252" s="122"/>
      <c r="DS252" s="122"/>
      <c r="DT252" s="122"/>
      <c r="DU252" s="122"/>
      <c r="DV252" s="122"/>
      <c r="DW252" s="122"/>
      <c r="DX252" s="122"/>
      <c r="DY252" s="122"/>
      <c r="DZ252" s="122"/>
      <c r="EA252" s="122"/>
      <c r="EB252" s="122"/>
      <c r="EC252" s="122"/>
      <c r="ED252" s="122"/>
      <c r="EE252" s="122"/>
      <c r="EF252" s="122"/>
      <c r="EG252" s="122"/>
      <c r="EH252" s="122"/>
      <c r="EI252" s="122"/>
      <c r="EJ252" s="122"/>
      <c r="EK252" s="122"/>
      <c r="EL252" s="122"/>
      <c r="EM252" s="122"/>
      <c r="EN252" s="122"/>
      <c r="EO252" s="122"/>
      <c r="EP252" s="122"/>
      <c r="EQ252" s="122"/>
      <c r="ER252" s="122"/>
      <c r="ES252" s="122"/>
      <c r="ET252" s="122"/>
      <c r="EU252" s="122"/>
      <c r="EV252" s="122"/>
      <c r="EW252" s="122"/>
      <c r="EX252" s="122"/>
      <c r="EY252" s="122"/>
      <c r="EZ252" s="122"/>
      <c r="FA252" s="122"/>
      <c r="FB252" s="122"/>
      <c r="FC252" s="122"/>
      <c r="FD252" s="122"/>
      <c r="FE252" s="122"/>
      <c r="FF252" s="122"/>
      <c r="FG252" s="122"/>
      <c r="FH252" s="122"/>
      <c r="FI252" s="122"/>
      <c r="FJ252" s="122"/>
      <c r="FK252" s="122"/>
      <c r="FL252" s="122"/>
      <c r="FM252" s="122"/>
      <c r="FN252" s="122"/>
      <c r="FO252" s="122"/>
      <c r="FP252" s="122"/>
      <c r="FQ252" s="122"/>
      <c r="FR252" s="122"/>
      <c r="FS252" s="122"/>
      <c r="FT252" s="122"/>
      <c r="FU252" s="122"/>
      <c r="FV252" s="122"/>
      <c r="FW252" s="122"/>
      <c r="FX252" s="122"/>
      <c r="FY252" s="122"/>
      <c r="FZ252" s="122"/>
      <c r="GA252" s="122"/>
      <c r="GB252" s="122"/>
      <c r="GC252" s="122"/>
      <c r="GD252" s="122"/>
      <c r="GE252" s="122"/>
      <c r="GF252" s="122"/>
      <c r="GG252" s="122"/>
      <c r="GH252" s="122"/>
      <c r="GI252" s="122"/>
    </row>
    <row r="253" spans="1:191" s="13" customFormat="1" ht="20.25" customHeight="1">
      <c r="A253" s="117">
        <v>123</v>
      </c>
      <c r="B253" s="119"/>
      <c r="C253" s="120"/>
      <c r="D253" s="102">
        <f t="shared" ref="D253" si="125">IFERROR(SUMPRODUCT(F253:HE253,$F$6:$HE$6)/100,0)</f>
        <v>0</v>
      </c>
      <c r="E253" s="103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122"/>
      <c r="AQ253" s="122"/>
      <c r="AR253" s="122"/>
      <c r="AS253" s="122"/>
      <c r="AT253" s="122"/>
      <c r="AU253" s="122"/>
      <c r="AV253" s="122"/>
      <c r="AW253" s="122"/>
      <c r="AX253" s="122"/>
      <c r="AY253" s="122"/>
      <c r="AZ253" s="122"/>
      <c r="BA253" s="122"/>
      <c r="BB253" s="122"/>
      <c r="BC253" s="122"/>
      <c r="BD253" s="122"/>
      <c r="BE253" s="122"/>
      <c r="BF253" s="122"/>
      <c r="BG253" s="122"/>
      <c r="BH253" s="122"/>
      <c r="BI253" s="122"/>
      <c r="BJ253" s="122"/>
      <c r="BK253" s="122"/>
      <c r="BL253" s="122"/>
      <c r="BM253" s="122"/>
      <c r="BN253" s="122"/>
      <c r="BO253" s="122"/>
      <c r="BP253" s="123"/>
      <c r="BQ253" s="123"/>
      <c r="BR253" s="123"/>
      <c r="BS253" s="123"/>
      <c r="BT253" s="122"/>
      <c r="BU253" s="122"/>
      <c r="BV253" s="122"/>
      <c r="BW253" s="122"/>
      <c r="BX253" s="122"/>
      <c r="BY253" s="122"/>
      <c r="BZ253" s="122"/>
      <c r="CA253" s="122"/>
      <c r="CB253" s="122"/>
      <c r="CC253" s="122"/>
      <c r="CD253" s="122"/>
      <c r="CE253" s="122"/>
      <c r="CF253" s="122"/>
      <c r="CG253" s="122"/>
      <c r="CH253" s="122"/>
      <c r="CI253" s="122"/>
      <c r="CJ253" s="122"/>
      <c r="CK253" s="122"/>
      <c r="CL253" s="122"/>
      <c r="CM253" s="122"/>
      <c r="CN253" s="122"/>
      <c r="CO253" s="122"/>
      <c r="CP253" s="122"/>
      <c r="CQ253" s="122"/>
      <c r="CR253" s="122"/>
      <c r="CS253" s="122"/>
      <c r="CT253" s="122"/>
      <c r="CU253" s="122"/>
      <c r="CV253" s="122"/>
      <c r="CW253" s="122"/>
      <c r="CX253" s="122"/>
      <c r="CY253" s="122"/>
      <c r="CZ253" s="122"/>
      <c r="DA253" s="122"/>
      <c r="DB253" s="122"/>
      <c r="DC253" s="122"/>
      <c r="DD253" s="122"/>
      <c r="DE253" s="122"/>
      <c r="DF253" s="122"/>
      <c r="DG253" s="122"/>
      <c r="DH253" s="122"/>
      <c r="DI253" s="122"/>
      <c r="DJ253" s="122"/>
      <c r="DK253" s="122"/>
      <c r="DL253" s="122"/>
      <c r="DM253" s="122"/>
      <c r="DN253" s="122"/>
      <c r="DO253" s="122"/>
      <c r="DP253" s="122"/>
      <c r="DQ253" s="122"/>
      <c r="DR253" s="122"/>
      <c r="DS253" s="122"/>
      <c r="DT253" s="122"/>
      <c r="DU253" s="122"/>
      <c r="DV253" s="122"/>
      <c r="DW253" s="122"/>
      <c r="DX253" s="122"/>
      <c r="DY253" s="122"/>
      <c r="DZ253" s="122"/>
      <c r="EA253" s="122"/>
      <c r="EB253" s="122"/>
      <c r="EC253" s="122"/>
      <c r="ED253" s="122"/>
      <c r="EE253" s="122"/>
      <c r="EF253" s="122"/>
      <c r="EG253" s="122"/>
      <c r="EH253" s="122"/>
      <c r="EI253" s="122"/>
      <c r="EJ253" s="122"/>
      <c r="EK253" s="122"/>
      <c r="EL253" s="122"/>
      <c r="EM253" s="122"/>
      <c r="EN253" s="122"/>
      <c r="EO253" s="122"/>
      <c r="EP253" s="122"/>
      <c r="EQ253" s="122"/>
      <c r="ER253" s="122"/>
      <c r="ES253" s="122"/>
      <c r="ET253" s="122"/>
      <c r="EU253" s="122"/>
      <c r="EV253" s="122"/>
      <c r="EW253" s="122"/>
      <c r="EX253" s="122"/>
      <c r="EY253" s="122"/>
      <c r="EZ253" s="122"/>
      <c r="FA253" s="122"/>
      <c r="FB253" s="122"/>
      <c r="FC253" s="122"/>
      <c r="FD253" s="122"/>
      <c r="FE253" s="122"/>
      <c r="FF253" s="122"/>
      <c r="FG253" s="122"/>
      <c r="FH253" s="122"/>
      <c r="FI253" s="122"/>
      <c r="FJ253" s="122"/>
      <c r="FK253" s="122"/>
      <c r="FL253" s="122"/>
      <c r="FM253" s="122"/>
      <c r="FN253" s="122"/>
      <c r="FO253" s="122"/>
      <c r="FP253" s="122"/>
      <c r="FQ253" s="122"/>
      <c r="FR253" s="122"/>
      <c r="FS253" s="122"/>
      <c r="FT253" s="122"/>
      <c r="FU253" s="122"/>
      <c r="FV253" s="122"/>
      <c r="FW253" s="122"/>
      <c r="FX253" s="122"/>
      <c r="FY253" s="122"/>
      <c r="FZ253" s="122"/>
      <c r="GA253" s="122"/>
      <c r="GB253" s="122"/>
      <c r="GC253" s="122"/>
      <c r="GD253" s="122"/>
      <c r="GE253" s="122"/>
      <c r="GF253" s="122"/>
      <c r="GG253" s="122"/>
      <c r="GH253" s="122"/>
      <c r="GI253" s="122"/>
    </row>
    <row r="254" spans="1:191" s="13" customFormat="1" ht="20.25" customHeight="1">
      <c r="A254" s="117"/>
      <c r="B254" s="124"/>
      <c r="C254" s="120"/>
      <c r="D254" s="121"/>
      <c r="E254" s="103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122"/>
      <c r="AQ254" s="122"/>
      <c r="AR254" s="122"/>
      <c r="AS254" s="122"/>
      <c r="AT254" s="122"/>
      <c r="AU254" s="122"/>
      <c r="AV254" s="122"/>
      <c r="AW254" s="122"/>
      <c r="AX254" s="122"/>
      <c r="AY254" s="122"/>
      <c r="AZ254" s="122"/>
      <c r="BA254" s="122"/>
      <c r="BB254" s="122"/>
      <c r="BC254" s="122"/>
      <c r="BD254" s="122"/>
      <c r="BE254" s="122"/>
      <c r="BF254" s="122"/>
      <c r="BG254" s="122"/>
      <c r="BH254" s="122"/>
      <c r="BI254" s="122"/>
      <c r="BJ254" s="122"/>
      <c r="BK254" s="122"/>
      <c r="BL254" s="122"/>
      <c r="BM254" s="122"/>
      <c r="BN254" s="122"/>
      <c r="BO254" s="122"/>
      <c r="BP254" s="123"/>
      <c r="BQ254" s="123"/>
      <c r="BR254" s="123"/>
      <c r="BS254" s="123"/>
      <c r="BT254" s="122"/>
      <c r="BU254" s="122"/>
      <c r="BV254" s="122"/>
      <c r="BW254" s="122"/>
      <c r="BX254" s="122"/>
      <c r="BY254" s="122"/>
      <c r="BZ254" s="122"/>
      <c r="CA254" s="122"/>
      <c r="CB254" s="122"/>
      <c r="CC254" s="122"/>
      <c r="CD254" s="122"/>
      <c r="CE254" s="122"/>
      <c r="CF254" s="122"/>
      <c r="CG254" s="122"/>
      <c r="CH254" s="122"/>
      <c r="CI254" s="122"/>
      <c r="CJ254" s="122"/>
      <c r="CK254" s="122"/>
      <c r="CL254" s="122"/>
      <c r="CM254" s="122"/>
      <c r="CN254" s="122"/>
      <c r="CO254" s="122"/>
      <c r="CP254" s="122"/>
      <c r="CQ254" s="122"/>
      <c r="CR254" s="122"/>
      <c r="CS254" s="122"/>
      <c r="CT254" s="122"/>
      <c r="CU254" s="122"/>
      <c r="CV254" s="122"/>
      <c r="CW254" s="122"/>
      <c r="CX254" s="122"/>
      <c r="CY254" s="122"/>
      <c r="CZ254" s="122"/>
      <c r="DA254" s="122"/>
      <c r="DB254" s="122"/>
      <c r="DC254" s="122"/>
      <c r="DD254" s="122"/>
      <c r="DE254" s="122"/>
      <c r="DF254" s="122"/>
      <c r="DG254" s="122"/>
      <c r="DH254" s="122"/>
      <c r="DI254" s="122"/>
      <c r="DJ254" s="122"/>
      <c r="DK254" s="122"/>
      <c r="DL254" s="122"/>
      <c r="DM254" s="122"/>
      <c r="DN254" s="122"/>
      <c r="DO254" s="122"/>
      <c r="DP254" s="122"/>
      <c r="DQ254" s="122"/>
      <c r="DR254" s="122"/>
      <c r="DS254" s="122"/>
      <c r="DT254" s="122"/>
      <c r="DU254" s="122"/>
      <c r="DV254" s="122"/>
      <c r="DW254" s="122"/>
      <c r="DX254" s="122"/>
      <c r="DY254" s="122"/>
      <c r="DZ254" s="122"/>
      <c r="EA254" s="122"/>
      <c r="EB254" s="122"/>
      <c r="EC254" s="122"/>
      <c r="ED254" s="122"/>
      <c r="EE254" s="122"/>
      <c r="EF254" s="122"/>
      <c r="EG254" s="122"/>
      <c r="EH254" s="122"/>
      <c r="EI254" s="122"/>
      <c r="EJ254" s="122"/>
      <c r="EK254" s="122"/>
      <c r="EL254" s="122"/>
      <c r="EM254" s="122"/>
      <c r="EN254" s="122"/>
      <c r="EO254" s="122"/>
      <c r="EP254" s="122"/>
      <c r="EQ254" s="122"/>
      <c r="ER254" s="122"/>
      <c r="ES254" s="122"/>
      <c r="ET254" s="122"/>
      <c r="EU254" s="122"/>
      <c r="EV254" s="122"/>
      <c r="EW254" s="122"/>
      <c r="EX254" s="122"/>
      <c r="EY254" s="122"/>
      <c r="EZ254" s="122"/>
      <c r="FA254" s="122"/>
      <c r="FB254" s="122"/>
      <c r="FC254" s="122"/>
      <c r="FD254" s="122"/>
      <c r="FE254" s="122"/>
      <c r="FF254" s="122"/>
      <c r="FG254" s="122"/>
      <c r="FH254" s="122"/>
      <c r="FI254" s="122"/>
      <c r="FJ254" s="122"/>
      <c r="FK254" s="122"/>
      <c r="FL254" s="122"/>
      <c r="FM254" s="122"/>
      <c r="FN254" s="122"/>
      <c r="FO254" s="122"/>
      <c r="FP254" s="122"/>
      <c r="FQ254" s="122"/>
      <c r="FR254" s="122"/>
      <c r="FS254" s="122"/>
      <c r="FT254" s="122"/>
      <c r="FU254" s="122"/>
      <c r="FV254" s="122"/>
      <c r="FW254" s="122"/>
      <c r="FX254" s="122"/>
      <c r="FY254" s="122"/>
      <c r="FZ254" s="122"/>
      <c r="GA254" s="122"/>
      <c r="GB254" s="122"/>
      <c r="GC254" s="122"/>
      <c r="GD254" s="122"/>
      <c r="GE254" s="122"/>
      <c r="GF254" s="122"/>
      <c r="GG254" s="122"/>
      <c r="GH254" s="122"/>
      <c r="GI254" s="122"/>
    </row>
    <row r="255" spans="1:191" s="13" customFormat="1" ht="20.25" customHeight="1">
      <c r="A255" s="117">
        <v>124</v>
      </c>
      <c r="B255" s="124"/>
      <c r="C255" s="120"/>
      <c r="D255" s="102">
        <f t="shared" ref="D255" si="126">IFERROR(SUMPRODUCT(F255:HE255,$F$6:$HE$6)/100,0)</f>
        <v>0</v>
      </c>
      <c r="E255" s="103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122"/>
      <c r="AQ255" s="122"/>
      <c r="AR255" s="122"/>
      <c r="AS255" s="122"/>
      <c r="AT255" s="122"/>
      <c r="AU255" s="122"/>
      <c r="AV255" s="122"/>
      <c r="AW255" s="122"/>
      <c r="AX255" s="122"/>
      <c r="AY255" s="122"/>
      <c r="AZ255" s="122"/>
      <c r="BA255" s="122"/>
      <c r="BB255" s="122"/>
      <c r="BC255" s="122"/>
      <c r="BD255" s="122"/>
      <c r="BE255" s="122"/>
      <c r="BF255" s="122"/>
      <c r="BG255" s="122"/>
      <c r="BH255" s="122"/>
      <c r="BI255" s="122"/>
      <c r="BJ255" s="122"/>
      <c r="BK255" s="122"/>
      <c r="BL255" s="122"/>
      <c r="BM255" s="122"/>
      <c r="BN255" s="122"/>
      <c r="BO255" s="122"/>
      <c r="BP255" s="123"/>
      <c r="BQ255" s="123"/>
      <c r="BR255" s="123"/>
      <c r="BS255" s="123"/>
      <c r="BT255" s="122"/>
      <c r="BU255" s="122"/>
      <c r="BV255" s="122"/>
      <c r="BW255" s="122"/>
      <c r="BX255" s="122"/>
      <c r="BY255" s="122"/>
      <c r="BZ255" s="122"/>
      <c r="CA255" s="122"/>
      <c r="CB255" s="122"/>
      <c r="CC255" s="122"/>
      <c r="CD255" s="122"/>
      <c r="CE255" s="122"/>
      <c r="CF255" s="122"/>
      <c r="CG255" s="122"/>
      <c r="CH255" s="122"/>
      <c r="CI255" s="122"/>
      <c r="CJ255" s="122"/>
      <c r="CK255" s="122"/>
      <c r="CL255" s="122"/>
      <c r="CM255" s="122"/>
      <c r="CN255" s="122"/>
      <c r="CO255" s="122"/>
      <c r="CP255" s="122"/>
      <c r="CQ255" s="122"/>
      <c r="CR255" s="122"/>
      <c r="CS255" s="122"/>
      <c r="CT255" s="122"/>
      <c r="CU255" s="122"/>
      <c r="CV255" s="122"/>
      <c r="CW255" s="122"/>
      <c r="CX255" s="122"/>
      <c r="CY255" s="122"/>
      <c r="CZ255" s="122"/>
      <c r="DA255" s="122"/>
      <c r="DB255" s="122"/>
      <c r="DC255" s="122"/>
      <c r="DD255" s="122"/>
      <c r="DE255" s="122"/>
      <c r="DF255" s="122"/>
      <c r="DG255" s="122"/>
      <c r="DH255" s="122"/>
      <c r="DI255" s="122"/>
      <c r="DJ255" s="122"/>
      <c r="DK255" s="122"/>
      <c r="DL255" s="122"/>
      <c r="DM255" s="122"/>
      <c r="DN255" s="122"/>
      <c r="DO255" s="122"/>
      <c r="DP255" s="122"/>
      <c r="DQ255" s="122"/>
      <c r="DR255" s="122"/>
      <c r="DS255" s="122"/>
      <c r="DT255" s="122"/>
      <c r="DU255" s="122"/>
      <c r="DV255" s="122"/>
      <c r="DW255" s="122"/>
      <c r="DX255" s="122"/>
      <c r="DY255" s="122"/>
      <c r="DZ255" s="122"/>
      <c r="EA255" s="122"/>
      <c r="EB255" s="122"/>
      <c r="EC255" s="122"/>
      <c r="ED255" s="122"/>
      <c r="EE255" s="122"/>
      <c r="EF255" s="122"/>
      <c r="EG255" s="122"/>
      <c r="EH255" s="122"/>
      <c r="EI255" s="122"/>
      <c r="EJ255" s="122"/>
      <c r="EK255" s="122"/>
      <c r="EL255" s="122"/>
      <c r="EM255" s="122"/>
      <c r="EN255" s="122"/>
      <c r="EO255" s="122"/>
      <c r="EP255" s="122"/>
      <c r="EQ255" s="122"/>
      <c r="ER255" s="122"/>
      <c r="ES255" s="122"/>
      <c r="ET255" s="122"/>
      <c r="EU255" s="122"/>
      <c r="EV255" s="122"/>
      <c r="EW255" s="122"/>
      <c r="EX255" s="122"/>
      <c r="EY255" s="122"/>
      <c r="EZ255" s="122"/>
      <c r="FA255" s="122"/>
      <c r="FB255" s="122"/>
      <c r="FC255" s="122"/>
      <c r="FD255" s="122"/>
      <c r="FE255" s="122"/>
      <c r="FF255" s="122"/>
      <c r="FG255" s="122"/>
      <c r="FH255" s="122"/>
      <c r="FI255" s="122"/>
      <c r="FJ255" s="122"/>
      <c r="FK255" s="122"/>
      <c r="FL255" s="122"/>
      <c r="FM255" s="122"/>
      <c r="FN255" s="122"/>
      <c r="FO255" s="122"/>
      <c r="FP255" s="122"/>
      <c r="FQ255" s="122"/>
      <c r="FR255" s="122"/>
      <c r="FS255" s="122"/>
      <c r="FT255" s="122"/>
      <c r="FU255" s="122"/>
      <c r="FV255" s="122"/>
      <c r="FW255" s="122"/>
      <c r="FX255" s="122"/>
      <c r="FY255" s="122"/>
      <c r="FZ255" s="122"/>
      <c r="GA255" s="122"/>
      <c r="GB255" s="122"/>
      <c r="GC255" s="122"/>
      <c r="GD255" s="122"/>
      <c r="GE255" s="122"/>
      <c r="GF255" s="122"/>
      <c r="GG255" s="122"/>
      <c r="GH255" s="122"/>
      <c r="GI255" s="122"/>
    </row>
    <row r="256" spans="1:191" s="13" customFormat="1" ht="20.25" customHeight="1">
      <c r="A256" s="117"/>
      <c r="B256" s="124"/>
      <c r="C256" s="120"/>
      <c r="D256" s="121"/>
      <c r="E256" s="103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122"/>
      <c r="AQ256" s="122"/>
      <c r="AR256" s="122"/>
      <c r="AS256" s="122"/>
      <c r="AT256" s="122"/>
      <c r="AU256" s="122"/>
      <c r="AV256" s="122"/>
      <c r="AW256" s="122"/>
      <c r="AX256" s="122"/>
      <c r="AY256" s="122"/>
      <c r="AZ256" s="122"/>
      <c r="BA256" s="122"/>
      <c r="BB256" s="122"/>
      <c r="BC256" s="122"/>
      <c r="BD256" s="122"/>
      <c r="BE256" s="122"/>
      <c r="BF256" s="122"/>
      <c r="BG256" s="122"/>
      <c r="BH256" s="122"/>
      <c r="BI256" s="122"/>
      <c r="BJ256" s="122"/>
      <c r="BK256" s="122"/>
      <c r="BL256" s="122"/>
      <c r="BM256" s="122"/>
      <c r="BN256" s="122"/>
      <c r="BO256" s="122"/>
      <c r="BP256" s="123"/>
      <c r="BQ256" s="123"/>
      <c r="BR256" s="123"/>
      <c r="BS256" s="123"/>
      <c r="BT256" s="122"/>
      <c r="BU256" s="122"/>
      <c r="BV256" s="122"/>
      <c r="BW256" s="122"/>
      <c r="BX256" s="122"/>
      <c r="BY256" s="122"/>
      <c r="BZ256" s="122"/>
      <c r="CA256" s="122"/>
      <c r="CB256" s="122"/>
      <c r="CC256" s="122"/>
      <c r="CD256" s="122"/>
      <c r="CE256" s="122"/>
      <c r="CF256" s="122"/>
      <c r="CG256" s="122"/>
      <c r="CH256" s="122"/>
      <c r="CI256" s="122"/>
      <c r="CJ256" s="122"/>
      <c r="CK256" s="122"/>
      <c r="CL256" s="122"/>
      <c r="CM256" s="122"/>
      <c r="CN256" s="122"/>
      <c r="CO256" s="122"/>
      <c r="CP256" s="122"/>
      <c r="CQ256" s="122"/>
      <c r="CR256" s="122"/>
      <c r="CS256" s="122"/>
      <c r="CT256" s="122"/>
      <c r="CU256" s="122"/>
      <c r="CV256" s="122"/>
      <c r="CW256" s="122"/>
      <c r="CX256" s="122"/>
      <c r="CY256" s="122"/>
      <c r="CZ256" s="122"/>
      <c r="DA256" s="122"/>
      <c r="DB256" s="122"/>
      <c r="DC256" s="122"/>
      <c r="DD256" s="122"/>
      <c r="DE256" s="122"/>
      <c r="DF256" s="122"/>
      <c r="DG256" s="122"/>
      <c r="DH256" s="122"/>
      <c r="DI256" s="122"/>
      <c r="DJ256" s="122"/>
      <c r="DK256" s="122"/>
      <c r="DL256" s="122"/>
      <c r="DM256" s="122"/>
      <c r="DN256" s="122"/>
      <c r="DO256" s="122"/>
      <c r="DP256" s="122"/>
      <c r="DQ256" s="122"/>
      <c r="DR256" s="122"/>
      <c r="DS256" s="122"/>
      <c r="DT256" s="122"/>
      <c r="DU256" s="122"/>
      <c r="DV256" s="122"/>
      <c r="DW256" s="122"/>
      <c r="DX256" s="122"/>
      <c r="DY256" s="122"/>
      <c r="DZ256" s="122"/>
      <c r="EA256" s="122"/>
      <c r="EB256" s="122"/>
      <c r="EC256" s="122"/>
      <c r="ED256" s="122"/>
      <c r="EE256" s="122"/>
      <c r="EF256" s="122"/>
      <c r="EG256" s="122"/>
      <c r="EH256" s="122"/>
      <c r="EI256" s="122"/>
      <c r="EJ256" s="122"/>
      <c r="EK256" s="122"/>
      <c r="EL256" s="122"/>
      <c r="EM256" s="122"/>
      <c r="EN256" s="122"/>
      <c r="EO256" s="122"/>
      <c r="EP256" s="122"/>
      <c r="EQ256" s="122"/>
      <c r="ER256" s="122"/>
      <c r="ES256" s="122"/>
      <c r="ET256" s="122"/>
      <c r="EU256" s="122"/>
      <c r="EV256" s="122"/>
      <c r="EW256" s="122"/>
      <c r="EX256" s="122"/>
      <c r="EY256" s="122"/>
      <c r="EZ256" s="122"/>
      <c r="FA256" s="122"/>
      <c r="FB256" s="122"/>
      <c r="FC256" s="122"/>
      <c r="FD256" s="122"/>
      <c r="FE256" s="122"/>
      <c r="FF256" s="122"/>
      <c r="FG256" s="122"/>
      <c r="FH256" s="122"/>
      <c r="FI256" s="122"/>
      <c r="FJ256" s="122"/>
      <c r="FK256" s="122"/>
      <c r="FL256" s="122"/>
      <c r="FM256" s="122"/>
      <c r="FN256" s="122"/>
      <c r="FO256" s="122"/>
      <c r="FP256" s="122"/>
      <c r="FQ256" s="122"/>
      <c r="FR256" s="122"/>
      <c r="FS256" s="122"/>
      <c r="FT256" s="122"/>
      <c r="FU256" s="122"/>
      <c r="FV256" s="122"/>
      <c r="FW256" s="122"/>
      <c r="FX256" s="122"/>
      <c r="FY256" s="122"/>
      <c r="FZ256" s="122"/>
      <c r="GA256" s="122"/>
      <c r="GB256" s="122"/>
      <c r="GC256" s="122"/>
      <c r="GD256" s="122"/>
      <c r="GE256" s="122"/>
      <c r="GF256" s="122"/>
      <c r="GG256" s="122"/>
      <c r="GH256" s="122"/>
      <c r="GI256" s="122"/>
    </row>
    <row r="257" spans="1:191" s="13" customFormat="1" ht="20.25" customHeight="1">
      <c r="A257" s="117">
        <v>125</v>
      </c>
      <c r="B257" s="124"/>
      <c r="C257" s="120"/>
      <c r="D257" s="102">
        <f t="shared" ref="D257" si="127">IFERROR(SUMPRODUCT(F257:HE257,$F$6:$HE$6)/100,0)</f>
        <v>0</v>
      </c>
      <c r="E257" s="103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122"/>
      <c r="AQ257" s="122"/>
      <c r="AR257" s="122"/>
      <c r="AS257" s="122"/>
      <c r="AT257" s="122"/>
      <c r="AU257" s="122"/>
      <c r="AV257" s="122"/>
      <c r="AW257" s="122"/>
      <c r="AX257" s="122"/>
      <c r="AY257" s="122"/>
      <c r="AZ257" s="122"/>
      <c r="BA257" s="122"/>
      <c r="BB257" s="122"/>
      <c r="BC257" s="122"/>
      <c r="BD257" s="122"/>
      <c r="BE257" s="122"/>
      <c r="BF257" s="122"/>
      <c r="BG257" s="122"/>
      <c r="BH257" s="122"/>
      <c r="BI257" s="122"/>
      <c r="BJ257" s="122"/>
      <c r="BK257" s="122"/>
      <c r="BL257" s="122"/>
      <c r="BM257" s="122"/>
      <c r="BN257" s="122"/>
      <c r="BO257" s="122"/>
      <c r="BP257" s="123"/>
      <c r="BQ257" s="123"/>
      <c r="BR257" s="123"/>
      <c r="BS257" s="123"/>
      <c r="BT257" s="122"/>
      <c r="BU257" s="122"/>
      <c r="BV257" s="122"/>
      <c r="BW257" s="122"/>
      <c r="BX257" s="122"/>
      <c r="BY257" s="122"/>
      <c r="BZ257" s="122"/>
      <c r="CA257" s="122"/>
      <c r="CB257" s="122"/>
      <c r="CC257" s="122"/>
      <c r="CD257" s="122"/>
      <c r="CE257" s="122"/>
      <c r="CF257" s="122"/>
      <c r="CG257" s="122"/>
      <c r="CH257" s="122"/>
      <c r="CI257" s="122"/>
      <c r="CJ257" s="122"/>
      <c r="CK257" s="122"/>
      <c r="CL257" s="122"/>
      <c r="CM257" s="122"/>
      <c r="CN257" s="122"/>
      <c r="CO257" s="122"/>
      <c r="CP257" s="122"/>
      <c r="CQ257" s="122"/>
      <c r="CR257" s="122"/>
      <c r="CS257" s="122"/>
      <c r="CT257" s="122"/>
      <c r="CU257" s="122"/>
      <c r="CV257" s="122"/>
      <c r="CW257" s="122"/>
      <c r="CX257" s="122"/>
      <c r="CY257" s="122"/>
      <c r="CZ257" s="122"/>
      <c r="DA257" s="122"/>
      <c r="DB257" s="122"/>
      <c r="DC257" s="122"/>
      <c r="DD257" s="122"/>
      <c r="DE257" s="122"/>
      <c r="DF257" s="122"/>
      <c r="DG257" s="122"/>
      <c r="DH257" s="122"/>
      <c r="DI257" s="122"/>
      <c r="DJ257" s="122"/>
      <c r="DK257" s="122"/>
      <c r="DL257" s="122"/>
      <c r="DM257" s="122"/>
      <c r="DN257" s="122"/>
      <c r="DO257" s="122"/>
      <c r="DP257" s="122"/>
      <c r="DQ257" s="122"/>
      <c r="DR257" s="122"/>
      <c r="DS257" s="122"/>
      <c r="DT257" s="122"/>
      <c r="DU257" s="122"/>
      <c r="DV257" s="122"/>
      <c r="DW257" s="122"/>
      <c r="DX257" s="122"/>
      <c r="DY257" s="122"/>
      <c r="DZ257" s="122"/>
      <c r="EA257" s="122"/>
      <c r="EB257" s="122"/>
      <c r="EC257" s="122"/>
      <c r="ED257" s="122"/>
      <c r="EE257" s="122"/>
      <c r="EF257" s="122"/>
      <c r="EG257" s="122"/>
      <c r="EH257" s="122"/>
      <c r="EI257" s="122"/>
      <c r="EJ257" s="122"/>
      <c r="EK257" s="122"/>
      <c r="EL257" s="122"/>
      <c r="EM257" s="122"/>
      <c r="EN257" s="122"/>
      <c r="EO257" s="122"/>
      <c r="EP257" s="122"/>
      <c r="EQ257" s="122"/>
      <c r="ER257" s="122"/>
      <c r="ES257" s="122"/>
      <c r="ET257" s="122"/>
      <c r="EU257" s="122"/>
      <c r="EV257" s="122"/>
      <c r="EW257" s="122"/>
      <c r="EX257" s="122"/>
      <c r="EY257" s="122"/>
      <c r="EZ257" s="122"/>
      <c r="FA257" s="122"/>
      <c r="FB257" s="122"/>
      <c r="FC257" s="122"/>
      <c r="FD257" s="122"/>
      <c r="FE257" s="122"/>
      <c r="FF257" s="122"/>
      <c r="FG257" s="122"/>
      <c r="FH257" s="122"/>
      <c r="FI257" s="122"/>
      <c r="FJ257" s="122"/>
      <c r="FK257" s="122"/>
      <c r="FL257" s="122"/>
      <c r="FM257" s="122"/>
      <c r="FN257" s="122"/>
      <c r="FO257" s="122"/>
      <c r="FP257" s="122"/>
      <c r="FQ257" s="122"/>
      <c r="FR257" s="122"/>
      <c r="FS257" s="122"/>
      <c r="FT257" s="122"/>
      <c r="FU257" s="122"/>
      <c r="FV257" s="122"/>
      <c r="FW257" s="122"/>
      <c r="FX257" s="122"/>
      <c r="FY257" s="122"/>
      <c r="FZ257" s="122"/>
      <c r="GA257" s="122"/>
      <c r="GB257" s="122"/>
      <c r="GC257" s="122"/>
      <c r="GD257" s="122"/>
      <c r="GE257" s="122"/>
      <c r="GF257" s="122"/>
      <c r="GG257" s="122"/>
      <c r="GH257" s="122"/>
      <c r="GI257" s="122"/>
    </row>
    <row r="258" spans="1:191" s="13" customFormat="1" ht="20.25" customHeight="1">
      <c r="A258" s="117"/>
      <c r="B258" s="124"/>
      <c r="C258" s="120"/>
      <c r="D258" s="121"/>
      <c r="E258" s="103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122"/>
      <c r="AQ258" s="122"/>
      <c r="AR258" s="122"/>
      <c r="AS258" s="122"/>
      <c r="AT258" s="122"/>
      <c r="AU258" s="122"/>
      <c r="AV258" s="122"/>
      <c r="AW258" s="122"/>
      <c r="AX258" s="122"/>
      <c r="AY258" s="122"/>
      <c r="AZ258" s="122"/>
      <c r="BA258" s="122"/>
      <c r="BB258" s="122"/>
      <c r="BC258" s="122"/>
      <c r="BD258" s="122"/>
      <c r="BE258" s="122"/>
      <c r="BF258" s="122"/>
      <c r="BG258" s="122"/>
      <c r="BH258" s="122"/>
      <c r="BI258" s="122"/>
      <c r="BJ258" s="122"/>
      <c r="BK258" s="122"/>
      <c r="BL258" s="122"/>
      <c r="BM258" s="122"/>
      <c r="BN258" s="122"/>
      <c r="BO258" s="122"/>
      <c r="BP258" s="122"/>
      <c r="BQ258" s="123"/>
      <c r="BR258" s="123"/>
      <c r="BS258" s="123"/>
      <c r="BT258" s="122"/>
      <c r="BU258" s="122"/>
      <c r="BV258" s="122"/>
      <c r="BW258" s="122"/>
      <c r="BX258" s="122"/>
      <c r="BY258" s="122"/>
      <c r="BZ258" s="122"/>
      <c r="CA258" s="122"/>
      <c r="CB258" s="122"/>
      <c r="CC258" s="122"/>
      <c r="CD258" s="122"/>
      <c r="CE258" s="122"/>
      <c r="CF258" s="122"/>
      <c r="CG258" s="122"/>
      <c r="CH258" s="122"/>
      <c r="CI258" s="122"/>
      <c r="CJ258" s="122"/>
      <c r="CK258" s="122"/>
      <c r="CL258" s="122"/>
      <c r="CM258" s="122"/>
      <c r="CN258" s="122"/>
      <c r="CO258" s="122"/>
      <c r="CP258" s="122"/>
      <c r="CQ258" s="122"/>
      <c r="CR258" s="122"/>
      <c r="CS258" s="122"/>
      <c r="CT258" s="122"/>
      <c r="CU258" s="122"/>
      <c r="CV258" s="122"/>
      <c r="CW258" s="122"/>
      <c r="CX258" s="122"/>
      <c r="CY258" s="122"/>
      <c r="CZ258" s="122"/>
      <c r="DA258" s="122"/>
      <c r="DB258" s="122"/>
      <c r="DC258" s="122"/>
      <c r="DD258" s="122"/>
      <c r="DE258" s="122"/>
      <c r="DF258" s="122"/>
      <c r="DG258" s="122"/>
      <c r="DH258" s="122"/>
      <c r="DI258" s="122"/>
      <c r="DJ258" s="122"/>
      <c r="DK258" s="122"/>
      <c r="DL258" s="122"/>
      <c r="DM258" s="122"/>
      <c r="DN258" s="122"/>
      <c r="DO258" s="122"/>
      <c r="DP258" s="122"/>
      <c r="DQ258" s="122"/>
      <c r="DR258" s="122"/>
      <c r="DS258" s="122"/>
      <c r="DT258" s="122"/>
      <c r="DU258" s="122"/>
      <c r="DV258" s="122"/>
      <c r="DW258" s="122"/>
      <c r="DX258" s="122"/>
      <c r="DY258" s="122"/>
      <c r="DZ258" s="122"/>
      <c r="EA258" s="122"/>
      <c r="EB258" s="122"/>
      <c r="EC258" s="122"/>
      <c r="ED258" s="122"/>
      <c r="EE258" s="122"/>
      <c r="EF258" s="122"/>
      <c r="EG258" s="122"/>
      <c r="EH258" s="122"/>
      <c r="EI258" s="122"/>
      <c r="EJ258" s="122"/>
      <c r="EK258" s="122"/>
      <c r="EL258" s="122"/>
      <c r="EM258" s="122"/>
      <c r="EN258" s="122"/>
      <c r="EO258" s="122"/>
      <c r="EP258" s="122"/>
      <c r="EQ258" s="122"/>
      <c r="ER258" s="122"/>
      <c r="ES258" s="122"/>
      <c r="ET258" s="122"/>
      <c r="EU258" s="122"/>
      <c r="EV258" s="122"/>
      <c r="EW258" s="122"/>
      <c r="EX258" s="122"/>
      <c r="EY258" s="122"/>
      <c r="EZ258" s="122"/>
      <c r="FA258" s="122"/>
      <c r="FB258" s="122"/>
      <c r="FC258" s="122"/>
      <c r="FD258" s="122"/>
      <c r="FE258" s="122"/>
      <c r="FF258" s="122"/>
      <c r="FG258" s="122"/>
      <c r="FH258" s="122"/>
      <c r="FI258" s="122"/>
      <c r="FJ258" s="122"/>
      <c r="FK258" s="122"/>
      <c r="FL258" s="122"/>
      <c r="FM258" s="122"/>
      <c r="FN258" s="122"/>
      <c r="FO258" s="122"/>
      <c r="FP258" s="122"/>
      <c r="FQ258" s="122"/>
      <c r="FR258" s="122"/>
      <c r="FS258" s="122"/>
      <c r="FT258" s="122"/>
      <c r="FU258" s="122"/>
      <c r="FV258" s="122"/>
      <c r="FW258" s="122"/>
      <c r="FX258" s="122"/>
      <c r="FY258" s="122"/>
      <c r="FZ258" s="122"/>
      <c r="GA258" s="122"/>
      <c r="GB258" s="122"/>
      <c r="GC258" s="122"/>
      <c r="GD258" s="122"/>
      <c r="GE258" s="122"/>
      <c r="GF258" s="122"/>
      <c r="GG258" s="122"/>
      <c r="GH258" s="122"/>
      <c r="GI258" s="122"/>
    </row>
    <row r="259" spans="1:191" s="13" customFormat="1" ht="20.25" customHeight="1">
      <c r="A259" s="117">
        <v>126</v>
      </c>
      <c r="B259" s="124"/>
      <c r="C259" s="120"/>
      <c r="D259" s="102">
        <f t="shared" ref="D259" si="128">IFERROR(SUMPRODUCT(F259:HE259,$F$6:$HE$6)/100,0)</f>
        <v>0</v>
      </c>
      <c r="E259" s="103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122"/>
      <c r="AQ259" s="122"/>
      <c r="AR259" s="122"/>
      <c r="AS259" s="122"/>
      <c r="AT259" s="122"/>
      <c r="AU259" s="122"/>
      <c r="AV259" s="122"/>
      <c r="AW259" s="122"/>
      <c r="AX259" s="122"/>
      <c r="AY259" s="122"/>
      <c r="AZ259" s="122"/>
      <c r="BA259" s="122"/>
      <c r="BB259" s="122"/>
      <c r="BC259" s="122"/>
      <c r="BD259" s="122"/>
      <c r="BE259" s="122"/>
      <c r="BF259" s="122"/>
      <c r="BG259" s="122"/>
      <c r="BH259" s="122"/>
      <c r="BI259" s="122"/>
      <c r="BJ259" s="122"/>
      <c r="BK259" s="122"/>
      <c r="BL259" s="122"/>
      <c r="BM259" s="122"/>
      <c r="BN259" s="122"/>
      <c r="BO259" s="122"/>
      <c r="BP259" s="122"/>
      <c r="BQ259" s="123"/>
      <c r="BR259" s="123"/>
      <c r="BS259" s="123"/>
      <c r="BT259" s="122"/>
      <c r="BU259" s="122"/>
      <c r="BV259" s="122"/>
      <c r="BW259" s="122"/>
      <c r="BX259" s="122"/>
      <c r="BY259" s="122"/>
      <c r="BZ259" s="122"/>
      <c r="CA259" s="122"/>
      <c r="CB259" s="122"/>
      <c r="CC259" s="122"/>
      <c r="CD259" s="122"/>
      <c r="CE259" s="122"/>
      <c r="CF259" s="122"/>
      <c r="CG259" s="122"/>
      <c r="CH259" s="122"/>
      <c r="CI259" s="122"/>
      <c r="CJ259" s="122"/>
      <c r="CK259" s="122"/>
      <c r="CL259" s="122"/>
      <c r="CM259" s="122"/>
      <c r="CN259" s="122"/>
      <c r="CO259" s="122"/>
      <c r="CP259" s="122"/>
      <c r="CQ259" s="122"/>
      <c r="CR259" s="122"/>
      <c r="CS259" s="122"/>
      <c r="CT259" s="122"/>
      <c r="CU259" s="122"/>
      <c r="CV259" s="122"/>
      <c r="CW259" s="122"/>
      <c r="CX259" s="122"/>
      <c r="CY259" s="122"/>
      <c r="CZ259" s="122"/>
      <c r="DA259" s="122"/>
      <c r="DB259" s="122"/>
      <c r="DC259" s="122"/>
      <c r="DD259" s="122"/>
      <c r="DE259" s="122"/>
      <c r="DF259" s="122"/>
      <c r="DG259" s="122"/>
      <c r="DH259" s="122"/>
      <c r="DI259" s="122"/>
      <c r="DJ259" s="122"/>
      <c r="DK259" s="122"/>
      <c r="DL259" s="122"/>
      <c r="DM259" s="122"/>
      <c r="DN259" s="122"/>
      <c r="DO259" s="122"/>
      <c r="DP259" s="122"/>
      <c r="DQ259" s="122"/>
      <c r="DR259" s="122"/>
      <c r="DS259" s="122"/>
      <c r="DT259" s="122"/>
      <c r="DU259" s="122"/>
      <c r="DV259" s="122"/>
      <c r="DW259" s="122"/>
      <c r="DX259" s="122"/>
      <c r="DY259" s="122"/>
      <c r="DZ259" s="122"/>
      <c r="EA259" s="122"/>
      <c r="EB259" s="122"/>
      <c r="EC259" s="122"/>
      <c r="ED259" s="122"/>
      <c r="EE259" s="122"/>
      <c r="EF259" s="122"/>
      <c r="EG259" s="122"/>
      <c r="EH259" s="122"/>
      <c r="EI259" s="122"/>
      <c r="EJ259" s="122"/>
      <c r="EK259" s="122"/>
      <c r="EL259" s="122"/>
      <c r="EM259" s="122"/>
      <c r="EN259" s="122"/>
      <c r="EO259" s="122"/>
      <c r="EP259" s="122"/>
      <c r="EQ259" s="122"/>
      <c r="ER259" s="122"/>
      <c r="ES259" s="122"/>
      <c r="ET259" s="122"/>
      <c r="EU259" s="122"/>
      <c r="EV259" s="122"/>
      <c r="EW259" s="122"/>
      <c r="EX259" s="122"/>
      <c r="EY259" s="122"/>
      <c r="EZ259" s="122"/>
      <c r="FA259" s="122"/>
      <c r="FB259" s="122"/>
      <c r="FC259" s="122"/>
      <c r="FD259" s="122"/>
      <c r="FE259" s="122"/>
      <c r="FF259" s="122"/>
      <c r="FG259" s="122"/>
      <c r="FH259" s="122"/>
      <c r="FI259" s="122"/>
      <c r="FJ259" s="122"/>
      <c r="FK259" s="122"/>
      <c r="FL259" s="122"/>
      <c r="FM259" s="122"/>
      <c r="FN259" s="122"/>
      <c r="FO259" s="122"/>
      <c r="FP259" s="122"/>
      <c r="FQ259" s="122"/>
      <c r="FR259" s="122"/>
      <c r="FS259" s="122"/>
      <c r="FT259" s="122"/>
      <c r="FU259" s="122"/>
      <c r="FV259" s="122"/>
      <c r="FW259" s="122"/>
      <c r="FX259" s="122"/>
      <c r="FY259" s="122"/>
      <c r="FZ259" s="122"/>
      <c r="GA259" s="122"/>
      <c r="GB259" s="122"/>
      <c r="GC259" s="122"/>
      <c r="GD259" s="122"/>
      <c r="GE259" s="122"/>
      <c r="GF259" s="122"/>
      <c r="GG259" s="122"/>
      <c r="GH259" s="122"/>
      <c r="GI259" s="122"/>
    </row>
    <row r="260" spans="1:191" s="13" customFormat="1" ht="20.25" customHeight="1">
      <c r="A260" s="117"/>
      <c r="B260" s="124"/>
      <c r="C260" s="120"/>
      <c r="D260" s="121"/>
      <c r="E260" s="103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122"/>
      <c r="AQ260" s="122"/>
      <c r="AR260" s="122"/>
      <c r="AS260" s="122"/>
      <c r="AT260" s="122"/>
      <c r="AU260" s="122"/>
      <c r="AV260" s="122"/>
      <c r="AW260" s="122"/>
      <c r="AX260" s="122"/>
      <c r="AY260" s="122"/>
      <c r="AZ260" s="122"/>
      <c r="BA260" s="122"/>
      <c r="BB260" s="122"/>
      <c r="BC260" s="122"/>
      <c r="BD260" s="122"/>
      <c r="BE260" s="122"/>
      <c r="BF260" s="122"/>
      <c r="BG260" s="122"/>
      <c r="BH260" s="122"/>
      <c r="BI260" s="122"/>
      <c r="BJ260" s="122"/>
      <c r="BK260" s="122"/>
      <c r="BL260" s="122"/>
      <c r="BM260" s="122"/>
      <c r="BN260" s="122"/>
      <c r="BO260" s="122"/>
      <c r="BP260" s="122"/>
      <c r="BQ260" s="123"/>
      <c r="BR260" s="123"/>
      <c r="BS260" s="123"/>
      <c r="BT260" s="122"/>
      <c r="BU260" s="122"/>
      <c r="BV260" s="122"/>
      <c r="BW260" s="122"/>
      <c r="BX260" s="122"/>
      <c r="BY260" s="122"/>
      <c r="BZ260" s="122"/>
      <c r="CA260" s="122"/>
      <c r="CB260" s="122"/>
      <c r="CC260" s="122"/>
      <c r="CD260" s="122"/>
      <c r="CE260" s="122"/>
      <c r="CF260" s="122"/>
      <c r="CG260" s="122"/>
      <c r="CH260" s="122"/>
      <c r="CI260" s="122"/>
      <c r="CJ260" s="122"/>
      <c r="CK260" s="122"/>
      <c r="CL260" s="122"/>
      <c r="CM260" s="122"/>
      <c r="CN260" s="122"/>
      <c r="CO260" s="122"/>
      <c r="CP260" s="122"/>
      <c r="CQ260" s="122"/>
      <c r="CR260" s="122"/>
      <c r="CS260" s="122"/>
      <c r="CT260" s="122"/>
      <c r="CU260" s="122"/>
      <c r="CV260" s="122"/>
      <c r="CW260" s="122"/>
      <c r="CX260" s="122"/>
      <c r="CY260" s="122"/>
      <c r="CZ260" s="122"/>
      <c r="DA260" s="122"/>
      <c r="DB260" s="122"/>
      <c r="DC260" s="122"/>
      <c r="DD260" s="122"/>
      <c r="DE260" s="122"/>
      <c r="DF260" s="122"/>
      <c r="DG260" s="122"/>
      <c r="DH260" s="122"/>
      <c r="DI260" s="122"/>
      <c r="DJ260" s="122"/>
      <c r="DK260" s="122"/>
      <c r="DL260" s="122"/>
      <c r="DM260" s="122"/>
      <c r="DN260" s="122"/>
      <c r="DO260" s="122"/>
      <c r="DP260" s="122"/>
      <c r="DQ260" s="122"/>
      <c r="DR260" s="122"/>
      <c r="DS260" s="122"/>
      <c r="DT260" s="122"/>
      <c r="DU260" s="122"/>
      <c r="DV260" s="122"/>
      <c r="DW260" s="122"/>
      <c r="DX260" s="122"/>
      <c r="DY260" s="122"/>
      <c r="DZ260" s="122"/>
      <c r="EA260" s="122"/>
      <c r="EB260" s="122"/>
      <c r="EC260" s="122"/>
      <c r="ED260" s="122"/>
      <c r="EE260" s="122"/>
      <c r="EF260" s="122"/>
      <c r="EG260" s="122"/>
      <c r="EH260" s="122"/>
      <c r="EI260" s="122"/>
      <c r="EJ260" s="122"/>
      <c r="EK260" s="122"/>
      <c r="EL260" s="122"/>
      <c r="EM260" s="122"/>
      <c r="EN260" s="122"/>
      <c r="EO260" s="122"/>
      <c r="EP260" s="122"/>
      <c r="EQ260" s="122"/>
      <c r="ER260" s="122"/>
      <c r="ES260" s="122"/>
      <c r="ET260" s="122"/>
      <c r="EU260" s="122"/>
      <c r="EV260" s="122"/>
      <c r="EW260" s="122"/>
      <c r="EX260" s="122"/>
      <c r="EY260" s="122"/>
      <c r="EZ260" s="122"/>
      <c r="FA260" s="122"/>
      <c r="FB260" s="122"/>
      <c r="FC260" s="122"/>
      <c r="FD260" s="122"/>
      <c r="FE260" s="122"/>
      <c r="FF260" s="122"/>
      <c r="FG260" s="122"/>
      <c r="FH260" s="122"/>
      <c r="FI260" s="122"/>
      <c r="FJ260" s="122"/>
      <c r="FK260" s="122"/>
      <c r="FL260" s="122"/>
      <c r="FM260" s="122"/>
      <c r="FN260" s="122"/>
      <c r="FO260" s="122"/>
      <c r="FP260" s="122"/>
      <c r="FQ260" s="122"/>
      <c r="FR260" s="122"/>
      <c r="FS260" s="122"/>
      <c r="FT260" s="122"/>
      <c r="FU260" s="122"/>
      <c r="FV260" s="122"/>
      <c r="FW260" s="122"/>
      <c r="FX260" s="122"/>
      <c r="FY260" s="122"/>
      <c r="FZ260" s="122"/>
      <c r="GA260" s="122"/>
      <c r="GB260" s="122"/>
      <c r="GC260" s="122"/>
      <c r="GD260" s="122"/>
      <c r="GE260" s="122"/>
      <c r="GF260" s="122"/>
      <c r="GG260" s="122"/>
      <c r="GH260" s="122"/>
      <c r="GI260" s="122"/>
    </row>
    <row r="261" spans="1:191" s="13" customFormat="1" ht="20.25" customHeight="1">
      <c r="A261" s="117">
        <v>127</v>
      </c>
      <c r="B261" s="124"/>
      <c r="C261" s="120"/>
      <c r="D261" s="102">
        <f t="shared" ref="D261" si="129">IFERROR(SUMPRODUCT(F261:HE261,$F$6:$HE$6)/100,0)</f>
        <v>0</v>
      </c>
      <c r="E261" s="103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122"/>
      <c r="AQ261" s="122"/>
      <c r="AR261" s="122"/>
      <c r="AS261" s="122"/>
      <c r="AT261" s="122"/>
      <c r="AU261" s="122"/>
      <c r="AV261" s="122"/>
      <c r="AW261" s="122"/>
      <c r="AX261" s="122"/>
      <c r="AY261" s="122"/>
      <c r="AZ261" s="122"/>
      <c r="BA261" s="122"/>
      <c r="BB261" s="122"/>
      <c r="BC261" s="122"/>
      <c r="BD261" s="122"/>
      <c r="BE261" s="122"/>
      <c r="BF261" s="122"/>
      <c r="BG261" s="122"/>
      <c r="BH261" s="122"/>
      <c r="BI261" s="122"/>
      <c r="BJ261" s="122"/>
      <c r="BK261" s="122"/>
      <c r="BL261" s="122"/>
      <c r="BM261" s="122"/>
      <c r="BN261" s="122"/>
      <c r="BO261" s="122"/>
      <c r="BP261" s="122"/>
      <c r="BQ261" s="123"/>
      <c r="BR261" s="123"/>
      <c r="BS261" s="123"/>
      <c r="BT261" s="122"/>
      <c r="BU261" s="122"/>
      <c r="BV261" s="122"/>
      <c r="BW261" s="122"/>
      <c r="BX261" s="122"/>
      <c r="BY261" s="122"/>
      <c r="BZ261" s="122"/>
      <c r="CA261" s="122"/>
      <c r="CB261" s="122"/>
      <c r="CC261" s="122"/>
      <c r="CD261" s="122"/>
      <c r="CE261" s="122"/>
      <c r="CF261" s="122"/>
      <c r="CG261" s="122"/>
      <c r="CH261" s="122"/>
      <c r="CI261" s="122"/>
      <c r="CJ261" s="122"/>
      <c r="CK261" s="122"/>
      <c r="CL261" s="122"/>
      <c r="CM261" s="122"/>
      <c r="CN261" s="122"/>
      <c r="CO261" s="122"/>
      <c r="CP261" s="122"/>
      <c r="CQ261" s="122"/>
      <c r="CR261" s="122"/>
      <c r="CS261" s="122"/>
      <c r="CT261" s="122"/>
      <c r="CU261" s="122"/>
      <c r="CV261" s="122"/>
      <c r="CW261" s="122"/>
      <c r="CX261" s="122"/>
      <c r="CY261" s="122"/>
      <c r="CZ261" s="122"/>
      <c r="DA261" s="122"/>
      <c r="DB261" s="122"/>
      <c r="DC261" s="122"/>
      <c r="DD261" s="122"/>
      <c r="DE261" s="122"/>
      <c r="DF261" s="122"/>
      <c r="DG261" s="122"/>
      <c r="DH261" s="122"/>
      <c r="DI261" s="122"/>
      <c r="DJ261" s="122"/>
      <c r="DK261" s="122"/>
      <c r="DL261" s="122"/>
      <c r="DM261" s="122"/>
      <c r="DN261" s="122"/>
      <c r="DO261" s="122"/>
      <c r="DP261" s="122"/>
      <c r="DQ261" s="122"/>
      <c r="DR261" s="122"/>
      <c r="DS261" s="122"/>
      <c r="DT261" s="122"/>
      <c r="DU261" s="122"/>
      <c r="DV261" s="122"/>
      <c r="DW261" s="122"/>
      <c r="DX261" s="122"/>
      <c r="DY261" s="122"/>
      <c r="DZ261" s="122"/>
      <c r="EA261" s="122"/>
      <c r="EB261" s="122"/>
      <c r="EC261" s="122"/>
      <c r="ED261" s="122"/>
      <c r="EE261" s="122"/>
      <c r="EF261" s="122"/>
      <c r="EG261" s="122"/>
      <c r="EH261" s="122"/>
      <c r="EI261" s="122"/>
      <c r="EJ261" s="122"/>
      <c r="EK261" s="122"/>
      <c r="EL261" s="122"/>
      <c r="EM261" s="122"/>
      <c r="EN261" s="122"/>
      <c r="EO261" s="122"/>
      <c r="EP261" s="122"/>
      <c r="EQ261" s="122"/>
      <c r="ER261" s="122"/>
      <c r="ES261" s="122"/>
      <c r="ET261" s="122"/>
      <c r="EU261" s="122"/>
      <c r="EV261" s="122"/>
      <c r="EW261" s="122"/>
      <c r="EX261" s="122"/>
      <c r="EY261" s="122"/>
      <c r="EZ261" s="122"/>
      <c r="FA261" s="122"/>
      <c r="FB261" s="122"/>
      <c r="FC261" s="122"/>
      <c r="FD261" s="122"/>
      <c r="FE261" s="122"/>
      <c r="FF261" s="122"/>
      <c r="FG261" s="122"/>
      <c r="FH261" s="122"/>
      <c r="FI261" s="122"/>
      <c r="FJ261" s="122"/>
      <c r="FK261" s="122"/>
      <c r="FL261" s="122"/>
      <c r="FM261" s="122"/>
      <c r="FN261" s="122"/>
      <c r="FO261" s="122"/>
      <c r="FP261" s="122"/>
      <c r="FQ261" s="122"/>
      <c r="FR261" s="122"/>
      <c r="FS261" s="122"/>
      <c r="FT261" s="122"/>
      <c r="FU261" s="122"/>
      <c r="FV261" s="122"/>
      <c r="FW261" s="122"/>
      <c r="FX261" s="122"/>
      <c r="FY261" s="122"/>
      <c r="FZ261" s="122"/>
      <c r="GA261" s="122"/>
      <c r="GB261" s="122"/>
      <c r="GC261" s="122"/>
      <c r="GD261" s="122"/>
      <c r="GE261" s="122"/>
      <c r="GF261" s="122"/>
      <c r="GG261" s="122"/>
      <c r="GH261" s="122"/>
      <c r="GI261" s="122"/>
    </row>
    <row r="262" spans="1:191" s="13" customFormat="1" ht="20.25" customHeight="1">
      <c r="A262" s="117"/>
      <c r="B262" s="124"/>
      <c r="C262" s="120"/>
      <c r="D262" s="121"/>
      <c r="E262" s="103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122"/>
      <c r="AQ262" s="122"/>
      <c r="AR262" s="122"/>
      <c r="AS262" s="122"/>
      <c r="AT262" s="122"/>
      <c r="AU262" s="122"/>
      <c r="AV262" s="122"/>
      <c r="AW262" s="122"/>
      <c r="AX262" s="122"/>
      <c r="AY262" s="122"/>
      <c r="AZ262" s="122"/>
      <c r="BA262" s="122"/>
      <c r="BB262" s="122"/>
      <c r="BC262" s="122"/>
      <c r="BD262" s="122"/>
      <c r="BE262" s="122"/>
      <c r="BF262" s="122"/>
      <c r="BG262" s="122"/>
      <c r="BH262" s="122"/>
      <c r="BI262" s="122"/>
      <c r="BJ262" s="122"/>
      <c r="BK262" s="122"/>
      <c r="BL262" s="122"/>
      <c r="BM262" s="122"/>
      <c r="BN262" s="122"/>
      <c r="BO262" s="122"/>
      <c r="BP262" s="122"/>
      <c r="BQ262" s="123"/>
      <c r="BR262" s="123"/>
      <c r="BS262" s="123"/>
      <c r="BT262" s="122"/>
      <c r="BU262" s="122"/>
      <c r="BV262" s="122"/>
      <c r="BW262" s="122"/>
      <c r="BX262" s="122"/>
      <c r="BY262" s="122"/>
      <c r="BZ262" s="122"/>
      <c r="CA262" s="122"/>
      <c r="CB262" s="122"/>
      <c r="CC262" s="122"/>
      <c r="CD262" s="122"/>
      <c r="CE262" s="122"/>
      <c r="CF262" s="122"/>
      <c r="CG262" s="122"/>
      <c r="CH262" s="122"/>
      <c r="CI262" s="122"/>
      <c r="CJ262" s="122"/>
      <c r="CK262" s="122"/>
      <c r="CL262" s="122"/>
      <c r="CM262" s="122"/>
      <c r="CN262" s="122"/>
      <c r="CO262" s="122"/>
      <c r="CP262" s="122"/>
      <c r="CQ262" s="122"/>
      <c r="CR262" s="122"/>
      <c r="CS262" s="122"/>
      <c r="CT262" s="122"/>
      <c r="CU262" s="122"/>
      <c r="CV262" s="122"/>
      <c r="CW262" s="122"/>
      <c r="CX262" s="122"/>
      <c r="CY262" s="122"/>
      <c r="CZ262" s="122"/>
      <c r="DA262" s="122"/>
      <c r="DB262" s="122"/>
      <c r="DC262" s="122"/>
      <c r="DD262" s="122"/>
      <c r="DE262" s="122"/>
      <c r="DF262" s="122"/>
      <c r="DG262" s="122"/>
      <c r="DH262" s="122"/>
      <c r="DI262" s="122"/>
      <c r="DJ262" s="122"/>
      <c r="DK262" s="122"/>
      <c r="DL262" s="122"/>
      <c r="DM262" s="122"/>
      <c r="DN262" s="122"/>
      <c r="DO262" s="122"/>
      <c r="DP262" s="122"/>
      <c r="DQ262" s="122"/>
      <c r="DR262" s="122"/>
      <c r="DS262" s="122"/>
      <c r="DT262" s="122"/>
      <c r="DU262" s="122"/>
      <c r="DV262" s="122"/>
      <c r="DW262" s="122"/>
      <c r="DX262" s="122"/>
      <c r="DY262" s="122"/>
      <c r="DZ262" s="122"/>
      <c r="EA262" s="122"/>
      <c r="EB262" s="122"/>
      <c r="EC262" s="122"/>
      <c r="ED262" s="122"/>
      <c r="EE262" s="122"/>
      <c r="EF262" s="122"/>
      <c r="EG262" s="122"/>
      <c r="EH262" s="122"/>
      <c r="EI262" s="122"/>
      <c r="EJ262" s="122"/>
      <c r="EK262" s="122"/>
      <c r="EL262" s="122"/>
      <c r="EM262" s="122"/>
      <c r="EN262" s="122"/>
      <c r="EO262" s="122"/>
      <c r="EP262" s="122"/>
      <c r="EQ262" s="122"/>
      <c r="ER262" s="122"/>
      <c r="ES262" s="122"/>
      <c r="ET262" s="122"/>
      <c r="EU262" s="122"/>
      <c r="EV262" s="122"/>
      <c r="EW262" s="122"/>
      <c r="EX262" s="122"/>
      <c r="EY262" s="122"/>
      <c r="EZ262" s="122"/>
      <c r="FA262" s="122"/>
      <c r="FB262" s="122"/>
      <c r="FC262" s="122"/>
      <c r="FD262" s="122"/>
      <c r="FE262" s="122"/>
      <c r="FF262" s="122"/>
      <c r="FG262" s="122"/>
      <c r="FH262" s="122"/>
      <c r="FI262" s="122"/>
      <c r="FJ262" s="122"/>
      <c r="FK262" s="122"/>
      <c r="FL262" s="122"/>
      <c r="FM262" s="122"/>
      <c r="FN262" s="122"/>
      <c r="FO262" s="122"/>
      <c r="FP262" s="122"/>
      <c r="FQ262" s="122"/>
      <c r="FR262" s="122"/>
      <c r="FS262" s="122"/>
      <c r="FT262" s="122"/>
      <c r="FU262" s="122"/>
      <c r="FV262" s="122"/>
      <c r="FW262" s="122"/>
      <c r="FX262" s="122"/>
      <c r="FY262" s="122"/>
      <c r="FZ262" s="122"/>
      <c r="GA262" s="122"/>
      <c r="GB262" s="122"/>
      <c r="GC262" s="122"/>
      <c r="GD262" s="122"/>
      <c r="GE262" s="122"/>
      <c r="GF262" s="122"/>
      <c r="GG262" s="122"/>
      <c r="GH262" s="122"/>
      <c r="GI262" s="122"/>
    </row>
    <row r="263" spans="1:191" s="13" customFormat="1" ht="20.25" customHeight="1">
      <c r="A263" s="117">
        <v>128</v>
      </c>
      <c r="B263" s="124"/>
      <c r="C263" s="120"/>
      <c r="D263" s="102">
        <f t="shared" ref="D263" si="130">IFERROR(SUMPRODUCT(F263:HE263,$F$6:$HE$6)/100,0)</f>
        <v>0</v>
      </c>
      <c r="E263" s="103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122"/>
      <c r="AQ263" s="122"/>
      <c r="AR263" s="122"/>
      <c r="AS263" s="122"/>
      <c r="AT263" s="122"/>
      <c r="AU263" s="122"/>
      <c r="AV263" s="122"/>
      <c r="AW263" s="122"/>
      <c r="AX263" s="122"/>
      <c r="AY263" s="122"/>
      <c r="AZ263" s="122"/>
      <c r="BA263" s="122"/>
      <c r="BB263" s="122"/>
      <c r="BC263" s="122"/>
      <c r="BD263" s="122"/>
      <c r="BE263" s="122"/>
      <c r="BF263" s="122"/>
      <c r="BG263" s="122"/>
      <c r="BH263" s="122"/>
      <c r="BI263" s="122"/>
      <c r="BJ263" s="122"/>
      <c r="BK263" s="122"/>
      <c r="BL263" s="122"/>
      <c r="BM263" s="122"/>
      <c r="BN263" s="122"/>
      <c r="BO263" s="122"/>
      <c r="BP263" s="122"/>
      <c r="BQ263" s="123"/>
      <c r="BR263" s="123"/>
      <c r="BS263" s="123"/>
      <c r="BT263" s="122"/>
      <c r="BU263" s="122"/>
      <c r="BV263" s="122"/>
      <c r="BW263" s="122"/>
      <c r="BX263" s="122"/>
      <c r="BY263" s="122"/>
      <c r="BZ263" s="122"/>
      <c r="CA263" s="122"/>
      <c r="CB263" s="122"/>
      <c r="CC263" s="122"/>
      <c r="CD263" s="122"/>
      <c r="CE263" s="122"/>
      <c r="CF263" s="122"/>
      <c r="CG263" s="122"/>
      <c r="CH263" s="122"/>
      <c r="CI263" s="122"/>
      <c r="CJ263" s="122"/>
      <c r="CK263" s="122"/>
      <c r="CL263" s="122"/>
      <c r="CM263" s="122"/>
      <c r="CN263" s="122"/>
      <c r="CO263" s="122"/>
      <c r="CP263" s="122"/>
      <c r="CQ263" s="122"/>
      <c r="CR263" s="122"/>
      <c r="CS263" s="122"/>
      <c r="CT263" s="122"/>
      <c r="CU263" s="122"/>
      <c r="CV263" s="122"/>
      <c r="CW263" s="122"/>
      <c r="CX263" s="122"/>
      <c r="CY263" s="122"/>
      <c r="CZ263" s="122"/>
      <c r="DA263" s="122"/>
      <c r="DB263" s="122"/>
      <c r="DC263" s="122"/>
      <c r="DD263" s="122"/>
      <c r="DE263" s="122"/>
      <c r="DF263" s="122"/>
      <c r="DG263" s="122"/>
      <c r="DH263" s="122"/>
      <c r="DI263" s="122"/>
      <c r="DJ263" s="122"/>
      <c r="DK263" s="122"/>
      <c r="DL263" s="122"/>
      <c r="DM263" s="122"/>
      <c r="DN263" s="122"/>
      <c r="DO263" s="122"/>
      <c r="DP263" s="122"/>
      <c r="DQ263" s="122"/>
      <c r="DR263" s="122"/>
      <c r="DS263" s="122"/>
      <c r="DT263" s="122"/>
      <c r="DU263" s="122"/>
      <c r="DV263" s="122"/>
      <c r="DW263" s="122"/>
      <c r="DX263" s="122"/>
      <c r="DY263" s="122"/>
      <c r="DZ263" s="122"/>
      <c r="EA263" s="122"/>
      <c r="EB263" s="122"/>
      <c r="EC263" s="122"/>
      <c r="ED263" s="122"/>
      <c r="EE263" s="122"/>
      <c r="EF263" s="122"/>
      <c r="EG263" s="122"/>
      <c r="EH263" s="122"/>
      <c r="EI263" s="122"/>
      <c r="EJ263" s="122"/>
      <c r="EK263" s="122"/>
      <c r="EL263" s="122"/>
      <c r="EM263" s="122"/>
      <c r="EN263" s="122"/>
      <c r="EO263" s="122"/>
      <c r="EP263" s="122"/>
      <c r="EQ263" s="122"/>
      <c r="ER263" s="122"/>
      <c r="ES263" s="122"/>
      <c r="ET263" s="122"/>
      <c r="EU263" s="122"/>
      <c r="EV263" s="122"/>
      <c r="EW263" s="122"/>
      <c r="EX263" s="122"/>
      <c r="EY263" s="122"/>
      <c r="EZ263" s="122"/>
      <c r="FA263" s="122"/>
      <c r="FB263" s="122"/>
      <c r="FC263" s="122"/>
      <c r="FD263" s="122"/>
      <c r="FE263" s="122"/>
      <c r="FF263" s="122"/>
      <c r="FG263" s="122"/>
      <c r="FH263" s="122"/>
      <c r="FI263" s="122"/>
      <c r="FJ263" s="122"/>
      <c r="FK263" s="122"/>
      <c r="FL263" s="122"/>
      <c r="FM263" s="122"/>
      <c r="FN263" s="122"/>
      <c r="FO263" s="122"/>
      <c r="FP263" s="122"/>
      <c r="FQ263" s="122"/>
      <c r="FR263" s="122"/>
      <c r="FS263" s="122"/>
      <c r="FT263" s="122"/>
      <c r="FU263" s="122"/>
      <c r="FV263" s="122"/>
      <c r="FW263" s="122"/>
      <c r="FX263" s="122"/>
      <c r="FY263" s="122"/>
      <c r="FZ263" s="122"/>
      <c r="GA263" s="122"/>
      <c r="GB263" s="122"/>
      <c r="GC263" s="122"/>
      <c r="GD263" s="122"/>
      <c r="GE263" s="122"/>
      <c r="GF263" s="122"/>
      <c r="GG263" s="122"/>
      <c r="GH263" s="122"/>
      <c r="GI263" s="122"/>
    </row>
    <row r="264" spans="1:191" s="13" customFormat="1" ht="20.25" customHeight="1">
      <c r="A264" s="117"/>
      <c r="B264" s="124"/>
      <c r="C264" s="120"/>
      <c r="D264" s="121"/>
      <c r="E264" s="103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122"/>
      <c r="AQ264" s="122"/>
      <c r="AR264" s="122"/>
      <c r="AS264" s="122"/>
      <c r="AT264" s="122"/>
      <c r="AU264" s="122"/>
      <c r="AV264" s="122"/>
      <c r="AW264" s="122"/>
      <c r="AX264" s="122"/>
      <c r="AY264" s="122"/>
      <c r="AZ264" s="122"/>
      <c r="BA264" s="122"/>
      <c r="BB264" s="122"/>
      <c r="BC264" s="122"/>
      <c r="BD264" s="122"/>
      <c r="BE264" s="122"/>
      <c r="BF264" s="122"/>
      <c r="BG264" s="122"/>
      <c r="BH264" s="122"/>
      <c r="BI264" s="122"/>
      <c r="BJ264" s="122"/>
      <c r="BK264" s="122"/>
      <c r="BL264" s="122"/>
      <c r="BM264" s="122"/>
      <c r="BN264" s="122"/>
      <c r="BO264" s="122"/>
      <c r="BP264" s="122"/>
      <c r="BQ264" s="122"/>
      <c r="BR264" s="122"/>
      <c r="BS264" s="122"/>
      <c r="BT264" s="122"/>
      <c r="BU264" s="122"/>
      <c r="BV264" s="122"/>
      <c r="BW264" s="122"/>
      <c r="BX264" s="122"/>
      <c r="BY264" s="122"/>
      <c r="BZ264" s="122"/>
      <c r="CA264" s="122"/>
      <c r="CB264" s="122"/>
      <c r="CC264" s="122"/>
      <c r="CD264" s="122"/>
      <c r="CE264" s="122"/>
      <c r="CF264" s="122"/>
      <c r="CG264" s="122"/>
      <c r="CH264" s="122"/>
      <c r="CI264" s="122"/>
      <c r="CJ264" s="122"/>
      <c r="CK264" s="122"/>
      <c r="CL264" s="122"/>
      <c r="CM264" s="122"/>
      <c r="CN264" s="122"/>
      <c r="CO264" s="122"/>
      <c r="CP264" s="122"/>
      <c r="CQ264" s="122"/>
      <c r="CR264" s="122"/>
      <c r="CS264" s="122"/>
      <c r="CT264" s="122"/>
      <c r="CU264" s="122"/>
      <c r="CV264" s="122"/>
      <c r="CW264" s="122"/>
      <c r="CX264" s="122"/>
      <c r="CY264" s="122"/>
      <c r="CZ264" s="122"/>
      <c r="DA264" s="122"/>
      <c r="DB264" s="122"/>
      <c r="DC264" s="122"/>
      <c r="DD264" s="122"/>
      <c r="DE264" s="122"/>
      <c r="DF264" s="122"/>
      <c r="DG264" s="122"/>
      <c r="DH264" s="122"/>
      <c r="DI264" s="122"/>
      <c r="DJ264" s="122"/>
      <c r="DK264" s="122"/>
      <c r="DL264" s="122"/>
      <c r="DM264" s="122"/>
      <c r="DN264" s="122"/>
      <c r="DO264" s="122"/>
      <c r="DP264" s="122"/>
      <c r="DQ264" s="122"/>
      <c r="DR264" s="122"/>
      <c r="DS264" s="122"/>
      <c r="DT264" s="122"/>
      <c r="DU264" s="122"/>
      <c r="DV264" s="122"/>
      <c r="DW264" s="122"/>
      <c r="DX264" s="122"/>
      <c r="DY264" s="122"/>
      <c r="DZ264" s="122"/>
      <c r="EA264" s="122"/>
      <c r="EB264" s="122"/>
      <c r="EC264" s="122"/>
      <c r="ED264" s="122"/>
      <c r="EE264" s="122"/>
      <c r="EF264" s="122"/>
      <c r="EG264" s="122"/>
      <c r="EH264" s="122"/>
      <c r="EI264" s="122"/>
      <c r="EJ264" s="122"/>
      <c r="EK264" s="122"/>
      <c r="EL264" s="122"/>
      <c r="EM264" s="122"/>
      <c r="EN264" s="122"/>
      <c r="EO264" s="122"/>
      <c r="EP264" s="122"/>
      <c r="EQ264" s="122"/>
      <c r="ER264" s="122"/>
      <c r="ES264" s="122"/>
      <c r="ET264" s="122"/>
      <c r="EU264" s="122"/>
      <c r="EV264" s="122"/>
      <c r="EW264" s="122"/>
      <c r="EX264" s="122"/>
      <c r="EY264" s="122"/>
      <c r="EZ264" s="122"/>
      <c r="FA264" s="122"/>
      <c r="FB264" s="122"/>
      <c r="FC264" s="122"/>
      <c r="FD264" s="122"/>
      <c r="FE264" s="122"/>
      <c r="FF264" s="122"/>
      <c r="FG264" s="122"/>
      <c r="FH264" s="122"/>
      <c r="FI264" s="122"/>
      <c r="FJ264" s="122"/>
      <c r="FK264" s="122"/>
      <c r="FL264" s="122"/>
      <c r="FM264" s="122"/>
      <c r="FN264" s="122"/>
      <c r="FO264" s="122"/>
      <c r="FP264" s="122"/>
      <c r="FQ264" s="122"/>
      <c r="FR264" s="122"/>
      <c r="FS264" s="122"/>
      <c r="FT264" s="122"/>
      <c r="FU264" s="122"/>
      <c r="FV264" s="122"/>
      <c r="FW264" s="122"/>
      <c r="FX264" s="122"/>
      <c r="FY264" s="122"/>
      <c r="FZ264" s="122"/>
      <c r="GA264" s="122"/>
      <c r="GB264" s="122"/>
      <c r="GC264" s="122"/>
      <c r="GD264" s="122"/>
      <c r="GE264" s="122"/>
      <c r="GF264" s="122"/>
      <c r="GG264" s="122"/>
      <c r="GH264" s="122"/>
      <c r="GI264" s="122"/>
    </row>
    <row r="265" spans="1:191" s="13" customFormat="1" ht="20.25" customHeight="1">
      <c r="A265" s="117">
        <v>129</v>
      </c>
      <c r="B265" s="124"/>
      <c r="C265" s="120"/>
      <c r="D265" s="102">
        <f t="shared" ref="D265" si="131">IFERROR(SUMPRODUCT(F265:HE265,$F$6:$HE$6)/100,0)</f>
        <v>0</v>
      </c>
      <c r="E265" s="103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122"/>
      <c r="AQ265" s="122"/>
      <c r="AR265" s="122"/>
      <c r="AS265" s="122"/>
      <c r="AT265" s="122"/>
      <c r="AU265" s="122"/>
      <c r="AV265" s="122"/>
      <c r="AW265" s="122"/>
      <c r="AX265" s="122"/>
      <c r="AY265" s="122"/>
      <c r="AZ265" s="122"/>
      <c r="BA265" s="122"/>
      <c r="BB265" s="122"/>
      <c r="BC265" s="122"/>
      <c r="BD265" s="122"/>
      <c r="BE265" s="122"/>
      <c r="BF265" s="122"/>
      <c r="BG265" s="122"/>
      <c r="BH265" s="122"/>
      <c r="BI265" s="122"/>
      <c r="BJ265" s="122"/>
      <c r="BK265" s="122"/>
      <c r="BL265" s="122"/>
      <c r="BM265" s="122"/>
      <c r="BN265" s="122"/>
      <c r="BO265" s="122"/>
      <c r="BP265" s="122"/>
      <c r="BQ265" s="123"/>
      <c r="BR265" s="123"/>
      <c r="BS265" s="123"/>
      <c r="BT265" s="122"/>
      <c r="BU265" s="122"/>
      <c r="BV265" s="122"/>
      <c r="BW265" s="122"/>
      <c r="BX265" s="122"/>
      <c r="BY265" s="122"/>
      <c r="BZ265" s="122"/>
      <c r="CA265" s="122"/>
      <c r="CB265" s="122"/>
      <c r="CC265" s="122"/>
      <c r="CD265" s="122"/>
      <c r="CE265" s="122"/>
      <c r="CF265" s="122"/>
      <c r="CG265" s="122"/>
      <c r="CH265" s="122"/>
      <c r="CI265" s="122"/>
      <c r="CJ265" s="122"/>
      <c r="CK265" s="122"/>
      <c r="CL265" s="122"/>
      <c r="CM265" s="122"/>
      <c r="CN265" s="122"/>
      <c r="CO265" s="122"/>
      <c r="CP265" s="122"/>
      <c r="CQ265" s="122"/>
      <c r="CR265" s="122"/>
      <c r="CS265" s="122"/>
      <c r="CT265" s="122"/>
      <c r="CU265" s="122"/>
      <c r="CV265" s="122"/>
      <c r="CW265" s="122"/>
      <c r="CX265" s="122"/>
      <c r="CY265" s="122"/>
      <c r="CZ265" s="122"/>
      <c r="DA265" s="122"/>
      <c r="DB265" s="122"/>
      <c r="DC265" s="122"/>
      <c r="DD265" s="122"/>
      <c r="DE265" s="122"/>
      <c r="DF265" s="122"/>
      <c r="DG265" s="122"/>
      <c r="DH265" s="122"/>
      <c r="DI265" s="122"/>
      <c r="DJ265" s="122"/>
      <c r="DK265" s="122"/>
      <c r="DL265" s="122"/>
      <c r="DM265" s="122"/>
      <c r="DN265" s="122"/>
      <c r="DO265" s="122"/>
      <c r="DP265" s="122"/>
      <c r="DQ265" s="122"/>
      <c r="DR265" s="122"/>
      <c r="DS265" s="122"/>
      <c r="DT265" s="122"/>
      <c r="DU265" s="122"/>
      <c r="DV265" s="122"/>
      <c r="DW265" s="122"/>
      <c r="DX265" s="122"/>
      <c r="DY265" s="122"/>
      <c r="DZ265" s="122"/>
      <c r="EA265" s="122"/>
      <c r="EB265" s="122"/>
      <c r="EC265" s="122"/>
      <c r="ED265" s="122"/>
      <c r="EE265" s="122"/>
      <c r="EF265" s="122"/>
      <c r="EG265" s="122"/>
      <c r="EH265" s="122"/>
      <c r="EI265" s="122"/>
      <c r="EJ265" s="122"/>
      <c r="EK265" s="122"/>
      <c r="EL265" s="122"/>
      <c r="EM265" s="122"/>
      <c r="EN265" s="122"/>
      <c r="EO265" s="122"/>
      <c r="EP265" s="122"/>
      <c r="EQ265" s="122"/>
      <c r="ER265" s="122"/>
      <c r="ES265" s="122"/>
      <c r="ET265" s="122"/>
      <c r="EU265" s="122"/>
      <c r="EV265" s="122"/>
      <c r="EW265" s="122"/>
      <c r="EX265" s="122"/>
      <c r="EY265" s="122"/>
      <c r="EZ265" s="122"/>
      <c r="FA265" s="122"/>
      <c r="FB265" s="122"/>
      <c r="FC265" s="122"/>
      <c r="FD265" s="122"/>
      <c r="FE265" s="122"/>
      <c r="FF265" s="122"/>
      <c r="FG265" s="122"/>
      <c r="FH265" s="122"/>
      <c r="FI265" s="122"/>
      <c r="FJ265" s="122"/>
      <c r="FK265" s="122"/>
      <c r="FL265" s="122"/>
      <c r="FM265" s="122"/>
      <c r="FN265" s="122"/>
      <c r="FO265" s="122"/>
      <c r="FP265" s="122"/>
      <c r="FQ265" s="122"/>
      <c r="FR265" s="122"/>
      <c r="FS265" s="122"/>
      <c r="FT265" s="122"/>
      <c r="FU265" s="122"/>
      <c r="FV265" s="122"/>
      <c r="FW265" s="122"/>
      <c r="FX265" s="122"/>
      <c r="FY265" s="122"/>
      <c r="FZ265" s="122"/>
      <c r="GA265" s="122"/>
      <c r="GB265" s="122"/>
      <c r="GC265" s="122"/>
      <c r="GD265" s="122"/>
      <c r="GE265" s="122"/>
      <c r="GF265" s="122"/>
      <c r="GG265" s="122"/>
      <c r="GH265" s="122"/>
      <c r="GI265" s="122"/>
    </row>
    <row r="266" spans="1:191" s="13" customFormat="1" ht="20.25" customHeight="1">
      <c r="A266" s="117"/>
      <c r="B266" s="124"/>
      <c r="C266" s="120"/>
      <c r="D266" s="121"/>
      <c r="E266" s="103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122"/>
      <c r="AQ266" s="122"/>
      <c r="AR266" s="122"/>
      <c r="AS266" s="122"/>
      <c r="AT266" s="122"/>
      <c r="AU266" s="122"/>
      <c r="AV266" s="122"/>
      <c r="AW266" s="122"/>
      <c r="AX266" s="122"/>
      <c r="AY266" s="122"/>
      <c r="AZ266" s="122"/>
      <c r="BA266" s="122"/>
      <c r="BB266" s="122"/>
      <c r="BC266" s="122"/>
      <c r="BD266" s="122"/>
      <c r="BE266" s="122"/>
      <c r="BF266" s="122"/>
      <c r="BG266" s="122"/>
      <c r="BH266" s="122"/>
      <c r="BI266" s="122"/>
      <c r="BJ266" s="122"/>
      <c r="BK266" s="122"/>
      <c r="BL266" s="122"/>
      <c r="BM266" s="122"/>
      <c r="BN266" s="122"/>
      <c r="BO266" s="122"/>
      <c r="BP266" s="122"/>
      <c r="BQ266" s="123"/>
      <c r="BR266" s="123"/>
      <c r="BS266" s="123"/>
      <c r="BT266" s="122"/>
      <c r="BU266" s="122"/>
      <c r="BV266" s="122"/>
      <c r="BW266" s="122"/>
      <c r="BX266" s="122"/>
      <c r="BY266" s="122"/>
      <c r="BZ266" s="122"/>
      <c r="CA266" s="122"/>
      <c r="CB266" s="122"/>
      <c r="CC266" s="122"/>
      <c r="CD266" s="122"/>
      <c r="CE266" s="122"/>
      <c r="CF266" s="122"/>
      <c r="CG266" s="122"/>
      <c r="CH266" s="122"/>
      <c r="CI266" s="122"/>
      <c r="CJ266" s="122"/>
      <c r="CK266" s="122"/>
      <c r="CL266" s="122"/>
      <c r="CM266" s="122"/>
      <c r="CN266" s="122"/>
      <c r="CO266" s="122"/>
      <c r="CP266" s="122"/>
      <c r="CQ266" s="122"/>
      <c r="CR266" s="122"/>
      <c r="CS266" s="122"/>
      <c r="CT266" s="122"/>
      <c r="CU266" s="122"/>
      <c r="CV266" s="122"/>
      <c r="CW266" s="122"/>
      <c r="CX266" s="122"/>
      <c r="CY266" s="122"/>
      <c r="CZ266" s="122"/>
      <c r="DA266" s="122"/>
      <c r="DB266" s="122"/>
      <c r="DC266" s="122"/>
      <c r="DD266" s="122"/>
      <c r="DE266" s="122"/>
      <c r="DF266" s="122"/>
      <c r="DG266" s="122"/>
      <c r="DH266" s="122"/>
      <c r="DI266" s="122"/>
      <c r="DJ266" s="122"/>
      <c r="DK266" s="122"/>
      <c r="DL266" s="122"/>
      <c r="DM266" s="122"/>
      <c r="DN266" s="122"/>
      <c r="DO266" s="122"/>
      <c r="DP266" s="122"/>
      <c r="DQ266" s="122"/>
      <c r="DR266" s="122"/>
      <c r="DS266" s="122"/>
      <c r="DT266" s="122"/>
      <c r="DU266" s="122"/>
      <c r="DV266" s="122"/>
      <c r="DW266" s="122"/>
      <c r="DX266" s="122"/>
      <c r="DY266" s="122"/>
      <c r="DZ266" s="122"/>
      <c r="EA266" s="122"/>
      <c r="EB266" s="122"/>
      <c r="EC266" s="122"/>
      <c r="ED266" s="122"/>
      <c r="EE266" s="122"/>
      <c r="EF266" s="122"/>
      <c r="EG266" s="122"/>
      <c r="EH266" s="122"/>
      <c r="EI266" s="122"/>
      <c r="EJ266" s="122"/>
      <c r="EK266" s="122"/>
      <c r="EL266" s="122"/>
      <c r="EM266" s="122"/>
      <c r="EN266" s="122"/>
      <c r="EO266" s="122"/>
      <c r="EP266" s="122"/>
      <c r="EQ266" s="122"/>
      <c r="ER266" s="122"/>
      <c r="ES266" s="122"/>
      <c r="ET266" s="122"/>
      <c r="EU266" s="122"/>
      <c r="EV266" s="122"/>
      <c r="EW266" s="122"/>
      <c r="EX266" s="122"/>
      <c r="EY266" s="122"/>
      <c r="EZ266" s="122"/>
      <c r="FA266" s="122"/>
      <c r="FB266" s="122"/>
      <c r="FC266" s="122"/>
      <c r="FD266" s="122"/>
      <c r="FE266" s="122"/>
      <c r="FF266" s="122"/>
      <c r="FG266" s="122"/>
      <c r="FH266" s="122"/>
      <c r="FI266" s="122"/>
      <c r="FJ266" s="122"/>
      <c r="FK266" s="122"/>
      <c r="FL266" s="122"/>
      <c r="FM266" s="122"/>
      <c r="FN266" s="122"/>
      <c r="FO266" s="122"/>
      <c r="FP266" s="122"/>
      <c r="FQ266" s="122"/>
      <c r="FR266" s="122"/>
      <c r="FS266" s="122"/>
      <c r="FT266" s="122"/>
      <c r="FU266" s="122"/>
      <c r="FV266" s="122"/>
      <c r="FW266" s="122"/>
      <c r="FX266" s="122"/>
      <c r="FY266" s="122"/>
      <c r="FZ266" s="122"/>
      <c r="GA266" s="122"/>
      <c r="GB266" s="122"/>
      <c r="GC266" s="122"/>
      <c r="GD266" s="122"/>
      <c r="GE266" s="122"/>
      <c r="GF266" s="122"/>
      <c r="GG266" s="122"/>
      <c r="GH266" s="122"/>
      <c r="GI266" s="122"/>
    </row>
    <row r="267" spans="1:191" s="13" customFormat="1" ht="20.25" customHeight="1">
      <c r="A267" s="117">
        <v>130</v>
      </c>
      <c r="B267" s="124"/>
      <c r="C267" s="120"/>
      <c r="D267" s="102">
        <f t="shared" ref="D267" si="132">IFERROR(SUMPRODUCT(F267:HE267,$F$6:$HE$6)/100,0)</f>
        <v>0</v>
      </c>
      <c r="E267" s="103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122"/>
      <c r="AQ267" s="122"/>
      <c r="AR267" s="122"/>
      <c r="AS267" s="122"/>
      <c r="AT267" s="122"/>
      <c r="AU267" s="122"/>
      <c r="AV267" s="122"/>
      <c r="AW267" s="122"/>
      <c r="AX267" s="122"/>
      <c r="AY267" s="122"/>
      <c r="AZ267" s="122"/>
      <c r="BA267" s="122"/>
      <c r="BB267" s="122"/>
      <c r="BC267" s="122"/>
      <c r="BD267" s="122"/>
      <c r="BE267" s="122"/>
      <c r="BF267" s="122"/>
      <c r="BG267" s="122"/>
      <c r="BH267" s="122"/>
      <c r="BI267" s="122"/>
      <c r="BJ267" s="122"/>
      <c r="BK267" s="122"/>
      <c r="BL267" s="122"/>
      <c r="BM267" s="122"/>
      <c r="BN267" s="122"/>
      <c r="BO267" s="122"/>
      <c r="BP267" s="122"/>
      <c r="BQ267" s="123"/>
      <c r="BR267" s="123"/>
      <c r="BS267" s="123"/>
      <c r="BT267" s="122"/>
      <c r="BU267" s="122"/>
      <c r="BV267" s="122"/>
      <c r="BW267" s="122"/>
      <c r="BX267" s="122"/>
      <c r="BY267" s="122"/>
      <c r="BZ267" s="122"/>
      <c r="CA267" s="122"/>
      <c r="CB267" s="122"/>
      <c r="CC267" s="122"/>
      <c r="CD267" s="122"/>
      <c r="CE267" s="122"/>
      <c r="CF267" s="122"/>
      <c r="CG267" s="122"/>
      <c r="CH267" s="122"/>
      <c r="CI267" s="122"/>
      <c r="CJ267" s="122"/>
      <c r="CK267" s="122"/>
      <c r="CL267" s="122"/>
      <c r="CM267" s="122"/>
      <c r="CN267" s="122"/>
      <c r="CO267" s="122"/>
      <c r="CP267" s="122"/>
      <c r="CQ267" s="122"/>
      <c r="CR267" s="122"/>
      <c r="CS267" s="122"/>
      <c r="CT267" s="122"/>
      <c r="CU267" s="122"/>
      <c r="CV267" s="122"/>
      <c r="CW267" s="122"/>
      <c r="CX267" s="122"/>
      <c r="CY267" s="122"/>
      <c r="CZ267" s="122"/>
      <c r="DA267" s="122"/>
      <c r="DB267" s="122"/>
      <c r="DC267" s="122"/>
      <c r="DD267" s="122"/>
      <c r="DE267" s="122"/>
      <c r="DF267" s="122"/>
      <c r="DG267" s="122"/>
      <c r="DH267" s="122"/>
      <c r="DI267" s="122"/>
      <c r="DJ267" s="122"/>
      <c r="DK267" s="122"/>
      <c r="DL267" s="122"/>
      <c r="DM267" s="122"/>
      <c r="DN267" s="122"/>
      <c r="DO267" s="122"/>
      <c r="DP267" s="122"/>
      <c r="DQ267" s="122"/>
      <c r="DR267" s="122"/>
      <c r="DS267" s="122"/>
      <c r="DT267" s="122"/>
      <c r="DU267" s="122"/>
      <c r="DV267" s="122"/>
      <c r="DW267" s="122"/>
      <c r="DX267" s="122"/>
      <c r="DY267" s="122"/>
      <c r="DZ267" s="122"/>
      <c r="EA267" s="122"/>
      <c r="EB267" s="122"/>
      <c r="EC267" s="122"/>
      <c r="ED267" s="122"/>
      <c r="EE267" s="122"/>
      <c r="EF267" s="122"/>
      <c r="EG267" s="122"/>
      <c r="EH267" s="122"/>
      <c r="EI267" s="122"/>
      <c r="EJ267" s="122"/>
      <c r="EK267" s="122"/>
      <c r="EL267" s="122"/>
      <c r="EM267" s="122"/>
      <c r="EN267" s="122"/>
      <c r="EO267" s="122"/>
      <c r="EP267" s="122"/>
      <c r="EQ267" s="122"/>
      <c r="ER267" s="122"/>
      <c r="ES267" s="122"/>
      <c r="ET267" s="122"/>
      <c r="EU267" s="122"/>
      <c r="EV267" s="122"/>
      <c r="EW267" s="122"/>
      <c r="EX267" s="122"/>
      <c r="EY267" s="122"/>
      <c r="EZ267" s="122"/>
      <c r="FA267" s="122"/>
      <c r="FB267" s="122"/>
      <c r="FC267" s="122"/>
      <c r="FD267" s="122"/>
      <c r="FE267" s="122"/>
      <c r="FF267" s="122"/>
      <c r="FG267" s="122"/>
      <c r="FH267" s="122"/>
      <c r="FI267" s="122"/>
      <c r="FJ267" s="122"/>
      <c r="FK267" s="122"/>
      <c r="FL267" s="122"/>
      <c r="FM267" s="122"/>
      <c r="FN267" s="122"/>
      <c r="FO267" s="122"/>
      <c r="FP267" s="122"/>
      <c r="FQ267" s="122"/>
      <c r="FR267" s="122"/>
      <c r="FS267" s="122"/>
      <c r="FT267" s="122"/>
      <c r="FU267" s="122"/>
      <c r="FV267" s="122"/>
      <c r="FW267" s="122"/>
      <c r="FX267" s="122"/>
      <c r="FY267" s="122"/>
      <c r="FZ267" s="122"/>
      <c r="GA267" s="122"/>
      <c r="GB267" s="122"/>
      <c r="GC267" s="122"/>
      <c r="GD267" s="122"/>
      <c r="GE267" s="122"/>
      <c r="GF267" s="122"/>
      <c r="GG267" s="122"/>
      <c r="GH267" s="122"/>
      <c r="GI267" s="122"/>
    </row>
    <row r="268" spans="1:191" s="13" customFormat="1" ht="20.25" customHeight="1">
      <c r="A268" s="117"/>
      <c r="B268" s="124"/>
      <c r="C268" s="120"/>
      <c r="D268" s="121"/>
      <c r="E268" s="103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122"/>
      <c r="AQ268" s="122"/>
      <c r="AR268" s="122"/>
      <c r="AS268" s="122"/>
      <c r="AT268" s="122"/>
      <c r="AU268" s="122"/>
      <c r="AV268" s="122"/>
      <c r="AW268" s="122"/>
      <c r="AX268" s="122"/>
      <c r="AY268" s="122"/>
      <c r="AZ268" s="122"/>
      <c r="BA268" s="122"/>
      <c r="BB268" s="122"/>
      <c r="BC268" s="122"/>
      <c r="BD268" s="122"/>
      <c r="BE268" s="122"/>
      <c r="BF268" s="122"/>
      <c r="BG268" s="122"/>
      <c r="BH268" s="122"/>
      <c r="BI268" s="122"/>
      <c r="BJ268" s="122"/>
      <c r="BK268" s="122"/>
      <c r="BL268" s="122"/>
      <c r="BM268" s="122"/>
      <c r="BN268" s="122"/>
      <c r="BO268" s="122"/>
      <c r="BP268" s="122"/>
      <c r="BQ268" s="123"/>
      <c r="BR268" s="123"/>
      <c r="BS268" s="123"/>
      <c r="BT268" s="122"/>
      <c r="BU268" s="122"/>
      <c r="BV268" s="122"/>
      <c r="BW268" s="122"/>
      <c r="BX268" s="122"/>
      <c r="BY268" s="122"/>
      <c r="BZ268" s="122"/>
      <c r="CA268" s="122"/>
      <c r="CB268" s="122"/>
      <c r="CC268" s="122"/>
      <c r="CD268" s="122"/>
      <c r="CE268" s="122"/>
      <c r="CF268" s="122"/>
      <c r="CG268" s="122"/>
      <c r="CH268" s="122"/>
      <c r="CI268" s="122"/>
      <c r="CJ268" s="122"/>
      <c r="CK268" s="122"/>
      <c r="CL268" s="122"/>
      <c r="CM268" s="122"/>
      <c r="CN268" s="122"/>
      <c r="CO268" s="122"/>
      <c r="CP268" s="122"/>
      <c r="CQ268" s="122"/>
      <c r="CR268" s="122"/>
      <c r="CS268" s="122"/>
      <c r="CT268" s="122"/>
      <c r="CU268" s="122"/>
      <c r="CV268" s="122"/>
      <c r="CW268" s="122"/>
      <c r="CX268" s="122"/>
      <c r="CY268" s="122"/>
      <c r="CZ268" s="122"/>
      <c r="DA268" s="122"/>
      <c r="DB268" s="122"/>
      <c r="DC268" s="122"/>
      <c r="DD268" s="122"/>
      <c r="DE268" s="122"/>
      <c r="DF268" s="122"/>
      <c r="DG268" s="122"/>
      <c r="DH268" s="122"/>
      <c r="DI268" s="122"/>
      <c r="DJ268" s="122"/>
      <c r="DK268" s="122"/>
      <c r="DL268" s="122"/>
      <c r="DM268" s="122"/>
      <c r="DN268" s="122"/>
      <c r="DO268" s="122"/>
      <c r="DP268" s="122"/>
      <c r="DQ268" s="122"/>
      <c r="DR268" s="122"/>
      <c r="DS268" s="122"/>
      <c r="DT268" s="122"/>
      <c r="DU268" s="122"/>
      <c r="DV268" s="122"/>
      <c r="DW268" s="122"/>
      <c r="DX268" s="122"/>
      <c r="DY268" s="122"/>
      <c r="DZ268" s="122"/>
      <c r="EA268" s="122"/>
      <c r="EB268" s="122"/>
      <c r="EC268" s="122"/>
      <c r="ED268" s="122"/>
      <c r="EE268" s="122"/>
      <c r="EF268" s="122"/>
      <c r="EG268" s="122"/>
      <c r="EH268" s="122"/>
      <c r="EI268" s="122"/>
      <c r="EJ268" s="122"/>
      <c r="EK268" s="122"/>
      <c r="EL268" s="122"/>
      <c r="EM268" s="122"/>
      <c r="EN268" s="122"/>
      <c r="EO268" s="122"/>
      <c r="EP268" s="122"/>
      <c r="EQ268" s="122"/>
      <c r="ER268" s="122"/>
      <c r="ES268" s="122"/>
      <c r="ET268" s="122"/>
      <c r="EU268" s="122"/>
      <c r="EV268" s="122"/>
      <c r="EW268" s="122"/>
      <c r="EX268" s="122"/>
      <c r="EY268" s="122"/>
      <c r="EZ268" s="122"/>
      <c r="FA268" s="122"/>
      <c r="FB268" s="122"/>
      <c r="FC268" s="122"/>
      <c r="FD268" s="122"/>
      <c r="FE268" s="122"/>
      <c r="FF268" s="122"/>
      <c r="FG268" s="122"/>
      <c r="FH268" s="122"/>
      <c r="FI268" s="122"/>
      <c r="FJ268" s="122"/>
      <c r="FK268" s="122"/>
      <c r="FL268" s="122"/>
      <c r="FM268" s="122"/>
      <c r="FN268" s="122"/>
      <c r="FO268" s="122"/>
      <c r="FP268" s="122"/>
      <c r="FQ268" s="122"/>
      <c r="FR268" s="122"/>
      <c r="FS268" s="122"/>
      <c r="FT268" s="122"/>
      <c r="FU268" s="122"/>
      <c r="FV268" s="122"/>
      <c r="FW268" s="122"/>
      <c r="FX268" s="122"/>
      <c r="FY268" s="122"/>
      <c r="FZ268" s="122"/>
      <c r="GA268" s="122"/>
      <c r="GB268" s="122"/>
      <c r="GC268" s="122"/>
      <c r="GD268" s="122"/>
      <c r="GE268" s="122"/>
      <c r="GF268" s="122"/>
      <c r="GG268" s="122"/>
      <c r="GH268" s="122"/>
      <c r="GI268" s="122"/>
    </row>
    <row r="269" spans="1:191" s="13" customFormat="1" ht="20.25" customHeight="1">
      <c r="A269" s="117">
        <v>131</v>
      </c>
      <c r="B269" s="124"/>
      <c r="C269" s="120"/>
      <c r="D269" s="102">
        <f t="shared" ref="D269" si="133">IFERROR(SUMPRODUCT(F269:HE269,$F$6:$HE$6)/100,0)</f>
        <v>0</v>
      </c>
      <c r="E269" s="103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122"/>
      <c r="AQ269" s="122"/>
      <c r="AR269" s="122"/>
      <c r="AS269" s="122"/>
      <c r="AT269" s="122"/>
      <c r="AU269" s="122"/>
      <c r="AV269" s="122"/>
      <c r="AW269" s="122"/>
      <c r="AX269" s="122"/>
      <c r="AY269" s="122"/>
      <c r="AZ269" s="122"/>
      <c r="BA269" s="122"/>
      <c r="BB269" s="122"/>
      <c r="BC269" s="122"/>
      <c r="BD269" s="122"/>
      <c r="BE269" s="122"/>
      <c r="BF269" s="122"/>
      <c r="BG269" s="122"/>
      <c r="BH269" s="122"/>
      <c r="BI269" s="122"/>
      <c r="BJ269" s="122"/>
      <c r="BK269" s="122"/>
      <c r="BL269" s="122"/>
      <c r="BM269" s="122"/>
      <c r="BN269" s="122"/>
      <c r="BO269" s="122"/>
      <c r="BP269" s="122"/>
      <c r="BQ269" s="123"/>
      <c r="BR269" s="123"/>
      <c r="BS269" s="123"/>
      <c r="BT269" s="122"/>
      <c r="BU269" s="122"/>
      <c r="BV269" s="122"/>
      <c r="BW269" s="122"/>
      <c r="BX269" s="122"/>
      <c r="BY269" s="122"/>
      <c r="BZ269" s="122"/>
      <c r="CA269" s="122"/>
      <c r="CB269" s="122"/>
      <c r="CC269" s="122"/>
      <c r="CD269" s="122"/>
      <c r="CE269" s="122"/>
      <c r="CF269" s="122"/>
      <c r="CG269" s="122"/>
      <c r="CH269" s="122"/>
      <c r="CI269" s="122"/>
      <c r="CJ269" s="122"/>
      <c r="CK269" s="122"/>
      <c r="CL269" s="122"/>
      <c r="CM269" s="122"/>
      <c r="CN269" s="122"/>
      <c r="CO269" s="122"/>
      <c r="CP269" s="122"/>
      <c r="CQ269" s="122"/>
      <c r="CR269" s="122"/>
      <c r="CS269" s="122"/>
      <c r="CT269" s="122"/>
      <c r="CU269" s="122"/>
      <c r="CV269" s="122"/>
      <c r="CW269" s="122"/>
      <c r="CX269" s="122"/>
      <c r="CY269" s="122"/>
      <c r="CZ269" s="122"/>
      <c r="DA269" s="122"/>
      <c r="DB269" s="122"/>
      <c r="DC269" s="122"/>
      <c r="DD269" s="122"/>
      <c r="DE269" s="122"/>
      <c r="DF269" s="122"/>
      <c r="DG269" s="122"/>
      <c r="DH269" s="122"/>
      <c r="DI269" s="122"/>
      <c r="DJ269" s="122"/>
      <c r="DK269" s="122"/>
      <c r="DL269" s="122"/>
      <c r="DM269" s="122"/>
      <c r="DN269" s="122"/>
      <c r="DO269" s="122"/>
      <c r="DP269" s="122"/>
      <c r="DQ269" s="122"/>
      <c r="DR269" s="122"/>
      <c r="DS269" s="122"/>
      <c r="DT269" s="122"/>
      <c r="DU269" s="122"/>
      <c r="DV269" s="122"/>
      <c r="DW269" s="122"/>
      <c r="DX269" s="122"/>
      <c r="DY269" s="122"/>
      <c r="DZ269" s="122"/>
      <c r="EA269" s="122"/>
      <c r="EB269" s="122"/>
      <c r="EC269" s="122"/>
      <c r="ED269" s="122"/>
      <c r="EE269" s="122"/>
      <c r="EF269" s="122"/>
      <c r="EG269" s="122"/>
      <c r="EH269" s="122"/>
      <c r="EI269" s="122"/>
      <c r="EJ269" s="122"/>
      <c r="EK269" s="122"/>
      <c r="EL269" s="122"/>
      <c r="EM269" s="122"/>
      <c r="EN269" s="122"/>
      <c r="EO269" s="122"/>
      <c r="EP269" s="122"/>
      <c r="EQ269" s="122"/>
      <c r="ER269" s="122"/>
      <c r="ES269" s="122"/>
      <c r="ET269" s="122"/>
      <c r="EU269" s="122"/>
      <c r="EV269" s="122"/>
      <c r="EW269" s="122"/>
      <c r="EX269" s="122"/>
      <c r="EY269" s="122"/>
      <c r="EZ269" s="122"/>
      <c r="FA269" s="122"/>
      <c r="FB269" s="122"/>
      <c r="FC269" s="122"/>
      <c r="FD269" s="122"/>
      <c r="FE269" s="122"/>
      <c r="FF269" s="122"/>
      <c r="FG269" s="122"/>
      <c r="FH269" s="122"/>
      <c r="FI269" s="122"/>
      <c r="FJ269" s="122"/>
      <c r="FK269" s="122"/>
      <c r="FL269" s="122"/>
      <c r="FM269" s="122"/>
      <c r="FN269" s="122"/>
      <c r="FO269" s="122"/>
      <c r="FP269" s="122"/>
      <c r="FQ269" s="122"/>
      <c r="FR269" s="122"/>
      <c r="FS269" s="122"/>
      <c r="FT269" s="122"/>
      <c r="FU269" s="122"/>
      <c r="FV269" s="122"/>
      <c r="FW269" s="122"/>
      <c r="FX269" s="122"/>
      <c r="FY269" s="122"/>
      <c r="FZ269" s="122"/>
      <c r="GA269" s="122"/>
      <c r="GB269" s="122"/>
      <c r="GC269" s="122"/>
      <c r="GD269" s="122"/>
      <c r="GE269" s="122"/>
      <c r="GF269" s="122"/>
      <c r="GG269" s="122"/>
      <c r="GH269" s="122"/>
      <c r="GI269" s="122"/>
    </row>
    <row r="270" spans="1:191" s="13" customFormat="1" ht="20.25" customHeight="1">
      <c r="A270" s="117"/>
      <c r="B270" s="124"/>
      <c r="C270" s="120"/>
      <c r="D270" s="121"/>
      <c r="E270" s="103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122"/>
      <c r="AQ270" s="122"/>
      <c r="AR270" s="122"/>
      <c r="AS270" s="122"/>
      <c r="AT270" s="122"/>
      <c r="AU270" s="122"/>
      <c r="AV270" s="122"/>
      <c r="AW270" s="122"/>
      <c r="AX270" s="122"/>
      <c r="AY270" s="122"/>
      <c r="AZ270" s="122"/>
      <c r="BA270" s="122"/>
      <c r="BB270" s="122"/>
      <c r="BC270" s="122"/>
      <c r="BD270" s="122"/>
      <c r="BE270" s="122"/>
      <c r="BF270" s="122"/>
      <c r="BG270" s="122"/>
      <c r="BH270" s="122"/>
      <c r="BI270" s="122"/>
      <c r="BJ270" s="122"/>
      <c r="BK270" s="122"/>
      <c r="BL270" s="122"/>
      <c r="BM270" s="122"/>
      <c r="BN270" s="122"/>
      <c r="BO270" s="122"/>
      <c r="BP270" s="122"/>
      <c r="BQ270" s="123"/>
      <c r="BR270" s="123"/>
      <c r="BS270" s="123"/>
      <c r="BT270" s="122"/>
      <c r="BU270" s="122"/>
      <c r="BV270" s="122"/>
      <c r="BW270" s="122"/>
      <c r="BX270" s="122"/>
      <c r="BY270" s="122"/>
      <c r="BZ270" s="122"/>
      <c r="CA270" s="122"/>
      <c r="CB270" s="122"/>
      <c r="CC270" s="122"/>
      <c r="CD270" s="122"/>
      <c r="CE270" s="122"/>
      <c r="CF270" s="122"/>
      <c r="CG270" s="122"/>
      <c r="CH270" s="122"/>
      <c r="CI270" s="122"/>
      <c r="CJ270" s="122"/>
      <c r="CK270" s="122"/>
      <c r="CL270" s="122"/>
      <c r="CM270" s="122"/>
      <c r="CN270" s="122"/>
      <c r="CO270" s="122"/>
      <c r="CP270" s="122"/>
      <c r="CQ270" s="122"/>
      <c r="CR270" s="122"/>
      <c r="CS270" s="122"/>
      <c r="CT270" s="122"/>
      <c r="CU270" s="122"/>
      <c r="CV270" s="122"/>
      <c r="CW270" s="122"/>
      <c r="CX270" s="122"/>
      <c r="CY270" s="122"/>
      <c r="CZ270" s="122"/>
      <c r="DA270" s="122"/>
      <c r="DB270" s="122"/>
      <c r="DC270" s="122"/>
      <c r="DD270" s="122"/>
      <c r="DE270" s="122"/>
      <c r="DF270" s="122"/>
      <c r="DG270" s="122"/>
      <c r="DH270" s="122"/>
      <c r="DI270" s="122"/>
      <c r="DJ270" s="122"/>
      <c r="DK270" s="122"/>
      <c r="DL270" s="122"/>
      <c r="DM270" s="122"/>
      <c r="DN270" s="122"/>
      <c r="DO270" s="122"/>
      <c r="DP270" s="122"/>
      <c r="DQ270" s="122"/>
      <c r="DR270" s="122"/>
      <c r="DS270" s="122"/>
      <c r="DT270" s="122"/>
      <c r="DU270" s="122"/>
      <c r="DV270" s="122"/>
      <c r="DW270" s="122"/>
      <c r="DX270" s="122"/>
      <c r="DY270" s="122"/>
      <c r="DZ270" s="122"/>
      <c r="EA270" s="122"/>
      <c r="EB270" s="122"/>
      <c r="EC270" s="122"/>
      <c r="ED270" s="122"/>
      <c r="EE270" s="122"/>
      <c r="EF270" s="122"/>
      <c r="EG270" s="122"/>
      <c r="EH270" s="122"/>
      <c r="EI270" s="122"/>
      <c r="EJ270" s="122"/>
      <c r="EK270" s="122"/>
      <c r="EL270" s="122"/>
      <c r="EM270" s="122"/>
      <c r="EN270" s="122"/>
      <c r="EO270" s="122"/>
      <c r="EP270" s="122"/>
      <c r="EQ270" s="122"/>
      <c r="ER270" s="122"/>
      <c r="ES270" s="122"/>
      <c r="ET270" s="122"/>
      <c r="EU270" s="122"/>
      <c r="EV270" s="122"/>
      <c r="EW270" s="122"/>
      <c r="EX270" s="122"/>
      <c r="EY270" s="122"/>
      <c r="EZ270" s="122"/>
      <c r="FA270" s="122"/>
      <c r="FB270" s="122"/>
      <c r="FC270" s="122"/>
      <c r="FD270" s="122"/>
      <c r="FE270" s="122"/>
      <c r="FF270" s="122"/>
      <c r="FG270" s="122"/>
      <c r="FH270" s="122"/>
      <c r="FI270" s="122"/>
      <c r="FJ270" s="122"/>
      <c r="FK270" s="122"/>
      <c r="FL270" s="122"/>
      <c r="FM270" s="122"/>
      <c r="FN270" s="122"/>
      <c r="FO270" s="122"/>
      <c r="FP270" s="122"/>
      <c r="FQ270" s="122"/>
      <c r="FR270" s="122"/>
      <c r="FS270" s="122"/>
      <c r="FT270" s="122"/>
      <c r="FU270" s="122"/>
      <c r="FV270" s="122"/>
      <c r="FW270" s="122"/>
      <c r="FX270" s="122"/>
      <c r="FY270" s="122"/>
      <c r="FZ270" s="122"/>
      <c r="GA270" s="122"/>
      <c r="GB270" s="122"/>
      <c r="GC270" s="122"/>
      <c r="GD270" s="122"/>
      <c r="GE270" s="122"/>
      <c r="GF270" s="122"/>
      <c r="GG270" s="122"/>
      <c r="GH270" s="122"/>
      <c r="GI270" s="122"/>
    </row>
    <row r="271" spans="1:191" s="13" customFormat="1" ht="20.25" customHeight="1">
      <c r="A271" s="117">
        <v>132</v>
      </c>
      <c r="B271" s="124"/>
      <c r="C271" s="120"/>
      <c r="D271" s="102">
        <f t="shared" ref="D271" si="134">IFERROR(SUMPRODUCT(F271:HE271,$F$6:$HE$6)/100,0)</f>
        <v>0</v>
      </c>
      <c r="E271" s="103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122"/>
      <c r="AQ271" s="122"/>
      <c r="AR271" s="122"/>
      <c r="AS271" s="122"/>
      <c r="AT271" s="122"/>
      <c r="AU271" s="122"/>
      <c r="AV271" s="122"/>
      <c r="AW271" s="122"/>
      <c r="AX271" s="122"/>
      <c r="AY271" s="122"/>
      <c r="AZ271" s="122"/>
      <c r="BA271" s="122"/>
      <c r="BB271" s="122"/>
      <c r="BC271" s="122"/>
      <c r="BD271" s="122"/>
      <c r="BE271" s="122"/>
      <c r="BF271" s="122"/>
      <c r="BG271" s="122"/>
      <c r="BH271" s="122"/>
      <c r="BI271" s="122"/>
      <c r="BJ271" s="122"/>
      <c r="BK271" s="122"/>
      <c r="BL271" s="122"/>
      <c r="BM271" s="122"/>
      <c r="BN271" s="122"/>
      <c r="BO271" s="122"/>
      <c r="BP271" s="122"/>
      <c r="BQ271" s="123"/>
      <c r="BR271" s="123"/>
      <c r="BS271" s="123"/>
      <c r="BT271" s="122"/>
      <c r="BU271" s="122"/>
      <c r="BV271" s="122"/>
      <c r="BW271" s="122"/>
      <c r="BX271" s="122"/>
      <c r="BY271" s="122"/>
      <c r="BZ271" s="122"/>
      <c r="CA271" s="122"/>
      <c r="CB271" s="122"/>
      <c r="CC271" s="122"/>
      <c r="CD271" s="122"/>
      <c r="CE271" s="122"/>
      <c r="CF271" s="122"/>
      <c r="CG271" s="122"/>
      <c r="CH271" s="122"/>
      <c r="CI271" s="122"/>
      <c r="CJ271" s="122"/>
      <c r="CK271" s="122"/>
      <c r="CL271" s="122"/>
      <c r="CM271" s="122"/>
      <c r="CN271" s="122"/>
      <c r="CO271" s="122"/>
      <c r="CP271" s="122"/>
      <c r="CQ271" s="122"/>
      <c r="CR271" s="122"/>
      <c r="CS271" s="122"/>
      <c r="CT271" s="122"/>
      <c r="CU271" s="122"/>
      <c r="CV271" s="122"/>
      <c r="CW271" s="122"/>
      <c r="CX271" s="122"/>
      <c r="CY271" s="122"/>
      <c r="CZ271" s="122"/>
      <c r="DA271" s="122"/>
      <c r="DB271" s="122"/>
      <c r="DC271" s="122"/>
      <c r="DD271" s="122"/>
      <c r="DE271" s="122"/>
      <c r="DF271" s="122"/>
      <c r="DG271" s="122"/>
      <c r="DH271" s="122"/>
      <c r="DI271" s="122"/>
      <c r="DJ271" s="122"/>
      <c r="DK271" s="122"/>
      <c r="DL271" s="122"/>
      <c r="DM271" s="122"/>
      <c r="DN271" s="122"/>
      <c r="DO271" s="122"/>
      <c r="DP271" s="122"/>
      <c r="DQ271" s="122"/>
      <c r="DR271" s="122"/>
      <c r="DS271" s="122"/>
      <c r="DT271" s="122"/>
      <c r="DU271" s="122"/>
      <c r="DV271" s="122"/>
      <c r="DW271" s="122"/>
      <c r="DX271" s="122"/>
      <c r="DY271" s="122"/>
      <c r="DZ271" s="122"/>
      <c r="EA271" s="122"/>
      <c r="EB271" s="122"/>
      <c r="EC271" s="122"/>
      <c r="ED271" s="122"/>
      <c r="EE271" s="122"/>
      <c r="EF271" s="122"/>
      <c r="EG271" s="122"/>
      <c r="EH271" s="122"/>
      <c r="EI271" s="122"/>
      <c r="EJ271" s="122"/>
      <c r="EK271" s="122"/>
      <c r="EL271" s="122"/>
      <c r="EM271" s="122"/>
      <c r="EN271" s="122"/>
      <c r="EO271" s="122"/>
      <c r="EP271" s="122"/>
      <c r="EQ271" s="122"/>
      <c r="ER271" s="122"/>
      <c r="ES271" s="122"/>
      <c r="ET271" s="122"/>
      <c r="EU271" s="122"/>
      <c r="EV271" s="122"/>
      <c r="EW271" s="122"/>
      <c r="EX271" s="122"/>
      <c r="EY271" s="122"/>
      <c r="EZ271" s="122"/>
      <c r="FA271" s="122"/>
      <c r="FB271" s="122"/>
      <c r="FC271" s="122"/>
      <c r="FD271" s="122"/>
      <c r="FE271" s="122"/>
      <c r="FF271" s="122"/>
      <c r="FG271" s="122"/>
      <c r="FH271" s="122"/>
      <c r="FI271" s="122"/>
      <c r="FJ271" s="122"/>
      <c r="FK271" s="122"/>
      <c r="FL271" s="122"/>
      <c r="FM271" s="122"/>
      <c r="FN271" s="122"/>
      <c r="FO271" s="122"/>
      <c r="FP271" s="122"/>
      <c r="FQ271" s="122"/>
      <c r="FR271" s="122"/>
      <c r="FS271" s="122"/>
      <c r="FT271" s="122"/>
      <c r="FU271" s="122"/>
      <c r="FV271" s="122"/>
      <c r="FW271" s="122"/>
      <c r="FX271" s="122"/>
      <c r="FY271" s="122"/>
      <c r="FZ271" s="122"/>
      <c r="GA271" s="122"/>
      <c r="GB271" s="122"/>
      <c r="GC271" s="122"/>
      <c r="GD271" s="122"/>
      <c r="GE271" s="122"/>
      <c r="GF271" s="122"/>
      <c r="GG271" s="122"/>
      <c r="GH271" s="122"/>
      <c r="GI271" s="122"/>
    </row>
    <row r="272" spans="1:191" s="13" customFormat="1" ht="20.25" customHeight="1">
      <c r="A272" s="117"/>
      <c r="B272" s="124"/>
      <c r="C272" s="120"/>
      <c r="D272" s="121"/>
      <c r="E272" s="103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122"/>
      <c r="AQ272" s="122"/>
      <c r="AR272" s="122"/>
      <c r="AS272" s="122"/>
      <c r="AT272" s="122"/>
      <c r="AU272" s="122"/>
      <c r="AV272" s="122"/>
      <c r="AW272" s="122"/>
      <c r="AX272" s="122"/>
      <c r="AY272" s="122"/>
      <c r="AZ272" s="122"/>
      <c r="BA272" s="122"/>
      <c r="BB272" s="122"/>
      <c r="BC272" s="122"/>
      <c r="BD272" s="122"/>
      <c r="BE272" s="122"/>
      <c r="BF272" s="122"/>
      <c r="BG272" s="122"/>
      <c r="BH272" s="122"/>
      <c r="BI272" s="122"/>
      <c r="BJ272" s="122"/>
      <c r="BK272" s="122"/>
      <c r="BL272" s="122"/>
      <c r="BM272" s="122"/>
      <c r="BN272" s="122"/>
      <c r="BO272" s="122"/>
      <c r="BP272" s="122"/>
      <c r="BQ272" s="123"/>
      <c r="BR272" s="123"/>
      <c r="BS272" s="123"/>
      <c r="BT272" s="122"/>
      <c r="BU272" s="122"/>
      <c r="BV272" s="122"/>
      <c r="BW272" s="122"/>
      <c r="BX272" s="122"/>
      <c r="BY272" s="122"/>
      <c r="BZ272" s="122"/>
      <c r="CA272" s="122"/>
      <c r="CB272" s="122"/>
      <c r="CC272" s="122"/>
      <c r="CD272" s="122"/>
      <c r="CE272" s="122"/>
      <c r="CF272" s="122"/>
      <c r="CG272" s="122"/>
      <c r="CH272" s="122"/>
      <c r="CI272" s="122"/>
      <c r="CJ272" s="122"/>
      <c r="CK272" s="122"/>
      <c r="CL272" s="122"/>
      <c r="CM272" s="122"/>
      <c r="CN272" s="122"/>
      <c r="CO272" s="122"/>
      <c r="CP272" s="122"/>
      <c r="CQ272" s="122"/>
      <c r="CR272" s="122"/>
      <c r="CS272" s="122"/>
      <c r="CT272" s="122"/>
      <c r="CU272" s="122"/>
      <c r="CV272" s="122"/>
      <c r="CW272" s="122"/>
      <c r="CX272" s="122"/>
      <c r="CY272" s="122"/>
      <c r="CZ272" s="122"/>
      <c r="DA272" s="122"/>
      <c r="DB272" s="122"/>
      <c r="DC272" s="122"/>
      <c r="DD272" s="122"/>
      <c r="DE272" s="122"/>
      <c r="DF272" s="122"/>
      <c r="DG272" s="122"/>
      <c r="DH272" s="122"/>
      <c r="DI272" s="122"/>
      <c r="DJ272" s="122"/>
      <c r="DK272" s="122"/>
      <c r="DL272" s="122"/>
      <c r="DM272" s="122"/>
      <c r="DN272" s="122"/>
      <c r="DO272" s="122"/>
      <c r="DP272" s="122"/>
      <c r="DQ272" s="122"/>
      <c r="DR272" s="122"/>
      <c r="DS272" s="122"/>
      <c r="DT272" s="122"/>
      <c r="DU272" s="122"/>
      <c r="DV272" s="122"/>
      <c r="DW272" s="122"/>
      <c r="DX272" s="122"/>
      <c r="DY272" s="122"/>
      <c r="DZ272" s="122"/>
      <c r="EA272" s="122"/>
      <c r="EB272" s="122"/>
      <c r="EC272" s="122"/>
      <c r="ED272" s="122"/>
      <c r="EE272" s="122"/>
      <c r="EF272" s="122"/>
      <c r="EG272" s="122"/>
      <c r="EH272" s="122"/>
      <c r="EI272" s="122"/>
      <c r="EJ272" s="122"/>
      <c r="EK272" s="122"/>
      <c r="EL272" s="122"/>
      <c r="EM272" s="122"/>
      <c r="EN272" s="122"/>
      <c r="EO272" s="122"/>
      <c r="EP272" s="122"/>
      <c r="EQ272" s="122"/>
      <c r="ER272" s="122"/>
      <c r="ES272" s="122"/>
      <c r="ET272" s="122"/>
      <c r="EU272" s="122"/>
      <c r="EV272" s="122"/>
      <c r="EW272" s="122"/>
      <c r="EX272" s="122"/>
      <c r="EY272" s="122"/>
      <c r="EZ272" s="122"/>
      <c r="FA272" s="122"/>
      <c r="FB272" s="122"/>
      <c r="FC272" s="122"/>
      <c r="FD272" s="122"/>
      <c r="FE272" s="122"/>
      <c r="FF272" s="122"/>
      <c r="FG272" s="122"/>
      <c r="FH272" s="122"/>
      <c r="FI272" s="122"/>
      <c r="FJ272" s="122"/>
      <c r="FK272" s="122"/>
      <c r="FL272" s="122"/>
      <c r="FM272" s="122"/>
      <c r="FN272" s="122"/>
      <c r="FO272" s="122"/>
      <c r="FP272" s="122"/>
      <c r="FQ272" s="122"/>
      <c r="FR272" s="122"/>
      <c r="FS272" s="122"/>
      <c r="FT272" s="122"/>
      <c r="FU272" s="122"/>
      <c r="FV272" s="122"/>
      <c r="FW272" s="122"/>
      <c r="FX272" s="122"/>
      <c r="FY272" s="122"/>
      <c r="FZ272" s="122"/>
      <c r="GA272" s="122"/>
      <c r="GB272" s="122"/>
      <c r="GC272" s="122"/>
      <c r="GD272" s="122"/>
      <c r="GE272" s="122"/>
      <c r="GF272" s="122"/>
      <c r="GG272" s="122"/>
      <c r="GH272" s="122"/>
      <c r="GI272" s="122"/>
    </row>
    <row r="273" spans="1:191" s="13" customFormat="1" ht="20.25" customHeight="1">
      <c r="A273" s="117">
        <v>133</v>
      </c>
      <c r="B273" s="124"/>
      <c r="C273" s="120"/>
      <c r="D273" s="102">
        <f t="shared" ref="D273" si="135">IFERROR(SUMPRODUCT(F273:HE273,$F$6:$HE$6)/100,0)</f>
        <v>0</v>
      </c>
      <c r="E273" s="103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122"/>
      <c r="AQ273" s="122"/>
      <c r="AR273" s="122"/>
      <c r="AS273" s="122"/>
      <c r="AT273" s="122"/>
      <c r="AU273" s="122"/>
      <c r="AV273" s="122"/>
      <c r="AW273" s="122"/>
      <c r="AX273" s="122"/>
      <c r="AY273" s="122"/>
      <c r="AZ273" s="122"/>
      <c r="BA273" s="122"/>
      <c r="BB273" s="122"/>
      <c r="BC273" s="122"/>
      <c r="BD273" s="122"/>
      <c r="BE273" s="122"/>
      <c r="BF273" s="122"/>
      <c r="BG273" s="122"/>
      <c r="BH273" s="122"/>
      <c r="BI273" s="122"/>
      <c r="BJ273" s="122"/>
      <c r="BK273" s="122"/>
      <c r="BL273" s="122"/>
      <c r="BM273" s="122"/>
      <c r="BN273" s="122"/>
      <c r="BO273" s="122"/>
      <c r="BP273" s="122"/>
      <c r="BQ273" s="123"/>
      <c r="BR273" s="123"/>
      <c r="BS273" s="123"/>
      <c r="BT273" s="122"/>
      <c r="BU273" s="122"/>
      <c r="BV273" s="122"/>
      <c r="BW273" s="122"/>
      <c r="BX273" s="122"/>
      <c r="BY273" s="122"/>
      <c r="BZ273" s="122"/>
      <c r="CA273" s="122"/>
      <c r="CB273" s="122"/>
      <c r="CC273" s="122"/>
      <c r="CD273" s="122"/>
      <c r="CE273" s="122"/>
      <c r="CF273" s="122"/>
      <c r="CG273" s="122"/>
      <c r="CH273" s="122"/>
      <c r="CI273" s="122"/>
      <c r="CJ273" s="122"/>
      <c r="CK273" s="122"/>
      <c r="CL273" s="122"/>
      <c r="CM273" s="122"/>
      <c r="CN273" s="122"/>
      <c r="CO273" s="122"/>
      <c r="CP273" s="122"/>
      <c r="CQ273" s="122"/>
      <c r="CR273" s="122"/>
      <c r="CS273" s="122"/>
      <c r="CT273" s="122"/>
      <c r="CU273" s="122"/>
      <c r="CV273" s="122"/>
      <c r="CW273" s="122"/>
      <c r="CX273" s="122"/>
      <c r="CY273" s="122"/>
      <c r="CZ273" s="122"/>
      <c r="DA273" s="122"/>
      <c r="DB273" s="122"/>
      <c r="DC273" s="122"/>
      <c r="DD273" s="122"/>
      <c r="DE273" s="122"/>
      <c r="DF273" s="122"/>
      <c r="DG273" s="122"/>
      <c r="DH273" s="122"/>
      <c r="DI273" s="122"/>
      <c r="DJ273" s="122"/>
      <c r="DK273" s="122"/>
      <c r="DL273" s="122"/>
      <c r="DM273" s="122"/>
      <c r="DN273" s="122"/>
      <c r="DO273" s="122"/>
      <c r="DP273" s="122"/>
      <c r="DQ273" s="122"/>
      <c r="DR273" s="122"/>
      <c r="DS273" s="122"/>
      <c r="DT273" s="122"/>
      <c r="DU273" s="122"/>
      <c r="DV273" s="122"/>
      <c r="DW273" s="122"/>
      <c r="DX273" s="122"/>
      <c r="DY273" s="122"/>
      <c r="DZ273" s="122"/>
      <c r="EA273" s="122"/>
      <c r="EB273" s="122"/>
      <c r="EC273" s="122"/>
      <c r="ED273" s="122"/>
      <c r="EE273" s="122"/>
      <c r="EF273" s="122"/>
      <c r="EG273" s="122"/>
      <c r="EH273" s="122"/>
      <c r="EI273" s="122"/>
      <c r="EJ273" s="122"/>
      <c r="EK273" s="122"/>
      <c r="EL273" s="122"/>
      <c r="EM273" s="122"/>
      <c r="EN273" s="122"/>
      <c r="EO273" s="122"/>
      <c r="EP273" s="122"/>
      <c r="EQ273" s="122"/>
      <c r="ER273" s="122"/>
      <c r="ES273" s="122"/>
      <c r="ET273" s="122"/>
      <c r="EU273" s="122"/>
      <c r="EV273" s="122"/>
      <c r="EW273" s="122"/>
      <c r="EX273" s="122"/>
      <c r="EY273" s="122"/>
      <c r="EZ273" s="122"/>
      <c r="FA273" s="122"/>
      <c r="FB273" s="122"/>
      <c r="FC273" s="122"/>
      <c r="FD273" s="122"/>
      <c r="FE273" s="122"/>
      <c r="FF273" s="122"/>
      <c r="FG273" s="122"/>
      <c r="FH273" s="122"/>
      <c r="FI273" s="122"/>
      <c r="FJ273" s="122"/>
      <c r="FK273" s="122"/>
      <c r="FL273" s="122"/>
      <c r="FM273" s="122"/>
      <c r="FN273" s="122"/>
      <c r="FO273" s="122"/>
      <c r="FP273" s="122"/>
      <c r="FQ273" s="122"/>
      <c r="FR273" s="122"/>
      <c r="FS273" s="122"/>
      <c r="FT273" s="122"/>
      <c r="FU273" s="122"/>
      <c r="FV273" s="122"/>
      <c r="FW273" s="122"/>
      <c r="FX273" s="122"/>
      <c r="FY273" s="122"/>
      <c r="FZ273" s="122"/>
      <c r="GA273" s="122"/>
      <c r="GB273" s="122"/>
      <c r="GC273" s="122"/>
      <c r="GD273" s="122"/>
      <c r="GE273" s="122"/>
      <c r="GF273" s="122"/>
      <c r="GG273" s="122"/>
      <c r="GH273" s="122"/>
      <c r="GI273" s="122"/>
    </row>
    <row r="274" spans="1:191" s="13" customFormat="1" ht="20.25" customHeight="1">
      <c r="A274" s="117"/>
      <c r="B274" s="124"/>
      <c r="C274" s="120"/>
      <c r="D274" s="121"/>
      <c r="E274" s="103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122"/>
      <c r="AQ274" s="122"/>
      <c r="AR274" s="122"/>
      <c r="AS274" s="122"/>
      <c r="AT274" s="122"/>
      <c r="AU274" s="122"/>
      <c r="AV274" s="122"/>
      <c r="AW274" s="122"/>
      <c r="AX274" s="122"/>
      <c r="AY274" s="122"/>
      <c r="AZ274" s="122"/>
      <c r="BA274" s="122"/>
      <c r="BB274" s="122"/>
      <c r="BC274" s="122"/>
      <c r="BD274" s="122"/>
      <c r="BE274" s="122"/>
      <c r="BF274" s="122"/>
      <c r="BG274" s="122"/>
      <c r="BH274" s="122"/>
      <c r="BI274" s="122"/>
      <c r="BJ274" s="122"/>
      <c r="BK274" s="122"/>
      <c r="BL274" s="122"/>
      <c r="BM274" s="122"/>
      <c r="BN274" s="122"/>
      <c r="BO274" s="122"/>
      <c r="BP274" s="122"/>
      <c r="BQ274" s="123"/>
      <c r="BR274" s="123"/>
      <c r="BS274" s="123"/>
      <c r="BT274" s="122"/>
      <c r="BU274" s="122"/>
      <c r="BV274" s="122"/>
      <c r="BW274" s="122"/>
      <c r="BX274" s="122"/>
      <c r="BY274" s="122"/>
      <c r="BZ274" s="122"/>
      <c r="CA274" s="122"/>
      <c r="CB274" s="122"/>
      <c r="CC274" s="122"/>
      <c r="CD274" s="122"/>
      <c r="CE274" s="122"/>
      <c r="CF274" s="122"/>
      <c r="CG274" s="122"/>
      <c r="CH274" s="122"/>
      <c r="CI274" s="122"/>
      <c r="CJ274" s="122"/>
      <c r="CK274" s="122"/>
      <c r="CL274" s="122"/>
      <c r="CM274" s="122"/>
      <c r="CN274" s="122"/>
      <c r="CO274" s="122"/>
      <c r="CP274" s="122"/>
      <c r="CQ274" s="122"/>
      <c r="CR274" s="122"/>
      <c r="CS274" s="122"/>
      <c r="CT274" s="122"/>
      <c r="CU274" s="122"/>
      <c r="CV274" s="122"/>
      <c r="CW274" s="122"/>
      <c r="CX274" s="122"/>
      <c r="CY274" s="122"/>
      <c r="CZ274" s="122"/>
      <c r="DA274" s="122"/>
      <c r="DB274" s="122"/>
      <c r="DC274" s="122"/>
      <c r="DD274" s="122"/>
      <c r="DE274" s="122"/>
      <c r="DF274" s="122"/>
      <c r="DG274" s="122"/>
      <c r="DH274" s="122"/>
      <c r="DI274" s="122"/>
      <c r="DJ274" s="122"/>
      <c r="DK274" s="122"/>
      <c r="DL274" s="122"/>
      <c r="DM274" s="122"/>
      <c r="DN274" s="122"/>
      <c r="DO274" s="122"/>
      <c r="DP274" s="122"/>
      <c r="DQ274" s="122"/>
      <c r="DR274" s="122"/>
      <c r="DS274" s="122"/>
      <c r="DT274" s="122"/>
      <c r="DU274" s="122"/>
      <c r="DV274" s="122"/>
      <c r="DW274" s="122"/>
      <c r="DX274" s="122"/>
      <c r="DY274" s="122"/>
      <c r="DZ274" s="122"/>
      <c r="EA274" s="122"/>
      <c r="EB274" s="122"/>
      <c r="EC274" s="122"/>
      <c r="ED274" s="122"/>
      <c r="EE274" s="122"/>
      <c r="EF274" s="122"/>
      <c r="EG274" s="122"/>
      <c r="EH274" s="122"/>
      <c r="EI274" s="122"/>
      <c r="EJ274" s="122"/>
      <c r="EK274" s="122"/>
      <c r="EL274" s="122"/>
      <c r="EM274" s="122"/>
      <c r="EN274" s="122"/>
      <c r="EO274" s="122"/>
      <c r="EP274" s="122"/>
      <c r="EQ274" s="122"/>
      <c r="ER274" s="122"/>
      <c r="ES274" s="122"/>
      <c r="ET274" s="122"/>
      <c r="EU274" s="122"/>
      <c r="EV274" s="122"/>
      <c r="EW274" s="122"/>
      <c r="EX274" s="122"/>
      <c r="EY274" s="122"/>
      <c r="EZ274" s="122"/>
      <c r="FA274" s="122"/>
      <c r="FB274" s="122"/>
      <c r="FC274" s="122"/>
      <c r="FD274" s="122"/>
      <c r="FE274" s="122"/>
      <c r="FF274" s="122"/>
      <c r="FG274" s="122"/>
      <c r="FH274" s="122"/>
      <c r="FI274" s="122"/>
      <c r="FJ274" s="122"/>
      <c r="FK274" s="122"/>
      <c r="FL274" s="122"/>
      <c r="FM274" s="122"/>
      <c r="FN274" s="122"/>
      <c r="FO274" s="122"/>
      <c r="FP274" s="122"/>
      <c r="FQ274" s="122"/>
      <c r="FR274" s="122"/>
      <c r="FS274" s="122"/>
      <c r="FT274" s="122"/>
      <c r="FU274" s="122"/>
      <c r="FV274" s="122"/>
      <c r="FW274" s="122"/>
      <c r="FX274" s="122"/>
      <c r="FY274" s="122"/>
      <c r="FZ274" s="122"/>
      <c r="GA274" s="122"/>
      <c r="GB274" s="122"/>
      <c r="GC274" s="122"/>
      <c r="GD274" s="122"/>
      <c r="GE274" s="122"/>
      <c r="GF274" s="122"/>
      <c r="GG274" s="122"/>
      <c r="GH274" s="122"/>
      <c r="GI274" s="122"/>
    </row>
    <row r="275" spans="1:191" s="13" customFormat="1" ht="20.25" customHeight="1">
      <c r="A275" s="117">
        <v>134</v>
      </c>
      <c r="B275" s="124"/>
      <c r="C275" s="120"/>
      <c r="D275" s="102">
        <f t="shared" ref="D275" si="136">IFERROR(SUMPRODUCT(F275:HE275,$F$6:$HE$6)/100,0)</f>
        <v>0</v>
      </c>
      <c r="E275" s="103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122"/>
      <c r="AQ275" s="122"/>
      <c r="AR275" s="122"/>
      <c r="AS275" s="122"/>
      <c r="AT275" s="122"/>
      <c r="AU275" s="122"/>
      <c r="AV275" s="122"/>
      <c r="AW275" s="122"/>
      <c r="AX275" s="122"/>
      <c r="AY275" s="122"/>
      <c r="AZ275" s="122"/>
      <c r="BA275" s="122"/>
      <c r="BB275" s="122"/>
      <c r="BC275" s="122"/>
      <c r="BD275" s="122"/>
      <c r="BE275" s="122"/>
      <c r="BF275" s="122"/>
      <c r="BG275" s="122"/>
      <c r="BH275" s="122"/>
      <c r="BI275" s="122"/>
      <c r="BJ275" s="122"/>
      <c r="BK275" s="122"/>
      <c r="BL275" s="122"/>
      <c r="BM275" s="122"/>
      <c r="BN275" s="122"/>
      <c r="BO275" s="122"/>
      <c r="BP275" s="122"/>
      <c r="BQ275" s="123"/>
      <c r="BR275" s="123"/>
      <c r="BS275" s="123"/>
      <c r="BT275" s="122"/>
      <c r="BU275" s="122"/>
      <c r="BV275" s="122"/>
      <c r="BW275" s="122"/>
      <c r="BX275" s="122"/>
      <c r="BY275" s="122"/>
      <c r="BZ275" s="122"/>
      <c r="CA275" s="122"/>
      <c r="CB275" s="122"/>
      <c r="CC275" s="122"/>
      <c r="CD275" s="122"/>
      <c r="CE275" s="122"/>
      <c r="CF275" s="122"/>
      <c r="CG275" s="122"/>
      <c r="CH275" s="122"/>
      <c r="CI275" s="122"/>
      <c r="CJ275" s="122"/>
      <c r="CK275" s="122"/>
      <c r="CL275" s="122"/>
      <c r="CM275" s="122"/>
      <c r="CN275" s="122"/>
      <c r="CO275" s="122"/>
      <c r="CP275" s="122"/>
      <c r="CQ275" s="122"/>
      <c r="CR275" s="122"/>
      <c r="CS275" s="122"/>
      <c r="CT275" s="122"/>
      <c r="CU275" s="122"/>
      <c r="CV275" s="122"/>
      <c r="CW275" s="122"/>
      <c r="CX275" s="122"/>
      <c r="CY275" s="122"/>
      <c r="CZ275" s="122"/>
      <c r="DA275" s="122"/>
      <c r="DB275" s="122"/>
      <c r="DC275" s="122"/>
      <c r="DD275" s="122"/>
      <c r="DE275" s="122"/>
      <c r="DF275" s="122"/>
      <c r="DG275" s="122"/>
      <c r="DH275" s="122"/>
      <c r="DI275" s="122"/>
      <c r="DJ275" s="122"/>
      <c r="DK275" s="122"/>
      <c r="DL275" s="122"/>
      <c r="DM275" s="122"/>
      <c r="DN275" s="122"/>
      <c r="DO275" s="122"/>
      <c r="DP275" s="122"/>
      <c r="DQ275" s="122"/>
      <c r="DR275" s="122"/>
      <c r="DS275" s="122"/>
      <c r="DT275" s="122"/>
      <c r="DU275" s="122"/>
      <c r="DV275" s="122"/>
      <c r="DW275" s="122"/>
      <c r="DX275" s="122"/>
      <c r="DY275" s="122"/>
      <c r="DZ275" s="122"/>
      <c r="EA275" s="122"/>
      <c r="EB275" s="122"/>
      <c r="EC275" s="122"/>
      <c r="ED275" s="122"/>
      <c r="EE275" s="122"/>
      <c r="EF275" s="122"/>
      <c r="EG275" s="122"/>
      <c r="EH275" s="122"/>
      <c r="EI275" s="122"/>
      <c r="EJ275" s="122"/>
      <c r="EK275" s="122"/>
      <c r="EL275" s="122"/>
      <c r="EM275" s="122"/>
      <c r="EN275" s="122"/>
      <c r="EO275" s="122"/>
      <c r="EP275" s="122"/>
      <c r="EQ275" s="122"/>
      <c r="ER275" s="122"/>
      <c r="ES275" s="122"/>
      <c r="ET275" s="122"/>
      <c r="EU275" s="122"/>
      <c r="EV275" s="122"/>
      <c r="EW275" s="122"/>
      <c r="EX275" s="122"/>
      <c r="EY275" s="122"/>
      <c r="EZ275" s="122"/>
      <c r="FA275" s="122"/>
      <c r="FB275" s="122"/>
      <c r="FC275" s="122"/>
      <c r="FD275" s="122"/>
      <c r="FE275" s="122"/>
      <c r="FF275" s="122"/>
      <c r="FG275" s="122"/>
      <c r="FH275" s="122"/>
      <c r="FI275" s="122"/>
      <c r="FJ275" s="122"/>
      <c r="FK275" s="122"/>
      <c r="FL275" s="122"/>
      <c r="FM275" s="122"/>
      <c r="FN275" s="122"/>
      <c r="FO275" s="122"/>
      <c r="FP275" s="122"/>
      <c r="FQ275" s="122"/>
      <c r="FR275" s="122"/>
      <c r="FS275" s="122"/>
      <c r="FT275" s="122"/>
      <c r="FU275" s="122"/>
      <c r="FV275" s="122"/>
      <c r="FW275" s="122"/>
      <c r="FX275" s="122"/>
      <c r="FY275" s="122"/>
      <c r="FZ275" s="122"/>
      <c r="GA275" s="122"/>
      <c r="GB275" s="122"/>
      <c r="GC275" s="122"/>
      <c r="GD275" s="122"/>
      <c r="GE275" s="122"/>
      <c r="GF275" s="122"/>
      <c r="GG275" s="122"/>
      <c r="GH275" s="122"/>
      <c r="GI275" s="122"/>
    </row>
    <row r="276" spans="1:191" s="13" customFormat="1" ht="20.25" customHeight="1">
      <c r="A276" s="117"/>
      <c r="B276" s="124"/>
      <c r="C276" s="120"/>
      <c r="D276" s="121"/>
      <c r="E276" s="103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122"/>
      <c r="AQ276" s="122"/>
      <c r="AR276" s="122"/>
      <c r="AS276" s="122"/>
      <c r="AT276" s="122"/>
      <c r="AU276" s="122"/>
      <c r="AV276" s="122"/>
      <c r="AW276" s="122"/>
      <c r="AX276" s="122"/>
      <c r="AY276" s="122"/>
      <c r="AZ276" s="122"/>
      <c r="BA276" s="122"/>
      <c r="BB276" s="122"/>
      <c r="BC276" s="122"/>
      <c r="BD276" s="122"/>
      <c r="BE276" s="122"/>
      <c r="BF276" s="122"/>
      <c r="BG276" s="122"/>
      <c r="BH276" s="122"/>
      <c r="BI276" s="122"/>
      <c r="BJ276" s="122"/>
      <c r="BK276" s="122"/>
      <c r="BL276" s="122"/>
      <c r="BM276" s="122"/>
      <c r="BN276" s="122"/>
      <c r="BO276" s="122"/>
      <c r="BP276" s="122"/>
      <c r="BQ276" s="123"/>
      <c r="BR276" s="123"/>
      <c r="BS276" s="123"/>
      <c r="BT276" s="122"/>
      <c r="BU276" s="122"/>
      <c r="BV276" s="122"/>
      <c r="BW276" s="122"/>
      <c r="BX276" s="122"/>
      <c r="BY276" s="122"/>
      <c r="BZ276" s="122"/>
      <c r="CA276" s="122"/>
      <c r="CB276" s="122"/>
      <c r="CC276" s="122"/>
      <c r="CD276" s="122"/>
      <c r="CE276" s="122"/>
      <c r="CF276" s="122"/>
      <c r="CG276" s="122"/>
      <c r="CH276" s="122"/>
      <c r="CI276" s="122"/>
      <c r="CJ276" s="122"/>
      <c r="CK276" s="122"/>
      <c r="CL276" s="122"/>
      <c r="CM276" s="122"/>
      <c r="CN276" s="122"/>
      <c r="CO276" s="122"/>
      <c r="CP276" s="122"/>
      <c r="CQ276" s="122"/>
      <c r="CR276" s="122"/>
      <c r="CS276" s="122"/>
      <c r="CT276" s="122"/>
      <c r="CU276" s="122"/>
      <c r="CV276" s="122"/>
      <c r="CW276" s="122"/>
      <c r="CX276" s="122"/>
      <c r="CY276" s="122"/>
      <c r="CZ276" s="122"/>
      <c r="DA276" s="122"/>
      <c r="DB276" s="122"/>
      <c r="DC276" s="122"/>
      <c r="DD276" s="122"/>
      <c r="DE276" s="122"/>
      <c r="DF276" s="122"/>
      <c r="DG276" s="122"/>
      <c r="DH276" s="122"/>
      <c r="DI276" s="122"/>
      <c r="DJ276" s="122"/>
      <c r="DK276" s="122"/>
      <c r="DL276" s="122"/>
      <c r="DM276" s="122"/>
      <c r="DN276" s="122"/>
      <c r="DO276" s="122"/>
      <c r="DP276" s="122"/>
      <c r="DQ276" s="122"/>
      <c r="DR276" s="122"/>
      <c r="DS276" s="122"/>
      <c r="DT276" s="122"/>
      <c r="DU276" s="122"/>
      <c r="DV276" s="122"/>
      <c r="DW276" s="122"/>
      <c r="DX276" s="122"/>
      <c r="DY276" s="122"/>
      <c r="DZ276" s="122"/>
      <c r="EA276" s="122"/>
      <c r="EB276" s="122"/>
      <c r="EC276" s="122"/>
      <c r="ED276" s="122"/>
      <c r="EE276" s="122"/>
      <c r="EF276" s="122"/>
      <c r="EG276" s="122"/>
      <c r="EH276" s="122"/>
      <c r="EI276" s="122"/>
      <c r="EJ276" s="122"/>
      <c r="EK276" s="122"/>
      <c r="EL276" s="122"/>
      <c r="EM276" s="122"/>
      <c r="EN276" s="122"/>
      <c r="EO276" s="122"/>
      <c r="EP276" s="122"/>
      <c r="EQ276" s="122"/>
      <c r="ER276" s="122"/>
      <c r="ES276" s="122"/>
      <c r="ET276" s="122"/>
      <c r="EU276" s="122"/>
      <c r="EV276" s="122"/>
      <c r="EW276" s="122"/>
      <c r="EX276" s="122"/>
      <c r="EY276" s="122"/>
      <c r="EZ276" s="122"/>
      <c r="FA276" s="122"/>
      <c r="FB276" s="122"/>
      <c r="FC276" s="122"/>
      <c r="FD276" s="122"/>
      <c r="FE276" s="122"/>
      <c r="FF276" s="122"/>
      <c r="FG276" s="122"/>
      <c r="FH276" s="122"/>
      <c r="FI276" s="122"/>
      <c r="FJ276" s="122"/>
      <c r="FK276" s="122"/>
      <c r="FL276" s="122"/>
      <c r="FM276" s="122"/>
      <c r="FN276" s="122"/>
      <c r="FO276" s="122"/>
      <c r="FP276" s="122"/>
      <c r="FQ276" s="122"/>
      <c r="FR276" s="122"/>
      <c r="FS276" s="122"/>
      <c r="FT276" s="122"/>
      <c r="FU276" s="122"/>
      <c r="FV276" s="122"/>
      <c r="FW276" s="122"/>
      <c r="FX276" s="122"/>
      <c r="FY276" s="122"/>
      <c r="FZ276" s="122"/>
      <c r="GA276" s="122"/>
      <c r="GB276" s="122"/>
      <c r="GC276" s="122"/>
      <c r="GD276" s="122"/>
      <c r="GE276" s="122"/>
      <c r="GF276" s="122"/>
      <c r="GG276" s="122"/>
      <c r="GH276" s="122"/>
      <c r="GI276" s="122"/>
    </row>
    <row r="277" spans="1:191" s="13" customFormat="1" ht="20.25" customHeight="1">
      <c r="A277" s="117">
        <v>135</v>
      </c>
      <c r="B277" s="124"/>
      <c r="C277" s="120"/>
      <c r="D277" s="102">
        <f t="shared" ref="D277" si="137">IFERROR(SUMPRODUCT(F277:HE277,$F$6:$HE$6)/100,0)</f>
        <v>0</v>
      </c>
      <c r="E277" s="103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122"/>
      <c r="AQ277" s="122"/>
      <c r="AR277" s="122"/>
      <c r="AS277" s="122"/>
      <c r="AT277" s="122"/>
      <c r="AU277" s="122"/>
      <c r="AV277" s="122"/>
      <c r="AW277" s="122"/>
      <c r="AX277" s="122"/>
      <c r="AY277" s="122"/>
      <c r="AZ277" s="122"/>
      <c r="BA277" s="122"/>
      <c r="BB277" s="122"/>
      <c r="BC277" s="122"/>
      <c r="BD277" s="122"/>
      <c r="BE277" s="122"/>
      <c r="BF277" s="122"/>
      <c r="BG277" s="122"/>
      <c r="BH277" s="122"/>
      <c r="BI277" s="122"/>
      <c r="BJ277" s="122"/>
      <c r="BK277" s="122"/>
      <c r="BL277" s="122"/>
      <c r="BM277" s="122"/>
      <c r="BN277" s="122"/>
      <c r="BO277" s="122"/>
      <c r="BP277" s="122"/>
      <c r="BQ277" s="123"/>
      <c r="BR277" s="123"/>
      <c r="BS277" s="123"/>
      <c r="BT277" s="122"/>
      <c r="BU277" s="122"/>
      <c r="BV277" s="122"/>
      <c r="BW277" s="122"/>
      <c r="BX277" s="122"/>
      <c r="BY277" s="122"/>
      <c r="BZ277" s="122"/>
      <c r="CA277" s="122"/>
      <c r="CB277" s="122"/>
      <c r="CC277" s="122"/>
      <c r="CD277" s="122"/>
      <c r="CE277" s="122"/>
      <c r="CF277" s="122"/>
      <c r="CG277" s="122"/>
      <c r="CH277" s="122"/>
      <c r="CI277" s="122"/>
      <c r="CJ277" s="122"/>
      <c r="CK277" s="122"/>
      <c r="CL277" s="122"/>
      <c r="CM277" s="122"/>
      <c r="CN277" s="122"/>
      <c r="CO277" s="122"/>
      <c r="CP277" s="122"/>
      <c r="CQ277" s="122"/>
      <c r="CR277" s="122"/>
      <c r="CS277" s="122"/>
      <c r="CT277" s="122"/>
      <c r="CU277" s="122"/>
      <c r="CV277" s="122"/>
      <c r="CW277" s="122"/>
      <c r="CX277" s="122"/>
      <c r="CY277" s="122"/>
      <c r="CZ277" s="122"/>
      <c r="DA277" s="122"/>
      <c r="DB277" s="122"/>
      <c r="DC277" s="122"/>
      <c r="DD277" s="122"/>
      <c r="DE277" s="122"/>
      <c r="DF277" s="122"/>
      <c r="DG277" s="122"/>
      <c r="DH277" s="122"/>
      <c r="DI277" s="122"/>
      <c r="DJ277" s="122"/>
      <c r="DK277" s="122"/>
      <c r="DL277" s="122"/>
      <c r="DM277" s="122"/>
      <c r="DN277" s="122"/>
      <c r="DO277" s="122"/>
      <c r="DP277" s="122"/>
      <c r="DQ277" s="122"/>
      <c r="DR277" s="122"/>
      <c r="DS277" s="122"/>
      <c r="DT277" s="122"/>
      <c r="DU277" s="122"/>
      <c r="DV277" s="122"/>
      <c r="DW277" s="122"/>
      <c r="DX277" s="122"/>
      <c r="DY277" s="122"/>
      <c r="DZ277" s="122"/>
      <c r="EA277" s="122"/>
      <c r="EB277" s="122"/>
      <c r="EC277" s="122"/>
      <c r="ED277" s="122"/>
      <c r="EE277" s="122"/>
      <c r="EF277" s="122"/>
      <c r="EG277" s="122"/>
      <c r="EH277" s="122"/>
      <c r="EI277" s="122"/>
      <c r="EJ277" s="122"/>
      <c r="EK277" s="122"/>
      <c r="EL277" s="122"/>
      <c r="EM277" s="122"/>
      <c r="EN277" s="122"/>
      <c r="EO277" s="122"/>
      <c r="EP277" s="122"/>
      <c r="EQ277" s="122"/>
      <c r="ER277" s="122"/>
      <c r="ES277" s="122"/>
      <c r="ET277" s="122"/>
      <c r="EU277" s="122"/>
      <c r="EV277" s="122"/>
      <c r="EW277" s="122"/>
      <c r="EX277" s="122"/>
      <c r="EY277" s="122"/>
      <c r="EZ277" s="122"/>
      <c r="FA277" s="122"/>
      <c r="FB277" s="122"/>
      <c r="FC277" s="122"/>
      <c r="FD277" s="122"/>
      <c r="FE277" s="122"/>
      <c r="FF277" s="122"/>
      <c r="FG277" s="122"/>
      <c r="FH277" s="122"/>
      <c r="FI277" s="122"/>
      <c r="FJ277" s="122"/>
      <c r="FK277" s="122"/>
      <c r="FL277" s="122"/>
      <c r="FM277" s="122"/>
      <c r="FN277" s="122"/>
      <c r="FO277" s="122"/>
      <c r="FP277" s="122"/>
      <c r="FQ277" s="122"/>
      <c r="FR277" s="122"/>
      <c r="FS277" s="122"/>
      <c r="FT277" s="122"/>
      <c r="FU277" s="122"/>
      <c r="FV277" s="122"/>
      <c r="FW277" s="122"/>
      <c r="FX277" s="122"/>
      <c r="FY277" s="122"/>
      <c r="FZ277" s="122"/>
      <c r="GA277" s="122"/>
      <c r="GB277" s="122"/>
      <c r="GC277" s="122"/>
      <c r="GD277" s="122"/>
      <c r="GE277" s="122"/>
      <c r="GF277" s="122"/>
      <c r="GG277" s="122"/>
      <c r="GH277" s="122"/>
      <c r="GI277" s="122"/>
    </row>
    <row r="278" spans="1:191" s="13" customFormat="1" ht="20.25" customHeight="1">
      <c r="A278" s="117"/>
      <c r="B278" s="124"/>
      <c r="C278" s="120"/>
      <c r="D278" s="121"/>
      <c r="E278" s="103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122"/>
      <c r="AQ278" s="122"/>
      <c r="AR278" s="122"/>
      <c r="AS278" s="122"/>
      <c r="AT278" s="122"/>
      <c r="AU278" s="122"/>
      <c r="AV278" s="122"/>
      <c r="AW278" s="122"/>
      <c r="AX278" s="122"/>
      <c r="AY278" s="122"/>
      <c r="AZ278" s="122"/>
      <c r="BA278" s="122"/>
      <c r="BB278" s="122"/>
      <c r="BC278" s="122"/>
      <c r="BD278" s="122"/>
      <c r="BE278" s="122"/>
      <c r="BF278" s="122"/>
      <c r="BG278" s="122"/>
      <c r="BH278" s="122"/>
      <c r="BI278" s="122"/>
      <c r="BJ278" s="122"/>
      <c r="BK278" s="122"/>
      <c r="BL278" s="122"/>
      <c r="BM278" s="122"/>
      <c r="BN278" s="122"/>
      <c r="BO278" s="122"/>
      <c r="BP278" s="122"/>
      <c r="BQ278" s="123"/>
      <c r="BR278" s="123"/>
      <c r="BS278" s="123"/>
      <c r="BT278" s="122"/>
      <c r="BU278" s="122"/>
      <c r="BV278" s="122"/>
      <c r="BW278" s="122"/>
      <c r="BX278" s="122"/>
      <c r="BY278" s="122"/>
      <c r="BZ278" s="122"/>
      <c r="CA278" s="122"/>
      <c r="CB278" s="122"/>
      <c r="CC278" s="122"/>
      <c r="CD278" s="122"/>
      <c r="CE278" s="122"/>
      <c r="CF278" s="122"/>
      <c r="CG278" s="122"/>
      <c r="CH278" s="122"/>
      <c r="CI278" s="122"/>
      <c r="CJ278" s="122"/>
      <c r="CK278" s="122"/>
      <c r="CL278" s="122"/>
      <c r="CM278" s="122"/>
      <c r="CN278" s="122"/>
      <c r="CO278" s="122"/>
      <c r="CP278" s="122"/>
      <c r="CQ278" s="122"/>
      <c r="CR278" s="122"/>
      <c r="CS278" s="122"/>
      <c r="CT278" s="122"/>
      <c r="CU278" s="122"/>
      <c r="CV278" s="122"/>
      <c r="CW278" s="122"/>
      <c r="CX278" s="122"/>
      <c r="CY278" s="122"/>
      <c r="CZ278" s="122"/>
      <c r="DA278" s="122"/>
      <c r="DB278" s="122"/>
      <c r="DC278" s="122"/>
      <c r="DD278" s="122"/>
      <c r="DE278" s="122"/>
      <c r="DF278" s="122"/>
      <c r="DG278" s="122"/>
      <c r="DH278" s="122"/>
      <c r="DI278" s="122"/>
      <c r="DJ278" s="122"/>
      <c r="DK278" s="122"/>
      <c r="DL278" s="122"/>
      <c r="DM278" s="122"/>
      <c r="DN278" s="122"/>
      <c r="DO278" s="122"/>
      <c r="DP278" s="122"/>
      <c r="DQ278" s="122"/>
      <c r="DR278" s="122"/>
      <c r="DS278" s="122"/>
      <c r="DT278" s="122"/>
      <c r="DU278" s="122"/>
      <c r="DV278" s="122"/>
      <c r="DW278" s="122"/>
      <c r="DX278" s="122"/>
      <c r="DY278" s="122"/>
      <c r="DZ278" s="122"/>
      <c r="EA278" s="122"/>
      <c r="EB278" s="122"/>
      <c r="EC278" s="122"/>
      <c r="ED278" s="122"/>
      <c r="EE278" s="122"/>
      <c r="EF278" s="122"/>
      <c r="EG278" s="122"/>
      <c r="EH278" s="122"/>
      <c r="EI278" s="122"/>
      <c r="EJ278" s="122"/>
      <c r="EK278" s="122"/>
      <c r="EL278" s="122"/>
      <c r="EM278" s="122"/>
      <c r="EN278" s="122"/>
      <c r="EO278" s="122"/>
      <c r="EP278" s="122"/>
      <c r="EQ278" s="122"/>
      <c r="ER278" s="122"/>
      <c r="ES278" s="122"/>
      <c r="ET278" s="122"/>
      <c r="EU278" s="122"/>
      <c r="EV278" s="122"/>
      <c r="EW278" s="122"/>
      <c r="EX278" s="122"/>
      <c r="EY278" s="122"/>
      <c r="EZ278" s="122"/>
      <c r="FA278" s="122"/>
      <c r="FB278" s="122"/>
      <c r="FC278" s="122"/>
      <c r="FD278" s="122"/>
      <c r="FE278" s="122"/>
      <c r="FF278" s="122"/>
      <c r="FG278" s="122"/>
      <c r="FH278" s="122"/>
      <c r="FI278" s="122"/>
      <c r="FJ278" s="122"/>
      <c r="FK278" s="122"/>
      <c r="FL278" s="122"/>
      <c r="FM278" s="122"/>
      <c r="FN278" s="122"/>
      <c r="FO278" s="122"/>
      <c r="FP278" s="122"/>
      <c r="FQ278" s="122"/>
      <c r="FR278" s="122"/>
      <c r="FS278" s="122"/>
      <c r="FT278" s="122"/>
      <c r="FU278" s="122"/>
      <c r="FV278" s="122"/>
      <c r="FW278" s="122"/>
      <c r="FX278" s="122"/>
      <c r="FY278" s="122"/>
      <c r="FZ278" s="122"/>
      <c r="GA278" s="122"/>
      <c r="GB278" s="122"/>
      <c r="GC278" s="122"/>
      <c r="GD278" s="122"/>
      <c r="GE278" s="122"/>
      <c r="GF278" s="122"/>
      <c r="GG278" s="122"/>
      <c r="GH278" s="122"/>
      <c r="GI278" s="122"/>
    </row>
    <row r="279" spans="1:191" s="13" customFormat="1" ht="20.25" customHeight="1">
      <c r="A279" s="117">
        <v>136</v>
      </c>
      <c r="B279" s="124"/>
      <c r="C279" s="120"/>
      <c r="D279" s="102">
        <f t="shared" ref="D279" si="138">IFERROR(SUMPRODUCT(F279:HE279,$F$6:$HE$6)/100,0)</f>
        <v>0</v>
      </c>
      <c r="E279" s="103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122"/>
      <c r="AQ279" s="122"/>
      <c r="AR279" s="122"/>
      <c r="AS279" s="122"/>
      <c r="AT279" s="122"/>
      <c r="AU279" s="122"/>
      <c r="AV279" s="122"/>
      <c r="AW279" s="122"/>
      <c r="AX279" s="122"/>
      <c r="AY279" s="122"/>
      <c r="AZ279" s="122"/>
      <c r="BA279" s="122"/>
      <c r="BB279" s="122"/>
      <c r="BC279" s="122"/>
      <c r="BD279" s="122"/>
      <c r="BE279" s="122"/>
      <c r="BF279" s="122"/>
      <c r="BG279" s="122"/>
      <c r="BH279" s="122"/>
      <c r="BI279" s="122"/>
      <c r="BJ279" s="122"/>
      <c r="BK279" s="122"/>
      <c r="BL279" s="122"/>
      <c r="BM279" s="122"/>
      <c r="BN279" s="122"/>
      <c r="BO279" s="122"/>
      <c r="BP279" s="122"/>
      <c r="BQ279" s="123"/>
      <c r="BR279" s="123"/>
      <c r="BS279" s="123"/>
      <c r="BT279" s="122"/>
      <c r="BU279" s="122"/>
      <c r="BV279" s="122"/>
      <c r="BW279" s="122"/>
      <c r="BX279" s="122"/>
      <c r="BY279" s="122"/>
      <c r="BZ279" s="122"/>
      <c r="CA279" s="122"/>
      <c r="CB279" s="122"/>
      <c r="CC279" s="122"/>
      <c r="CD279" s="122"/>
      <c r="CE279" s="122"/>
      <c r="CF279" s="122"/>
      <c r="CG279" s="122"/>
      <c r="CH279" s="122"/>
      <c r="CI279" s="122"/>
      <c r="CJ279" s="122"/>
      <c r="CK279" s="122"/>
      <c r="CL279" s="122"/>
      <c r="CM279" s="122"/>
      <c r="CN279" s="122"/>
      <c r="CO279" s="122"/>
      <c r="CP279" s="122"/>
      <c r="CQ279" s="122"/>
      <c r="CR279" s="122"/>
      <c r="CS279" s="122"/>
      <c r="CT279" s="122"/>
      <c r="CU279" s="122"/>
      <c r="CV279" s="122"/>
      <c r="CW279" s="122"/>
      <c r="CX279" s="122"/>
      <c r="CY279" s="122"/>
      <c r="CZ279" s="122"/>
      <c r="DA279" s="122"/>
      <c r="DB279" s="122"/>
      <c r="DC279" s="122"/>
      <c r="DD279" s="122"/>
      <c r="DE279" s="122"/>
      <c r="DF279" s="122"/>
      <c r="DG279" s="122"/>
      <c r="DH279" s="122"/>
      <c r="DI279" s="122"/>
      <c r="DJ279" s="122"/>
      <c r="DK279" s="122"/>
      <c r="DL279" s="122"/>
      <c r="DM279" s="122"/>
      <c r="DN279" s="122"/>
      <c r="DO279" s="122"/>
      <c r="DP279" s="122"/>
      <c r="DQ279" s="122"/>
      <c r="DR279" s="122"/>
      <c r="DS279" s="122"/>
      <c r="DT279" s="122"/>
      <c r="DU279" s="122"/>
      <c r="DV279" s="122"/>
      <c r="DW279" s="122"/>
      <c r="DX279" s="122"/>
      <c r="DY279" s="122"/>
      <c r="DZ279" s="122"/>
      <c r="EA279" s="122"/>
      <c r="EB279" s="122"/>
      <c r="EC279" s="122"/>
      <c r="ED279" s="122"/>
      <c r="EE279" s="122"/>
      <c r="EF279" s="122"/>
      <c r="EG279" s="122"/>
      <c r="EH279" s="122"/>
      <c r="EI279" s="122"/>
      <c r="EJ279" s="122"/>
      <c r="EK279" s="122"/>
      <c r="EL279" s="122"/>
      <c r="EM279" s="122"/>
      <c r="EN279" s="122"/>
      <c r="EO279" s="122"/>
      <c r="EP279" s="122"/>
      <c r="EQ279" s="122"/>
      <c r="ER279" s="122"/>
      <c r="ES279" s="122"/>
      <c r="ET279" s="122"/>
      <c r="EU279" s="122"/>
      <c r="EV279" s="122"/>
      <c r="EW279" s="122"/>
      <c r="EX279" s="122"/>
      <c r="EY279" s="122"/>
      <c r="EZ279" s="122"/>
      <c r="FA279" s="122"/>
      <c r="FB279" s="122"/>
      <c r="FC279" s="122"/>
      <c r="FD279" s="122"/>
      <c r="FE279" s="122"/>
      <c r="FF279" s="122"/>
      <c r="FG279" s="122"/>
      <c r="FH279" s="122"/>
      <c r="FI279" s="122"/>
      <c r="FJ279" s="122"/>
      <c r="FK279" s="122"/>
      <c r="FL279" s="122"/>
      <c r="FM279" s="122"/>
      <c r="FN279" s="122"/>
      <c r="FO279" s="122"/>
      <c r="FP279" s="122"/>
      <c r="FQ279" s="122"/>
      <c r="FR279" s="122"/>
      <c r="FS279" s="122"/>
      <c r="FT279" s="122"/>
      <c r="FU279" s="122"/>
      <c r="FV279" s="122"/>
      <c r="FW279" s="122"/>
      <c r="FX279" s="122"/>
      <c r="FY279" s="122"/>
      <c r="FZ279" s="122"/>
      <c r="GA279" s="122"/>
      <c r="GB279" s="122"/>
      <c r="GC279" s="122"/>
      <c r="GD279" s="122"/>
      <c r="GE279" s="122"/>
      <c r="GF279" s="122"/>
      <c r="GG279" s="122"/>
      <c r="GH279" s="122"/>
      <c r="GI279" s="122"/>
    </row>
    <row r="280" spans="1:191" s="13" customFormat="1" ht="20.25" customHeight="1">
      <c r="A280" s="117"/>
      <c r="B280" s="124"/>
      <c r="C280" s="120"/>
      <c r="D280" s="121"/>
      <c r="E280" s="103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122"/>
      <c r="AQ280" s="122"/>
      <c r="AR280" s="122"/>
      <c r="AS280" s="122"/>
      <c r="AT280" s="122"/>
      <c r="AU280" s="122"/>
      <c r="AV280" s="122"/>
      <c r="AW280" s="122"/>
      <c r="AX280" s="122"/>
      <c r="AY280" s="122"/>
      <c r="AZ280" s="122"/>
      <c r="BA280" s="122"/>
      <c r="BB280" s="122"/>
      <c r="BC280" s="122"/>
      <c r="BD280" s="122"/>
      <c r="BE280" s="122"/>
      <c r="BF280" s="122"/>
      <c r="BG280" s="122"/>
      <c r="BH280" s="122"/>
      <c r="BI280" s="122"/>
      <c r="BJ280" s="122"/>
      <c r="BK280" s="122"/>
      <c r="BL280" s="122"/>
      <c r="BM280" s="122"/>
      <c r="BN280" s="122"/>
      <c r="BO280" s="122"/>
      <c r="BP280" s="122"/>
      <c r="BQ280" s="123"/>
      <c r="BR280" s="123"/>
      <c r="BS280" s="123"/>
      <c r="BT280" s="122"/>
      <c r="BU280" s="122"/>
      <c r="BV280" s="122"/>
      <c r="BW280" s="122"/>
      <c r="BX280" s="122"/>
      <c r="BY280" s="122"/>
      <c r="BZ280" s="122"/>
      <c r="CA280" s="122"/>
      <c r="CB280" s="122"/>
      <c r="CC280" s="122"/>
      <c r="CD280" s="122"/>
      <c r="CE280" s="122"/>
      <c r="CF280" s="122"/>
      <c r="CG280" s="122"/>
      <c r="CH280" s="122"/>
      <c r="CI280" s="122"/>
      <c r="CJ280" s="122"/>
      <c r="CK280" s="122"/>
      <c r="CL280" s="122"/>
      <c r="CM280" s="122"/>
      <c r="CN280" s="122"/>
      <c r="CO280" s="122"/>
      <c r="CP280" s="122"/>
      <c r="CQ280" s="122"/>
      <c r="CR280" s="122"/>
      <c r="CS280" s="122"/>
      <c r="CT280" s="122"/>
      <c r="CU280" s="122"/>
      <c r="CV280" s="122"/>
      <c r="CW280" s="122"/>
      <c r="CX280" s="122"/>
      <c r="CY280" s="122"/>
      <c r="CZ280" s="122"/>
      <c r="DA280" s="122"/>
      <c r="DB280" s="122"/>
      <c r="DC280" s="122"/>
      <c r="DD280" s="122"/>
      <c r="DE280" s="122"/>
      <c r="DF280" s="122"/>
      <c r="DG280" s="122"/>
      <c r="DH280" s="122"/>
      <c r="DI280" s="122"/>
      <c r="DJ280" s="122"/>
      <c r="DK280" s="122"/>
      <c r="DL280" s="122"/>
      <c r="DM280" s="122"/>
      <c r="DN280" s="122"/>
      <c r="DO280" s="122"/>
      <c r="DP280" s="122"/>
      <c r="DQ280" s="122"/>
      <c r="DR280" s="122"/>
      <c r="DS280" s="122"/>
      <c r="DT280" s="122"/>
      <c r="DU280" s="122"/>
      <c r="DV280" s="122"/>
      <c r="DW280" s="122"/>
      <c r="DX280" s="122"/>
      <c r="DY280" s="122"/>
      <c r="DZ280" s="122"/>
      <c r="EA280" s="122"/>
      <c r="EB280" s="122"/>
      <c r="EC280" s="122"/>
      <c r="ED280" s="122"/>
      <c r="EE280" s="122"/>
      <c r="EF280" s="122"/>
      <c r="EG280" s="122"/>
      <c r="EH280" s="122"/>
      <c r="EI280" s="122"/>
      <c r="EJ280" s="122"/>
      <c r="EK280" s="122"/>
      <c r="EL280" s="122"/>
      <c r="EM280" s="122"/>
      <c r="EN280" s="122"/>
      <c r="EO280" s="122"/>
      <c r="EP280" s="122"/>
      <c r="EQ280" s="122"/>
      <c r="ER280" s="122"/>
      <c r="ES280" s="122"/>
      <c r="ET280" s="122"/>
      <c r="EU280" s="122"/>
      <c r="EV280" s="122"/>
      <c r="EW280" s="122"/>
      <c r="EX280" s="122"/>
      <c r="EY280" s="122"/>
      <c r="EZ280" s="122"/>
      <c r="FA280" s="122"/>
      <c r="FB280" s="122"/>
      <c r="FC280" s="122"/>
      <c r="FD280" s="122"/>
      <c r="FE280" s="122"/>
      <c r="FF280" s="122"/>
      <c r="FG280" s="122"/>
      <c r="FH280" s="122"/>
      <c r="FI280" s="122"/>
      <c r="FJ280" s="122"/>
      <c r="FK280" s="122"/>
      <c r="FL280" s="122"/>
      <c r="FM280" s="122"/>
      <c r="FN280" s="122"/>
      <c r="FO280" s="122"/>
      <c r="FP280" s="122"/>
      <c r="FQ280" s="122"/>
      <c r="FR280" s="122"/>
      <c r="FS280" s="122"/>
      <c r="FT280" s="122"/>
      <c r="FU280" s="122"/>
      <c r="FV280" s="122"/>
      <c r="FW280" s="122"/>
      <c r="FX280" s="122"/>
      <c r="FY280" s="122"/>
      <c r="FZ280" s="122"/>
      <c r="GA280" s="122"/>
      <c r="GB280" s="122"/>
      <c r="GC280" s="122"/>
      <c r="GD280" s="122"/>
      <c r="GE280" s="122"/>
      <c r="GF280" s="122"/>
      <c r="GG280" s="122"/>
      <c r="GH280" s="122"/>
      <c r="GI280" s="122"/>
    </row>
    <row r="281" spans="1:191" s="13" customFormat="1" ht="20.25" customHeight="1">
      <c r="A281" s="117">
        <v>137</v>
      </c>
      <c r="B281" s="124"/>
      <c r="C281" s="120"/>
      <c r="D281" s="102">
        <f t="shared" ref="D281" si="139">IFERROR(SUMPRODUCT(F281:HE281,$F$6:$HE$6)/100,0)</f>
        <v>0</v>
      </c>
      <c r="E281" s="103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122"/>
      <c r="AQ281" s="122"/>
      <c r="AR281" s="122"/>
      <c r="AS281" s="122"/>
      <c r="AT281" s="122"/>
      <c r="AU281" s="122"/>
      <c r="AV281" s="122"/>
      <c r="AW281" s="122"/>
      <c r="AX281" s="122"/>
      <c r="AY281" s="122"/>
      <c r="AZ281" s="122"/>
      <c r="BA281" s="122"/>
      <c r="BB281" s="122"/>
      <c r="BC281" s="122"/>
      <c r="BD281" s="122"/>
      <c r="BE281" s="122"/>
      <c r="BF281" s="122"/>
      <c r="BG281" s="122"/>
      <c r="BH281" s="122"/>
      <c r="BI281" s="122"/>
      <c r="BJ281" s="122"/>
      <c r="BK281" s="122"/>
      <c r="BL281" s="122"/>
      <c r="BM281" s="122"/>
      <c r="BN281" s="122"/>
      <c r="BO281" s="122"/>
      <c r="BP281" s="122"/>
      <c r="BQ281" s="123"/>
      <c r="BR281" s="123"/>
      <c r="BS281" s="123"/>
      <c r="BT281" s="122"/>
      <c r="BU281" s="122"/>
      <c r="BV281" s="122"/>
      <c r="BW281" s="122"/>
      <c r="BX281" s="122"/>
      <c r="BY281" s="122"/>
      <c r="BZ281" s="122"/>
      <c r="CA281" s="122"/>
      <c r="CB281" s="122"/>
      <c r="CC281" s="122"/>
      <c r="CD281" s="122"/>
      <c r="CE281" s="122"/>
      <c r="CF281" s="122"/>
      <c r="CG281" s="122"/>
      <c r="CH281" s="122"/>
      <c r="CI281" s="122"/>
      <c r="CJ281" s="122"/>
      <c r="CK281" s="122"/>
      <c r="CL281" s="122"/>
      <c r="CM281" s="122"/>
      <c r="CN281" s="122"/>
      <c r="CO281" s="122"/>
      <c r="CP281" s="122"/>
      <c r="CQ281" s="122"/>
      <c r="CR281" s="122"/>
      <c r="CS281" s="122"/>
      <c r="CT281" s="122"/>
      <c r="CU281" s="122"/>
      <c r="CV281" s="122"/>
      <c r="CW281" s="122"/>
      <c r="CX281" s="122"/>
      <c r="CY281" s="122"/>
      <c r="CZ281" s="122"/>
      <c r="DA281" s="122"/>
      <c r="DB281" s="122"/>
      <c r="DC281" s="122"/>
      <c r="DD281" s="122"/>
      <c r="DE281" s="122"/>
      <c r="DF281" s="122"/>
      <c r="DG281" s="122"/>
      <c r="DH281" s="122"/>
      <c r="DI281" s="122"/>
      <c r="DJ281" s="122"/>
      <c r="DK281" s="122"/>
      <c r="DL281" s="122"/>
      <c r="DM281" s="122"/>
      <c r="DN281" s="122"/>
      <c r="DO281" s="122"/>
      <c r="DP281" s="122"/>
      <c r="DQ281" s="122"/>
      <c r="DR281" s="122"/>
      <c r="DS281" s="122"/>
      <c r="DT281" s="122"/>
      <c r="DU281" s="122"/>
      <c r="DV281" s="122"/>
      <c r="DW281" s="122"/>
      <c r="DX281" s="122"/>
      <c r="DY281" s="122"/>
      <c r="DZ281" s="122"/>
      <c r="EA281" s="122"/>
      <c r="EB281" s="122"/>
      <c r="EC281" s="122"/>
      <c r="ED281" s="122"/>
      <c r="EE281" s="122"/>
      <c r="EF281" s="122"/>
      <c r="EG281" s="122"/>
      <c r="EH281" s="122"/>
      <c r="EI281" s="122"/>
      <c r="EJ281" s="122"/>
      <c r="EK281" s="122"/>
      <c r="EL281" s="122"/>
      <c r="EM281" s="122"/>
      <c r="EN281" s="122"/>
      <c r="EO281" s="122"/>
      <c r="EP281" s="122"/>
      <c r="EQ281" s="122"/>
      <c r="ER281" s="122"/>
      <c r="ES281" s="122"/>
      <c r="ET281" s="122"/>
      <c r="EU281" s="122"/>
      <c r="EV281" s="122"/>
      <c r="EW281" s="122"/>
      <c r="EX281" s="122"/>
      <c r="EY281" s="122"/>
      <c r="EZ281" s="122"/>
      <c r="FA281" s="122"/>
      <c r="FB281" s="122"/>
      <c r="FC281" s="122"/>
      <c r="FD281" s="122"/>
      <c r="FE281" s="122"/>
      <c r="FF281" s="122"/>
      <c r="FG281" s="122"/>
      <c r="FH281" s="122"/>
      <c r="FI281" s="122"/>
      <c r="FJ281" s="122"/>
      <c r="FK281" s="122"/>
      <c r="FL281" s="122"/>
      <c r="FM281" s="122"/>
      <c r="FN281" s="122"/>
      <c r="FO281" s="122"/>
      <c r="FP281" s="122"/>
      <c r="FQ281" s="122"/>
      <c r="FR281" s="122"/>
      <c r="FS281" s="122"/>
      <c r="FT281" s="122"/>
      <c r="FU281" s="122"/>
      <c r="FV281" s="122"/>
      <c r="FW281" s="122"/>
      <c r="FX281" s="122"/>
      <c r="FY281" s="122"/>
      <c r="FZ281" s="122"/>
      <c r="GA281" s="122"/>
      <c r="GB281" s="122"/>
      <c r="GC281" s="122"/>
      <c r="GD281" s="122"/>
      <c r="GE281" s="122"/>
      <c r="GF281" s="122"/>
      <c r="GG281" s="122"/>
      <c r="GH281" s="122"/>
      <c r="GI281" s="122"/>
    </row>
    <row r="282" spans="1:191" s="13" customFormat="1" ht="20.25" customHeight="1">
      <c r="A282" s="117"/>
      <c r="B282" s="124"/>
      <c r="C282" s="120"/>
      <c r="D282" s="121"/>
      <c r="E282" s="103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122"/>
      <c r="AQ282" s="122"/>
      <c r="AR282" s="122"/>
      <c r="AS282" s="122"/>
      <c r="AT282" s="122"/>
      <c r="AU282" s="122"/>
      <c r="AV282" s="122"/>
      <c r="AW282" s="122"/>
      <c r="AX282" s="122"/>
      <c r="AY282" s="122"/>
      <c r="AZ282" s="122"/>
      <c r="BA282" s="122"/>
      <c r="BB282" s="122"/>
      <c r="BC282" s="122"/>
      <c r="BD282" s="122"/>
      <c r="BE282" s="122"/>
      <c r="BF282" s="122"/>
      <c r="BG282" s="122"/>
      <c r="BH282" s="122"/>
      <c r="BI282" s="122"/>
      <c r="BJ282" s="122"/>
      <c r="BK282" s="122"/>
      <c r="BL282" s="122"/>
      <c r="BM282" s="122"/>
      <c r="BN282" s="122"/>
      <c r="BO282" s="122"/>
      <c r="BP282" s="122"/>
      <c r="BQ282" s="123"/>
      <c r="BR282" s="123"/>
      <c r="BS282" s="123"/>
      <c r="BT282" s="122"/>
      <c r="BU282" s="122"/>
      <c r="BV282" s="122"/>
      <c r="BW282" s="122"/>
      <c r="BX282" s="122"/>
      <c r="BY282" s="122"/>
      <c r="BZ282" s="122"/>
      <c r="CA282" s="122"/>
      <c r="CB282" s="122"/>
      <c r="CC282" s="122"/>
      <c r="CD282" s="122"/>
      <c r="CE282" s="122"/>
      <c r="CF282" s="122"/>
      <c r="CG282" s="122"/>
      <c r="CH282" s="122"/>
      <c r="CI282" s="122"/>
      <c r="CJ282" s="122"/>
      <c r="CK282" s="122"/>
      <c r="CL282" s="122"/>
      <c r="CM282" s="122"/>
      <c r="CN282" s="122"/>
      <c r="CO282" s="122"/>
      <c r="CP282" s="122"/>
      <c r="CQ282" s="122"/>
      <c r="CR282" s="122"/>
      <c r="CS282" s="122"/>
      <c r="CT282" s="122"/>
      <c r="CU282" s="122"/>
      <c r="CV282" s="122"/>
      <c r="CW282" s="122"/>
      <c r="CX282" s="122"/>
      <c r="CY282" s="122"/>
      <c r="CZ282" s="122"/>
      <c r="DA282" s="122"/>
      <c r="DB282" s="122"/>
      <c r="DC282" s="122"/>
      <c r="DD282" s="122"/>
      <c r="DE282" s="122"/>
      <c r="DF282" s="122"/>
      <c r="DG282" s="122"/>
      <c r="DH282" s="122"/>
      <c r="DI282" s="122"/>
      <c r="DJ282" s="122"/>
      <c r="DK282" s="122"/>
      <c r="DL282" s="122"/>
      <c r="DM282" s="122"/>
      <c r="DN282" s="122"/>
      <c r="DO282" s="122"/>
      <c r="DP282" s="122"/>
      <c r="DQ282" s="122"/>
      <c r="DR282" s="122"/>
      <c r="DS282" s="122"/>
      <c r="DT282" s="122"/>
      <c r="DU282" s="122"/>
      <c r="DV282" s="122"/>
      <c r="DW282" s="122"/>
      <c r="DX282" s="122"/>
      <c r="DY282" s="122"/>
      <c r="DZ282" s="122"/>
      <c r="EA282" s="122"/>
      <c r="EB282" s="122"/>
      <c r="EC282" s="122"/>
      <c r="ED282" s="122"/>
      <c r="EE282" s="122"/>
      <c r="EF282" s="122"/>
      <c r="EG282" s="122"/>
      <c r="EH282" s="122"/>
      <c r="EI282" s="122"/>
      <c r="EJ282" s="122"/>
      <c r="EK282" s="122"/>
      <c r="EL282" s="122"/>
      <c r="EM282" s="122"/>
      <c r="EN282" s="122"/>
      <c r="EO282" s="122"/>
      <c r="EP282" s="122"/>
      <c r="EQ282" s="122"/>
      <c r="ER282" s="122"/>
      <c r="ES282" s="122"/>
      <c r="ET282" s="122"/>
      <c r="EU282" s="122"/>
      <c r="EV282" s="122"/>
      <c r="EW282" s="122"/>
      <c r="EX282" s="122"/>
      <c r="EY282" s="122"/>
      <c r="EZ282" s="122"/>
      <c r="FA282" s="122"/>
      <c r="FB282" s="122"/>
      <c r="FC282" s="122"/>
      <c r="FD282" s="122"/>
      <c r="FE282" s="122"/>
      <c r="FF282" s="122"/>
      <c r="FG282" s="122"/>
      <c r="FH282" s="122"/>
      <c r="FI282" s="122"/>
      <c r="FJ282" s="122"/>
      <c r="FK282" s="122"/>
      <c r="FL282" s="122"/>
      <c r="FM282" s="122"/>
      <c r="FN282" s="122"/>
      <c r="FO282" s="122"/>
      <c r="FP282" s="122"/>
      <c r="FQ282" s="122"/>
      <c r="FR282" s="122"/>
      <c r="FS282" s="122"/>
      <c r="FT282" s="122"/>
      <c r="FU282" s="122"/>
      <c r="FV282" s="122"/>
      <c r="FW282" s="122"/>
      <c r="FX282" s="122"/>
      <c r="FY282" s="122"/>
      <c r="FZ282" s="122"/>
      <c r="GA282" s="122"/>
      <c r="GB282" s="122"/>
      <c r="GC282" s="122"/>
      <c r="GD282" s="122"/>
      <c r="GE282" s="122"/>
      <c r="GF282" s="122"/>
      <c r="GG282" s="122"/>
      <c r="GH282" s="122"/>
      <c r="GI282" s="122"/>
    </row>
    <row r="283" spans="1:191" s="13" customFormat="1" ht="20.25" customHeight="1">
      <c r="A283" s="117">
        <v>138</v>
      </c>
      <c r="B283" s="124"/>
      <c r="C283" s="120"/>
      <c r="D283" s="102">
        <f t="shared" ref="D283" si="140">IFERROR(SUMPRODUCT(F283:HE283,$F$6:$HE$6)/100,0)</f>
        <v>0</v>
      </c>
      <c r="E283" s="103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122"/>
      <c r="AQ283" s="122"/>
      <c r="AR283" s="122"/>
      <c r="AS283" s="122"/>
      <c r="AT283" s="122"/>
      <c r="AU283" s="122"/>
      <c r="AV283" s="122"/>
      <c r="AW283" s="122"/>
      <c r="AX283" s="122"/>
      <c r="AY283" s="122"/>
      <c r="AZ283" s="122"/>
      <c r="BA283" s="122"/>
      <c r="BB283" s="122"/>
      <c r="BC283" s="122"/>
      <c r="BD283" s="122"/>
      <c r="BE283" s="122"/>
      <c r="BF283" s="122"/>
      <c r="BG283" s="122"/>
      <c r="BH283" s="122"/>
      <c r="BI283" s="122"/>
      <c r="BJ283" s="122"/>
      <c r="BK283" s="122"/>
      <c r="BL283" s="122"/>
      <c r="BM283" s="122"/>
      <c r="BN283" s="122"/>
      <c r="BO283" s="122"/>
      <c r="BP283" s="122"/>
      <c r="BQ283" s="123"/>
      <c r="BR283" s="123"/>
      <c r="BS283" s="123"/>
      <c r="BT283" s="122"/>
      <c r="BU283" s="122"/>
      <c r="BV283" s="122"/>
      <c r="BW283" s="122"/>
      <c r="BX283" s="122"/>
      <c r="BY283" s="122"/>
      <c r="BZ283" s="122"/>
      <c r="CA283" s="122"/>
      <c r="CB283" s="122"/>
      <c r="CC283" s="122"/>
      <c r="CD283" s="122"/>
      <c r="CE283" s="122"/>
      <c r="CF283" s="122"/>
      <c r="CG283" s="122"/>
      <c r="CH283" s="122"/>
      <c r="CI283" s="122"/>
      <c r="CJ283" s="122"/>
      <c r="CK283" s="122"/>
      <c r="CL283" s="122"/>
      <c r="CM283" s="122"/>
      <c r="CN283" s="122"/>
      <c r="CO283" s="122"/>
      <c r="CP283" s="122"/>
      <c r="CQ283" s="122"/>
      <c r="CR283" s="122"/>
      <c r="CS283" s="122"/>
      <c r="CT283" s="122"/>
      <c r="CU283" s="122"/>
      <c r="CV283" s="122"/>
      <c r="CW283" s="122"/>
      <c r="CX283" s="122"/>
      <c r="CY283" s="122"/>
      <c r="CZ283" s="122"/>
      <c r="DA283" s="122"/>
      <c r="DB283" s="122"/>
      <c r="DC283" s="122"/>
      <c r="DD283" s="122"/>
      <c r="DE283" s="122"/>
      <c r="DF283" s="122"/>
      <c r="DG283" s="122"/>
      <c r="DH283" s="122"/>
      <c r="DI283" s="122"/>
      <c r="DJ283" s="122"/>
      <c r="DK283" s="122"/>
      <c r="DL283" s="122"/>
      <c r="DM283" s="122"/>
      <c r="DN283" s="122"/>
      <c r="DO283" s="122"/>
      <c r="DP283" s="122"/>
      <c r="DQ283" s="122"/>
      <c r="DR283" s="122"/>
      <c r="DS283" s="122"/>
      <c r="DT283" s="122"/>
      <c r="DU283" s="122"/>
      <c r="DV283" s="122"/>
      <c r="DW283" s="122"/>
      <c r="DX283" s="122"/>
      <c r="DY283" s="122"/>
      <c r="DZ283" s="122"/>
      <c r="EA283" s="122"/>
      <c r="EB283" s="122"/>
      <c r="EC283" s="122"/>
      <c r="ED283" s="122"/>
      <c r="EE283" s="122"/>
      <c r="EF283" s="122"/>
      <c r="EG283" s="122"/>
      <c r="EH283" s="122"/>
      <c r="EI283" s="122"/>
      <c r="EJ283" s="122"/>
      <c r="EK283" s="122"/>
      <c r="EL283" s="122"/>
      <c r="EM283" s="122"/>
      <c r="EN283" s="122"/>
      <c r="EO283" s="122"/>
      <c r="EP283" s="122"/>
      <c r="EQ283" s="122"/>
      <c r="ER283" s="122"/>
      <c r="ES283" s="122"/>
      <c r="ET283" s="122"/>
      <c r="EU283" s="122"/>
      <c r="EV283" s="122"/>
      <c r="EW283" s="122"/>
      <c r="EX283" s="122"/>
      <c r="EY283" s="122"/>
      <c r="EZ283" s="122"/>
      <c r="FA283" s="122"/>
      <c r="FB283" s="122"/>
      <c r="FC283" s="122"/>
      <c r="FD283" s="122"/>
      <c r="FE283" s="122"/>
      <c r="FF283" s="122"/>
      <c r="FG283" s="122"/>
      <c r="FH283" s="122"/>
      <c r="FI283" s="122"/>
      <c r="FJ283" s="122"/>
      <c r="FK283" s="122"/>
      <c r="FL283" s="122"/>
      <c r="FM283" s="122"/>
      <c r="FN283" s="122"/>
      <c r="FO283" s="122"/>
      <c r="FP283" s="122"/>
      <c r="FQ283" s="122"/>
      <c r="FR283" s="122"/>
      <c r="FS283" s="122"/>
      <c r="FT283" s="122"/>
      <c r="FU283" s="122"/>
      <c r="FV283" s="122"/>
      <c r="FW283" s="122"/>
      <c r="FX283" s="122"/>
      <c r="FY283" s="122"/>
      <c r="FZ283" s="122"/>
      <c r="GA283" s="122"/>
      <c r="GB283" s="122"/>
      <c r="GC283" s="122"/>
      <c r="GD283" s="122"/>
      <c r="GE283" s="122"/>
      <c r="GF283" s="122"/>
      <c r="GG283" s="122"/>
      <c r="GH283" s="122"/>
      <c r="GI283" s="122"/>
    </row>
    <row r="284" spans="1:191" s="13" customFormat="1" ht="20.25" customHeight="1">
      <c r="A284" s="117"/>
      <c r="B284" s="124"/>
      <c r="C284" s="120"/>
      <c r="D284" s="121"/>
      <c r="E284" s="103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122"/>
      <c r="AQ284" s="122"/>
      <c r="AR284" s="122"/>
      <c r="AS284" s="122"/>
      <c r="AT284" s="122"/>
      <c r="AU284" s="122"/>
      <c r="AV284" s="122"/>
      <c r="AW284" s="122"/>
      <c r="AX284" s="122"/>
      <c r="AY284" s="122"/>
      <c r="AZ284" s="122"/>
      <c r="BA284" s="122"/>
      <c r="BB284" s="122"/>
      <c r="BC284" s="122"/>
      <c r="BD284" s="122"/>
      <c r="BE284" s="122"/>
      <c r="BF284" s="122"/>
      <c r="BG284" s="122"/>
      <c r="BH284" s="122"/>
      <c r="BI284" s="122"/>
      <c r="BJ284" s="122"/>
      <c r="BK284" s="122"/>
      <c r="BL284" s="122"/>
      <c r="BM284" s="122"/>
      <c r="BN284" s="122"/>
      <c r="BO284" s="122"/>
      <c r="BP284" s="122"/>
      <c r="BQ284" s="123"/>
      <c r="BR284" s="123"/>
      <c r="BS284" s="123"/>
      <c r="BT284" s="122"/>
      <c r="BU284" s="122"/>
      <c r="BV284" s="122"/>
      <c r="BW284" s="122"/>
      <c r="BX284" s="122"/>
      <c r="BY284" s="122"/>
      <c r="BZ284" s="122"/>
      <c r="CA284" s="122"/>
      <c r="CB284" s="122"/>
      <c r="CC284" s="122"/>
      <c r="CD284" s="122"/>
      <c r="CE284" s="122"/>
      <c r="CF284" s="122"/>
      <c r="CG284" s="122"/>
      <c r="CH284" s="122"/>
      <c r="CI284" s="122"/>
      <c r="CJ284" s="122"/>
      <c r="CK284" s="122"/>
      <c r="CL284" s="122"/>
      <c r="CM284" s="122"/>
      <c r="CN284" s="122"/>
      <c r="CO284" s="122"/>
      <c r="CP284" s="122"/>
      <c r="CQ284" s="122"/>
      <c r="CR284" s="122"/>
      <c r="CS284" s="122"/>
      <c r="CT284" s="122"/>
      <c r="CU284" s="122"/>
      <c r="CV284" s="122"/>
      <c r="CW284" s="122"/>
      <c r="CX284" s="122"/>
      <c r="CY284" s="122"/>
      <c r="CZ284" s="122"/>
      <c r="DA284" s="122"/>
      <c r="DB284" s="122"/>
      <c r="DC284" s="122"/>
      <c r="DD284" s="122"/>
      <c r="DE284" s="122"/>
      <c r="DF284" s="122"/>
      <c r="DG284" s="122"/>
      <c r="DH284" s="122"/>
      <c r="DI284" s="122"/>
      <c r="DJ284" s="122"/>
      <c r="DK284" s="122"/>
      <c r="DL284" s="122"/>
      <c r="DM284" s="122"/>
      <c r="DN284" s="122"/>
      <c r="DO284" s="122"/>
      <c r="DP284" s="122"/>
      <c r="DQ284" s="122"/>
      <c r="DR284" s="122"/>
      <c r="DS284" s="122"/>
      <c r="DT284" s="122"/>
      <c r="DU284" s="122"/>
      <c r="DV284" s="122"/>
      <c r="DW284" s="122"/>
      <c r="DX284" s="122"/>
      <c r="DY284" s="122"/>
      <c r="DZ284" s="122"/>
      <c r="EA284" s="122"/>
      <c r="EB284" s="122"/>
      <c r="EC284" s="122"/>
      <c r="ED284" s="122"/>
      <c r="EE284" s="122"/>
      <c r="EF284" s="122"/>
      <c r="EG284" s="122"/>
      <c r="EH284" s="122"/>
      <c r="EI284" s="122"/>
      <c r="EJ284" s="122"/>
      <c r="EK284" s="122"/>
      <c r="EL284" s="122"/>
      <c r="EM284" s="122"/>
      <c r="EN284" s="122"/>
      <c r="EO284" s="122"/>
      <c r="EP284" s="122"/>
      <c r="EQ284" s="122"/>
      <c r="ER284" s="122"/>
      <c r="ES284" s="122"/>
      <c r="ET284" s="122"/>
      <c r="EU284" s="122"/>
      <c r="EV284" s="122"/>
      <c r="EW284" s="122"/>
      <c r="EX284" s="122"/>
      <c r="EY284" s="122"/>
      <c r="EZ284" s="122"/>
      <c r="FA284" s="122"/>
      <c r="FB284" s="122"/>
      <c r="FC284" s="122"/>
      <c r="FD284" s="122"/>
      <c r="FE284" s="122"/>
      <c r="FF284" s="122"/>
      <c r="FG284" s="122"/>
      <c r="FH284" s="122"/>
      <c r="FI284" s="122"/>
      <c r="FJ284" s="122"/>
      <c r="FK284" s="122"/>
      <c r="FL284" s="122"/>
      <c r="FM284" s="122"/>
      <c r="FN284" s="122"/>
      <c r="FO284" s="122"/>
      <c r="FP284" s="122"/>
      <c r="FQ284" s="122"/>
      <c r="FR284" s="122"/>
      <c r="FS284" s="122"/>
      <c r="FT284" s="122"/>
      <c r="FU284" s="122"/>
      <c r="FV284" s="122"/>
      <c r="FW284" s="122"/>
      <c r="FX284" s="122"/>
      <c r="FY284" s="122"/>
      <c r="FZ284" s="122"/>
      <c r="GA284" s="122"/>
      <c r="GB284" s="122"/>
      <c r="GC284" s="122"/>
      <c r="GD284" s="122"/>
      <c r="GE284" s="122"/>
      <c r="GF284" s="122"/>
      <c r="GG284" s="122"/>
      <c r="GH284" s="122"/>
      <c r="GI284" s="122"/>
    </row>
    <row r="285" spans="1:191" s="13" customFormat="1" ht="20.25" customHeight="1">
      <c r="A285" s="117">
        <v>139</v>
      </c>
      <c r="B285" s="124"/>
      <c r="C285" s="120"/>
      <c r="D285" s="102">
        <f t="shared" ref="D285" si="141">IFERROR(SUMPRODUCT(F285:HE285,$F$6:$HE$6)/100,0)</f>
        <v>0</v>
      </c>
      <c r="E285" s="103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122"/>
      <c r="AQ285" s="122"/>
      <c r="AR285" s="122"/>
      <c r="AS285" s="122"/>
      <c r="AT285" s="122"/>
      <c r="AU285" s="122"/>
      <c r="AV285" s="122"/>
      <c r="AW285" s="122"/>
      <c r="AX285" s="122"/>
      <c r="AY285" s="122"/>
      <c r="AZ285" s="122"/>
      <c r="BA285" s="122"/>
      <c r="BB285" s="122"/>
      <c r="BC285" s="122"/>
      <c r="BD285" s="122"/>
      <c r="BE285" s="122"/>
      <c r="BF285" s="122"/>
      <c r="BG285" s="122"/>
      <c r="BH285" s="122"/>
      <c r="BI285" s="122"/>
      <c r="BJ285" s="122"/>
      <c r="BK285" s="122"/>
      <c r="BL285" s="122"/>
      <c r="BM285" s="122"/>
      <c r="BN285" s="122"/>
      <c r="BO285" s="122"/>
      <c r="BP285" s="122"/>
      <c r="BQ285" s="123"/>
      <c r="BR285" s="123"/>
      <c r="BS285" s="123"/>
      <c r="BT285" s="122"/>
      <c r="BU285" s="122"/>
      <c r="BV285" s="122"/>
      <c r="BW285" s="122"/>
      <c r="BX285" s="122"/>
      <c r="BY285" s="122"/>
      <c r="BZ285" s="122"/>
      <c r="CA285" s="122"/>
      <c r="CB285" s="122"/>
      <c r="CC285" s="122"/>
      <c r="CD285" s="122"/>
      <c r="CE285" s="122"/>
      <c r="CF285" s="122"/>
      <c r="CG285" s="122"/>
      <c r="CH285" s="122"/>
      <c r="CI285" s="122"/>
      <c r="CJ285" s="122"/>
      <c r="CK285" s="122"/>
      <c r="CL285" s="122"/>
      <c r="CM285" s="122"/>
      <c r="CN285" s="122"/>
      <c r="CO285" s="122"/>
      <c r="CP285" s="122"/>
      <c r="CQ285" s="122"/>
      <c r="CR285" s="122"/>
      <c r="CS285" s="122"/>
      <c r="CT285" s="122"/>
      <c r="CU285" s="122"/>
      <c r="CV285" s="122"/>
      <c r="CW285" s="122"/>
      <c r="CX285" s="122"/>
      <c r="CY285" s="122"/>
      <c r="CZ285" s="122"/>
      <c r="DA285" s="122"/>
      <c r="DB285" s="122"/>
      <c r="DC285" s="122"/>
      <c r="DD285" s="122"/>
      <c r="DE285" s="122"/>
      <c r="DF285" s="122"/>
      <c r="DG285" s="122"/>
      <c r="DH285" s="122"/>
      <c r="DI285" s="122"/>
      <c r="DJ285" s="122"/>
      <c r="DK285" s="122"/>
      <c r="DL285" s="122"/>
      <c r="DM285" s="122"/>
      <c r="DN285" s="122"/>
      <c r="DO285" s="122"/>
      <c r="DP285" s="122"/>
      <c r="DQ285" s="122"/>
      <c r="DR285" s="122"/>
      <c r="DS285" s="122"/>
      <c r="DT285" s="122"/>
      <c r="DU285" s="122"/>
      <c r="DV285" s="122"/>
      <c r="DW285" s="122"/>
      <c r="DX285" s="122"/>
      <c r="DY285" s="122"/>
      <c r="DZ285" s="122"/>
      <c r="EA285" s="122"/>
      <c r="EB285" s="122"/>
      <c r="EC285" s="122"/>
      <c r="ED285" s="122"/>
      <c r="EE285" s="122"/>
      <c r="EF285" s="122"/>
      <c r="EG285" s="122"/>
      <c r="EH285" s="122"/>
      <c r="EI285" s="122"/>
      <c r="EJ285" s="122"/>
      <c r="EK285" s="122"/>
      <c r="EL285" s="122"/>
      <c r="EM285" s="122"/>
      <c r="EN285" s="122"/>
      <c r="EO285" s="122"/>
      <c r="EP285" s="122"/>
      <c r="EQ285" s="122"/>
      <c r="ER285" s="122"/>
      <c r="ES285" s="122"/>
      <c r="ET285" s="122"/>
      <c r="EU285" s="122"/>
      <c r="EV285" s="122"/>
      <c r="EW285" s="122"/>
      <c r="EX285" s="122"/>
      <c r="EY285" s="122"/>
      <c r="EZ285" s="122"/>
      <c r="FA285" s="122"/>
      <c r="FB285" s="122"/>
      <c r="FC285" s="122"/>
      <c r="FD285" s="122"/>
      <c r="FE285" s="122"/>
      <c r="FF285" s="122"/>
      <c r="FG285" s="122"/>
      <c r="FH285" s="122"/>
      <c r="FI285" s="122"/>
      <c r="FJ285" s="122"/>
      <c r="FK285" s="122"/>
      <c r="FL285" s="122"/>
      <c r="FM285" s="122"/>
      <c r="FN285" s="122"/>
      <c r="FO285" s="122"/>
      <c r="FP285" s="122"/>
      <c r="FQ285" s="122"/>
      <c r="FR285" s="122"/>
      <c r="FS285" s="122"/>
      <c r="FT285" s="122"/>
      <c r="FU285" s="122"/>
      <c r="FV285" s="122"/>
      <c r="FW285" s="122"/>
      <c r="FX285" s="122"/>
      <c r="FY285" s="122"/>
      <c r="FZ285" s="122"/>
      <c r="GA285" s="122"/>
      <c r="GB285" s="122"/>
      <c r="GC285" s="122"/>
      <c r="GD285" s="122"/>
      <c r="GE285" s="122"/>
      <c r="GF285" s="122"/>
      <c r="GG285" s="122"/>
      <c r="GH285" s="122"/>
      <c r="GI285" s="122"/>
    </row>
    <row r="286" spans="1:191" s="13" customFormat="1" ht="20.25" customHeight="1">
      <c r="A286" s="117"/>
      <c r="B286" s="124"/>
      <c r="C286" s="120"/>
      <c r="D286" s="121"/>
      <c r="E286" s="103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122"/>
      <c r="AQ286" s="122"/>
      <c r="AR286" s="122"/>
      <c r="AS286" s="122"/>
      <c r="AT286" s="122"/>
      <c r="AU286" s="122"/>
      <c r="AV286" s="122"/>
      <c r="AW286" s="122"/>
      <c r="AX286" s="122"/>
      <c r="AY286" s="122"/>
      <c r="AZ286" s="122"/>
      <c r="BA286" s="122"/>
      <c r="BB286" s="122"/>
      <c r="BC286" s="122"/>
      <c r="BD286" s="122"/>
      <c r="BE286" s="122"/>
      <c r="BF286" s="122"/>
      <c r="BG286" s="122"/>
      <c r="BH286" s="122"/>
      <c r="BI286" s="122"/>
      <c r="BJ286" s="122"/>
      <c r="BK286" s="122"/>
      <c r="BL286" s="122"/>
      <c r="BM286" s="122"/>
      <c r="BN286" s="122"/>
      <c r="BO286" s="122"/>
      <c r="BP286" s="122"/>
      <c r="BQ286" s="123"/>
      <c r="BR286" s="123"/>
      <c r="BS286" s="123"/>
      <c r="BT286" s="122"/>
      <c r="BU286" s="122"/>
      <c r="BV286" s="122"/>
      <c r="BW286" s="122"/>
      <c r="BX286" s="122"/>
      <c r="BY286" s="122"/>
      <c r="BZ286" s="122"/>
      <c r="CA286" s="122"/>
      <c r="CB286" s="122"/>
      <c r="CC286" s="122"/>
      <c r="CD286" s="122"/>
      <c r="CE286" s="122"/>
      <c r="CF286" s="122"/>
      <c r="CG286" s="122"/>
      <c r="CH286" s="122"/>
      <c r="CI286" s="122"/>
      <c r="CJ286" s="122"/>
      <c r="CK286" s="122"/>
      <c r="CL286" s="122"/>
      <c r="CM286" s="122"/>
      <c r="CN286" s="122"/>
      <c r="CO286" s="122"/>
      <c r="CP286" s="122"/>
      <c r="CQ286" s="122"/>
      <c r="CR286" s="122"/>
      <c r="CS286" s="122"/>
      <c r="CT286" s="122"/>
      <c r="CU286" s="122"/>
      <c r="CV286" s="122"/>
      <c r="CW286" s="122"/>
      <c r="CX286" s="122"/>
      <c r="CY286" s="122"/>
      <c r="CZ286" s="122"/>
      <c r="DA286" s="122"/>
      <c r="DB286" s="122"/>
      <c r="DC286" s="122"/>
      <c r="DD286" s="122"/>
      <c r="DE286" s="122"/>
      <c r="DF286" s="122"/>
      <c r="DG286" s="122"/>
      <c r="DH286" s="122"/>
      <c r="DI286" s="122"/>
      <c r="DJ286" s="122"/>
      <c r="DK286" s="122"/>
      <c r="DL286" s="122"/>
      <c r="DM286" s="122"/>
      <c r="DN286" s="122"/>
      <c r="DO286" s="122"/>
      <c r="DP286" s="122"/>
      <c r="DQ286" s="122"/>
      <c r="DR286" s="122"/>
      <c r="DS286" s="122"/>
      <c r="DT286" s="122"/>
      <c r="DU286" s="122"/>
      <c r="DV286" s="122"/>
      <c r="DW286" s="122"/>
      <c r="DX286" s="122"/>
      <c r="DY286" s="122"/>
      <c r="DZ286" s="122"/>
      <c r="EA286" s="122"/>
      <c r="EB286" s="122"/>
      <c r="EC286" s="122"/>
      <c r="ED286" s="122"/>
      <c r="EE286" s="122"/>
      <c r="EF286" s="122"/>
      <c r="EG286" s="122"/>
      <c r="EH286" s="122"/>
      <c r="EI286" s="122"/>
      <c r="EJ286" s="122"/>
      <c r="EK286" s="122"/>
      <c r="EL286" s="122"/>
      <c r="EM286" s="122"/>
      <c r="EN286" s="122"/>
      <c r="EO286" s="122"/>
      <c r="EP286" s="122"/>
      <c r="EQ286" s="122"/>
      <c r="ER286" s="122"/>
      <c r="ES286" s="122"/>
      <c r="ET286" s="122"/>
      <c r="EU286" s="122"/>
      <c r="EV286" s="122"/>
      <c r="EW286" s="122"/>
      <c r="EX286" s="122"/>
      <c r="EY286" s="122"/>
      <c r="EZ286" s="122"/>
      <c r="FA286" s="122"/>
      <c r="FB286" s="122"/>
      <c r="FC286" s="122"/>
      <c r="FD286" s="122"/>
      <c r="FE286" s="122"/>
      <c r="FF286" s="122"/>
      <c r="FG286" s="122"/>
      <c r="FH286" s="122"/>
      <c r="FI286" s="122"/>
      <c r="FJ286" s="122"/>
      <c r="FK286" s="122"/>
      <c r="FL286" s="122"/>
      <c r="FM286" s="122"/>
      <c r="FN286" s="122"/>
      <c r="FO286" s="122"/>
      <c r="FP286" s="122"/>
      <c r="FQ286" s="122"/>
      <c r="FR286" s="122"/>
      <c r="FS286" s="122"/>
      <c r="FT286" s="122"/>
      <c r="FU286" s="122"/>
      <c r="FV286" s="122"/>
      <c r="FW286" s="122"/>
      <c r="FX286" s="122"/>
      <c r="FY286" s="122"/>
      <c r="FZ286" s="122"/>
      <c r="GA286" s="122"/>
      <c r="GB286" s="122"/>
      <c r="GC286" s="122"/>
      <c r="GD286" s="122"/>
      <c r="GE286" s="122"/>
      <c r="GF286" s="122"/>
      <c r="GG286" s="122"/>
      <c r="GH286" s="122"/>
      <c r="GI286" s="122"/>
    </row>
    <row r="287" spans="1:191" s="13" customFormat="1" ht="20.25" customHeight="1">
      <c r="A287" s="117">
        <v>140</v>
      </c>
      <c r="B287" s="124"/>
      <c r="C287" s="120"/>
      <c r="D287" s="102">
        <f t="shared" ref="D287" si="142">IFERROR(SUMPRODUCT(F287:HE287,$F$6:$HE$6)/100,0)</f>
        <v>0</v>
      </c>
      <c r="E287" s="103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122"/>
      <c r="AQ287" s="122"/>
      <c r="AR287" s="122"/>
      <c r="AS287" s="122"/>
      <c r="AT287" s="122"/>
      <c r="AU287" s="122"/>
      <c r="AV287" s="122"/>
      <c r="AW287" s="122"/>
      <c r="AX287" s="122"/>
      <c r="AY287" s="122"/>
      <c r="AZ287" s="122"/>
      <c r="BA287" s="122"/>
      <c r="BB287" s="122"/>
      <c r="BC287" s="122"/>
      <c r="BD287" s="122"/>
      <c r="BE287" s="122"/>
      <c r="BF287" s="122"/>
      <c r="BG287" s="122"/>
      <c r="BH287" s="122"/>
      <c r="BI287" s="122"/>
      <c r="BJ287" s="122"/>
      <c r="BK287" s="122"/>
      <c r="BL287" s="122"/>
      <c r="BM287" s="122"/>
      <c r="BN287" s="122"/>
      <c r="BO287" s="122"/>
      <c r="BP287" s="122"/>
      <c r="BQ287" s="123"/>
      <c r="BR287" s="123"/>
      <c r="BS287" s="123"/>
      <c r="BT287" s="122"/>
      <c r="BU287" s="122"/>
      <c r="BV287" s="122"/>
      <c r="BW287" s="122"/>
      <c r="BX287" s="122"/>
      <c r="BY287" s="122"/>
      <c r="BZ287" s="122"/>
      <c r="CA287" s="122"/>
      <c r="CB287" s="122"/>
      <c r="CC287" s="122"/>
      <c r="CD287" s="122"/>
      <c r="CE287" s="122"/>
      <c r="CF287" s="122"/>
      <c r="CG287" s="122"/>
      <c r="CH287" s="122"/>
      <c r="CI287" s="122"/>
      <c r="CJ287" s="122"/>
      <c r="CK287" s="122"/>
      <c r="CL287" s="122"/>
      <c r="CM287" s="122"/>
      <c r="CN287" s="122"/>
      <c r="CO287" s="122"/>
      <c r="CP287" s="122"/>
      <c r="CQ287" s="122"/>
      <c r="CR287" s="122"/>
      <c r="CS287" s="122"/>
      <c r="CT287" s="122"/>
      <c r="CU287" s="122"/>
      <c r="CV287" s="122"/>
      <c r="CW287" s="122"/>
      <c r="CX287" s="122"/>
      <c r="CY287" s="122"/>
      <c r="CZ287" s="122"/>
      <c r="DA287" s="122"/>
      <c r="DB287" s="122"/>
      <c r="DC287" s="122"/>
      <c r="DD287" s="122"/>
      <c r="DE287" s="122"/>
      <c r="DF287" s="122"/>
      <c r="DG287" s="122"/>
      <c r="DH287" s="122"/>
      <c r="DI287" s="122"/>
      <c r="DJ287" s="122"/>
      <c r="DK287" s="122"/>
      <c r="DL287" s="122"/>
      <c r="DM287" s="122"/>
      <c r="DN287" s="122"/>
      <c r="DO287" s="122"/>
      <c r="DP287" s="122"/>
      <c r="DQ287" s="122"/>
      <c r="DR287" s="122"/>
      <c r="DS287" s="122"/>
      <c r="DT287" s="122"/>
      <c r="DU287" s="122"/>
      <c r="DV287" s="122"/>
      <c r="DW287" s="122"/>
      <c r="DX287" s="122"/>
      <c r="DY287" s="122"/>
      <c r="DZ287" s="122"/>
      <c r="EA287" s="122"/>
      <c r="EB287" s="122"/>
      <c r="EC287" s="122"/>
      <c r="ED287" s="122"/>
      <c r="EE287" s="122"/>
      <c r="EF287" s="122"/>
      <c r="EG287" s="122"/>
      <c r="EH287" s="122"/>
      <c r="EI287" s="122"/>
      <c r="EJ287" s="122"/>
      <c r="EK287" s="122"/>
      <c r="EL287" s="122"/>
      <c r="EM287" s="122"/>
      <c r="EN287" s="122"/>
      <c r="EO287" s="122"/>
      <c r="EP287" s="122"/>
      <c r="EQ287" s="122"/>
      <c r="ER287" s="122"/>
      <c r="ES287" s="122"/>
      <c r="ET287" s="122"/>
      <c r="EU287" s="122"/>
      <c r="EV287" s="122"/>
      <c r="EW287" s="122"/>
      <c r="EX287" s="122"/>
      <c r="EY287" s="122"/>
      <c r="EZ287" s="122"/>
      <c r="FA287" s="122"/>
      <c r="FB287" s="122"/>
      <c r="FC287" s="122"/>
      <c r="FD287" s="122"/>
      <c r="FE287" s="122"/>
      <c r="FF287" s="122"/>
      <c r="FG287" s="122"/>
      <c r="FH287" s="122"/>
      <c r="FI287" s="122"/>
      <c r="FJ287" s="122"/>
      <c r="FK287" s="122"/>
      <c r="FL287" s="122"/>
      <c r="FM287" s="122"/>
      <c r="FN287" s="122"/>
      <c r="FO287" s="122"/>
      <c r="FP287" s="122"/>
      <c r="FQ287" s="122"/>
      <c r="FR287" s="122"/>
      <c r="FS287" s="122"/>
      <c r="FT287" s="122"/>
      <c r="FU287" s="122"/>
      <c r="FV287" s="122"/>
      <c r="FW287" s="122"/>
      <c r="FX287" s="122"/>
      <c r="FY287" s="122"/>
      <c r="FZ287" s="122"/>
      <c r="GA287" s="122"/>
      <c r="GB287" s="122"/>
      <c r="GC287" s="122"/>
      <c r="GD287" s="122"/>
      <c r="GE287" s="122"/>
      <c r="GF287" s="122"/>
      <c r="GG287" s="122"/>
      <c r="GH287" s="122"/>
      <c r="GI287" s="122"/>
    </row>
    <row r="288" spans="1:191" s="13" customFormat="1" ht="20.25" customHeight="1">
      <c r="A288" s="117"/>
      <c r="B288" s="124"/>
      <c r="C288" s="120"/>
      <c r="D288" s="121"/>
      <c r="E288" s="103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122"/>
      <c r="AQ288" s="122"/>
      <c r="AR288" s="122"/>
      <c r="AS288" s="122"/>
      <c r="AT288" s="122"/>
      <c r="AU288" s="122"/>
      <c r="AV288" s="122"/>
      <c r="AW288" s="122"/>
      <c r="AX288" s="122"/>
      <c r="AY288" s="122"/>
      <c r="AZ288" s="122"/>
      <c r="BA288" s="122"/>
      <c r="BB288" s="122"/>
      <c r="BC288" s="122"/>
      <c r="BD288" s="122"/>
      <c r="BE288" s="122"/>
      <c r="BF288" s="122"/>
      <c r="BG288" s="122"/>
      <c r="BH288" s="122"/>
      <c r="BI288" s="122"/>
      <c r="BJ288" s="122"/>
      <c r="BK288" s="122"/>
      <c r="BL288" s="122"/>
      <c r="BM288" s="122"/>
      <c r="BN288" s="122"/>
      <c r="BO288" s="122"/>
      <c r="BP288" s="122"/>
      <c r="BQ288" s="123"/>
      <c r="BR288" s="123"/>
      <c r="BS288" s="123"/>
      <c r="BT288" s="122"/>
      <c r="BU288" s="122"/>
      <c r="BV288" s="122"/>
      <c r="BW288" s="122"/>
      <c r="BX288" s="122"/>
      <c r="BY288" s="122"/>
      <c r="BZ288" s="122"/>
      <c r="CA288" s="122"/>
      <c r="CB288" s="122"/>
      <c r="CC288" s="122"/>
      <c r="CD288" s="122"/>
      <c r="CE288" s="122"/>
      <c r="CF288" s="122"/>
      <c r="CG288" s="122"/>
      <c r="CH288" s="122"/>
      <c r="CI288" s="122"/>
      <c r="CJ288" s="122"/>
      <c r="CK288" s="122"/>
      <c r="CL288" s="122"/>
      <c r="CM288" s="122"/>
      <c r="CN288" s="122"/>
      <c r="CO288" s="122"/>
      <c r="CP288" s="122"/>
      <c r="CQ288" s="122"/>
      <c r="CR288" s="122"/>
      <c r="CS288" s="122"/>
      <c r="CT288" s="122"/>
      <c r="CU288" s="122"/>
      <c r="CV288" s="122"/>
      <c r="CW288" s="122"/>
      <c r="CX288" s="122"/>
      <c r="CY288" s="122"/>
      <c r="CZ288" s="122"/>
      <c r="DA288" s="122"/>
      <c r="DB288" s="122"/>
      <c r="DC288" s="122"/>
      <c r="DD288" s="122"/>
      <c r="DE288" s="122"/>
      <c r="DF288" s="122"/>
      <c r="DG288" s="122"/>
      <c r="DH288" s="122"/>
      <c r="DI288" s="122"/>
      <c r="DJ288" s="122"/>
      <c r="DK288" s="122"/>
      <c r="DL288" s="122"/>
      <c r="DM288" s="122"/>
      <c r="DN288" s="122"/>
      <c r="DO288" s="122"/>
      <c r="DP288" s="122"/>
      <c r="DQ288" s="122"/>
      <c r="DR288" s="122"/>
      <c r="DS288" s="122"/>
      <c r="DT288" s="122"/>
      <c r="DU288" s="122"/>
      <c r="DV288" s="122"/>
      <c r="DW288" s="122"/>
      <c r="DX288" s="122"/>
      <c r="DY288" s="122"/>
      <c r="DZ288" s="122"/>
      <c r="EA288" s="122"/>
      <c r="EB288" s="122"/>
      <c r="EC288" s="122"/>
      <c r="ED288" s="122"/>
      <c r="EE288" s="122"/>
      <c r="EF288" s="122"/>
      <c r="EG288" s="122"/>
      <c r="EH288" s="122"/>
      <c r="EI288" s="122"/>
      <c r="EJ288" s="122"/>
      <c r="EK288" s="122"/>
      <c r="EL288" s="122"/>
      <c r="EM288" s="122"/>
      <c r="EN288" s="122"/>
      <c r="EO288" s="122"/>
      <c r="EP288" s="122"/>
      <c r="EQ288" s="122"/>
      <c r="ER288" s="122"/>
      <c r="ES288" s="122"/>
      <c r="ET288" s="122"/>
      <c r="EU288" s="122"/>
      <c r="EV288" s="122"/>
      <c r="EW288" s="122"/>
      <c r="EX288" s="122"/>
      <c r="EY288" s="122"/>
      <c r="EZ288" s="122"/>
      <c r="FA288" s="122"/>
      <c r="FB288" s="122"/>
      <c r="FC288" s="122"/>
      <c r="FD288" s="122"/>
      <c r="FE288" s="122"/>
      <c r="FF288" s="122"/>
      <c r="FG288" s="122"/>
      <c r="FH288" s="122"/>
      <c r="FI288" s="122"/>
      <c r="FJ288" s="122"/>
      <c r="FK288" s="122"/>
      <c r="FL288" s="122"/>
      <c r="FM288" s="122"/>
      <c r="FN288" s="122"/>
      <c r="FO288" s="122"/>
      <c r="FP288" s="122"/>
      <c r="FQ288" s="122"/>
      <c r="FR288" s="122"/>
      <c r="FS288" s="122"/>
      <c r="FT288" s="122"/>
      <c r="FU288" s="122"/>
      <c r="FV288" s="122"/>
      <c r="FW288" s="122"/>
      <c r="FX288" s="122"/>
      <c r="FY288" s="122"/>
      <c r="FZ288" s="122"/>
      <c r="GA288" s="122"/>
      <c r="GB288" s="122"/>
      <c r="GC288" s="122"/>
      <c r="GD288" s="122"/>
      <c r="GE288" s="122"/>
      <c r="GF288" s="122"/>
      <c r="GG288" s="122"/>
      <c r="GH288" s="122"/>
      <c r="GI288" s="122"/>
    </row>
    <row r="289" spans="1:211" s="13" customFormat="1" ht="20.25" customHeight="1">
      <c r="A289" s="117">
        <v>141</v>
      </c>
      <c r="B289" s="124"/>
      <c r="C289" s="120"/>
      <c r="D289" s="102">
        <f t="shared" ref="D289" si="143">IFERROR(SUMPRODUCT(F289:HE289,$F$6:$HE$6)/100,0)</f>
        <v>0</v>
      </c>
      <c r="E289" s="103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122"/>
      <c r="AQ289" s="122"/>
      <c r="AR289" s="122"/>
      <c r="AS289" s="122"/>
      <c r="AT289" s="122"/>
      <c r="AU289" s="122"/>
      <c r="AV289" s="122"/>
      <c r="AW289" s="122"/>
      <c r="AX289" s="122"/>
      <c r="AY289" s="122"/>
      <c r="AZ289" s="122"/>
      <c r="BA289" s="122"/>
      <c r="BB289" s="122"/>
      <c r="BC289" s="122"/>
      <c r="BD289" s="122"/>
      <c r="BE289" s="122"/>
      <c r="BF289" s="122"/>
      <c r="BG289" s="122"/>
      <c r="BH289" s="122"/>
      <c r="BI289" s="122"/>
      <c r="BJ289" s="122"/>
      <c r="BK289" s="122"/>
      <c r="BL289" s="122"/>
      <c r="BM289" s="122"/>
      <c r="BN289" s="122"/>
      <c r="BO289" s="122"/>
      <c r="BP289" s="122"/>
      <c r="BQ289" s="123"/>
      <c r="BR289" s="123"/>
      <c r="BS289" s="123"/>
      <c r="BT289" s="122"/>
      <c r="BU289" s="122"/>
      <c r="BV289" s="122"/>
      <c r="BW289" s="122"/>
      <c r="BX289" s="122"/>
      <c r="BY289" s="122"/>
      <c r="BZ289" s="122"/>
      <c r="CA289" s="122"/>
      <c r="CB289" s="122"/>
      <c r="CC289" s="122"/>
      <c r="CD289" s="122"/>
      <c r="CE289" s="122"/>
      <c r="CF289" s="122"/>
      <c r="CG289" s="122"/>
      <c r="CH289" s="122"/>
      <c r="CI289" s="122"/>
      <c r="CJ289" s="122"/>
      <c r="CK289" s="122"/>
      <c r="CL289" s="122"/>
      <c r="CM289" s="122"/>
      <c r="CN289" s="122"/>
      <c r="CO289" s="122"/>
      <c r="CP289" s="122"/>
      <c r="CQ289" s="122"/>
      <c r="CR289" s="122"/>
      <c r="CS289" s="122"/>
      <c r="CT289" s="122"/>
      <c r="CU289" s="122"/>
      <c r="CV289" s="122"/>
      <c r="CW289" s="122"/>
      <c r="CX289" s="122"/>
      <c r="CY289" s="122"/>
      <c r="CZ289" s="122"/>
      <c r="DA289" s="122"/>
      <c r="DB289" s="122"/>
      <c r="DC289" s="122"/>
      <c r="DD289" s="122"/>
      <c r="DE289" s="122"/>
      <c r="DF289" s="122"/>
      <c r="DG289" s="122"/>
      <c r="DH289" s="122"/>
      <c r="DI289" s="122"/>
      <c r="DJ289" s="122"/>
      <c r="DK289" s="122"/>
      <c r="DL289" s="122"/>
      <c r="DM289" s="122"/>
      <c r="DN289" s="122"/>
      <c r="DO289" s="122"/>
      <c r="DP289" s="122"/>
      <c r="DQ289" s="122"/>
      <c r="DR289" s="122"/>
      <c r="DS289" s="122"/>
      <c r="DT289" s="122"/>
      <c r="DU289" s="122"/>
      <c r="DV289" s="122"/>
      <c r="DW289" s="122"/>
      <c r="DX289" s="122"/>
      <c r="DY289" s="122"/>
      <c r="DZ289" s="122"/>
      <c r="EA289" s="122"/>
      <c r="EB289" s="122"/>
      <c r="EC289" s="122"/>
      <c r="ED289" s="122"/>
      <c r="EE289" s="122"/>
      <c r="EF289" s="122"/>
      <c r="EG289" s="122"/>
      <c r="EH289" s="122"/>
      <c r="EI289" s="122"/>
      <c r="EJ289" s="122"/>
      <c r="EK289" s="122"/>
      <c r="EL289" s="122"/>
      <c r="EM289" s="122"/>
      <c r="EN289" s="122"/>
      <c r="EO289" s="122"/>
      <c r="EP289" s="122"/>
      <c r="EQ289" s="122"/>
      <c r="ER289" s="122"/>
      <c r="ES289" s="122"/>
      <c r="ET289" s="122"/>
      <c r="EU289" s="122"/>
      <c r="EV289" s="122"/>
      <c r="EW289" s="122"/>
      <c r="EX289" s="122"/>
      <c r="EY289" s="122"/>
      <c r="EZ289" s="122"/>
      <c r="FA289" s="122"/>
      <c r="FB289" s="122"/>
      <c r="FC289" s="122"/>
      <c r="FD289" s="122"/>
      <c r="FE289" s="122"/>
      <c r="FF289" s="122"/>
      <c r="FG289" s="122"/>
      <c r="FH289" s="122"/>
      <c r="FI289" s="122"/>
      <c r="FJ289" s="122"/>
      <c r="FK289" s="122"/>
      <c r="FL289" s="122"/>
      <c r="FM289" s="122"/>
      <c r="FN289" s="122"/>
      <c r="FO289" s="122"/>
      <c r="FP289" s="122"/>
      <c r="FQ289" s="122"/>
      <c r="FR289" s="122"/>
      <c r="FS289" s="122"/>
      <c r="FT289" s="122"/>
      <c r="FU289" s="122"/>
      <c r="FV289" s="122"/>
      <c r="FW289" s="122"/>
      <c r="FX289" s="122"/>
      <c r="FY289" s="122"/>
      <c r="FZ289" s="122"/>
      <c r="GA289" s="122"/>
      <c r="GB289" s="122"/>
      <c r="GC289" s="122"/>
      <c r="GD289" s="122"/>
      <c r="GE289" s="122"/>
      <c r="GF289" s="122"/>
      <c r="GG289" s="122"/>
      <c r="GH289" s="122"/>
      <c r="GI289" s="122"/>
    </row>
    <row r="290" spans="1:211" s="13" customFormat="1" ht="20.25" customHeight="1">
      <c r="A290" s="117"/>
      <c r="B290" s="124"/>
      <c r="C290" s="120"/>
      <c r="D290" s="121"/>
      <c r="E290" s="103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122"/>
      <c r="AQ290" s="122"/>
      <c r="AR290" s="122"/>
      <c r="AS290" s="122"/>
      <c r="AT290" s="122"/>
      <c r="AU290" s="122"/>
      <c r="AV290" s="122"/>
      <c r="AW290" s="122"/>
      <c r="AX290" s="122"/>
      <c r="AY290" s="122"/>
      <c r="AZ290" s="122"/>
      <c r="BA290" s="122"/>
      <c r="BB290" s="122"/>
      <c r="BC290" s="122"/>
      <c r="BD290" s="122"/>
      <c r="BE290" s="122"/>
      <c r="BF290" s="122"/>
      <c r="BG290" s="122"/>
      <c r="BH290" s="122"/>
      <c r="BI290" s="122"/>
      <c r="BJ290" s="122"/>
      <c r="BK290" s="122"/>
      <c r="BL290" s="122"/>
      <c r="BM290" s="122"/>
      <c r="BN290" s="122"/>
      <c r="BO290" s="122"/>
      <c r="BP290" s="122"/>
      <c r="BQ290" s="123"/>
      <c r="BR290" s="123"/>
      <c r="BS290" s="123"/>
      <c r="BT290" s="122"/>
      <c r="BU290" s="122"/>
      <c r="BV290" s="122"/>
      <c r="BW290" s="122"/>
      <c r="BX290" s="122"/>
      <c r="BY290" s="122"/>
      <c r="BZ290" s="122"/>
      <c r="CA290" s="122"/>
      <c r="CB290" s="122"/>
      <c r="CC290" s="122"/>
      <c r="CD290" s="122"/>
      <c r="CE290" s="122"/>
      <c r="CF290" s="122"/>
      <c r="CG290" s="122"/>
      <c r="CH290" s="122"/>
      <c r="CI290" s="122"/>
      <c r="CJ290" s="122"/>
      <c r="CK290" s="122"/>
      <c r="CL290" s="122"/>
      <c r="CM290" s="122"/>
      <c r="CN290" s="122"/>
      <c r="CO290" s="122"/>
      <c r="CP290" s="122"/>
      <c r="CQ290" s="122"/>
      <c r="CR290" s="122"/>
      <c r="CS290" s="122"/>
      <c r="CT290" s="122"/>
      <c r="CU290" s="122"/>
      <c r="CV290" s="122"/>
      <c r="CW290" s="122"/>
      <c r="CX290" s="122"/>
      <c r="CY290" s="122"/>
      <c r="CZ290" s="122"/>
      <c r="DA290" s="122"/>
      <c r="DB290" s="122"/>
      <c r="DC290" s="122"/>
      <c r="DD290" s="122"/>
      <c r="DE290" s="122"/>
      <c r="DF290" s="122"/>
      <c r="DG290" s="122"/>
      <c r="DH290" s="122"/>
      <c r="DI290" s="122"/>
      <c r="DJ290" s="122"/>
      <c r="DK290" s="122"/>
      <c r="DL290" s="122"/>
      <c r="DM290" s="122"/>
      <c r="DN290" s="122"/>
      <c r="DO290" s="122"/>
      <c r="DP290" s="122"/>
      <c r="DQ290" s="122"/>
      <c r="DR290" s="122"/>
      <c r="DS290" s="122"/>
      <c r="DT290" s="122"/>
      <c r="DU290" s="122"/>
      <c r="DV290" s="122"/>
      <c r="DW290" s="122"/>
      <c r="DX290" s="122"/>
      <c r="DY290" s="122"/>
      <c r="DZ290" s="122"/>
      <c r="EA290" s="122"/>
      <c r="EB290" s="122"/>
      <c r="EC290" s="122"/>
      <c r="ED290" s="122"/>
      <c r="EE290" s="122"/>
      <c r="EF290" s="122"/>
      <c r="EG290" s="122"/>
      <c r="EH290" s="122"/>
      <c r="EI290" s="122"/>
      <c r="EJ290" s="122"/>
      <c r="EK290" s="122"/>
      <c r="EL290" s="122"/>
      <c r="EM290" s="122"/>
      <c r="EN290" s="122"/>
      <c r="EO290" s="122"/>
      <c r="EP290" s="122"/>
      <c r="EQ290" s="122"/>
      <c r="ER290" s="122"/>
      <c r="ES290" s="122"/>
      <c r="ET290" s="122"/>
      <c r="EU290" s="122"/>
      <c r="EV290" s="122"/>
      <c r="EW290" s="122"/>
      <c r="EX290" s="122"/>
      <c r="EY290" s="122"/>
      <c r="EZ290" s="122"/>
      <c r="FA290" s="122"/>
      <c r="FB290" s="122"/>
      <c r="FC290" s="122"/>
      <c r="FD290" s="122"/>
      <c r="FE290" s="122"/>
      <c r="FF290" s="122"/>
      <c r="FG290" s="122"/>
      <c r="FH290" s="122"/>
      <c r="FI290" s="122"/>
      <c r="FJ290" s="122"/>
      <c r="FK290" s="122"/>
      <c r="FL290" s="122"/>
      <c r="FM290" s="122"/>
      <c r="FN290" s="122"/>
      <c r="FO290" s="122"/>
      <c r="FP290" s="122"/>
      <c r="FQ290" s="122"/>
      <c r="FR290" s="122"/>
      <c r="FS290" s="122"/>
      <c r="FT290" s="122"/>
      <c r="FU290" s="122"/>
      <c r="FV290" s="122"/>
      <c r="FW290" s="122"/>
      <c r="FX290" s="122"/>
      <c r="FY290" s="122"/>
      <c r="FZ290" s="122"/>
      <c r="GA290" s="122"/>
      <c r="GB290" s="122"/>
      <c r="GC290" s="122"/>
      <c r="GD290" s="122"/>
      <c r="GE290" s="122"/>
      <c r="GF290" s="122"/>
      <c r="GG290" s="122"/>
      <c r="GH290" s="122"/>
      <c r="GI290" s="122"/>
    </row>
    <row r="291" spans="1:211" s="13" customFormat="1" ht="20.25" customHeight="1">
      <c r="A291" s="117">
        <v>142</v>
      </c>
      <c r="B291" s="124"/>
      <c r="C291" s="120"/>
      <c r="D291" s="102">
        <f t="shared" ref="D291" si="144">IFERROR(SUMPRODUCT(F291:HE291,$F$6:$HE$6)/100,0)</f>
        <v>0</v>
      </c>
      <c r="E291" s="103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122"/>
      <c r="AQ291" s="122"/>
      <c r="AR291" s="122"/>
      <c r="AS291" s="122"/>
      <c r="AT291" s="122"/>
      <c r="AU291" s="122"/>
      <c r="AV291" s="122"/>
      <c r="AW291" s="122"/>
      <c r="AX291" s="122"/>
      <c r="AY291" s="122"/>
      <c r="AZ291" s="122"/>
      <c r="BA291" s="122"/>
      <c r="BB291" s="122"/>
      <c r="BC291" s="122"/>
      <c r="BD291" s="122"/>
      <c r="BE291" s="122"/>
      <c r="BF291" s="122"/>
      <c r="BG291" s="122"/>
      <c r="BH291" s="122"/>
      <c r="BI291" s="122"/>
      <c r="BJ291" s="122"/>
      <c r="BK291" s="122"/>
      <c r="BL291" s="122"/>
      <c r="BM291" s="122"/>
      <c r="BN291" s="122"/>
      <c r="BO291" s="122"/>
      <c r="BP291" s="122"/>
      <c r="BQ291" s="123"/>
      <c r="BR291" s="123"/>
      <c r="BS291" s="123"/>
      <c r="BT291" s="122"/>
      <c r="BU291" s="122"/>
      <c r="BV291" s="122"/>
      <c r="BW291" s="122"/>
      <c r="BX291" s="122"/>
      <c r="BY291" s="122"/>
      <c r="BZ291" s="122"/>
      <c r="CA291" s="122"/>
      <c r="CB291" s="122"/>
      <c r="CC291" s="122"/>
      <c r="CD291" s="122"/>
      <c r="CE291" s="122"/>
      <c r="CF291" s="122"/>
      <c r="CG291" s="122"/>
      <c r="CH291" s="122"/>
      <c r="CI291" s="122"/>
      <c r="CJ291" s="122"/>
      <c r="CK291" s="122"/>
      <c r="CL291" s="122"/>
      <c r="CM291" s="122"/>
      <c r="CN291" s="122"/>
      <c r="CO291" s="122"/>
      <c r="CP291" s="122"/>
      <c r="CQ291" s="122"/>
      <c r="CR291" s="122"/>
      <c r="CS291" s="122"/>
      <c r="CT291" s="122"/>
      <c r="CU291" s="122"/>
      <c r="CV291" s="122"/>
      <c r="CW291" s="122"/>
      <c r="CX291" s="122"/>
      <c r="CY291" s="122"/>
      <c r="CZ291" s="122"/>
      <c r="DA291" s="122"/>
      <c r="DB291" s="122"/>
      <c r="DC291" s="122"/>
      <c r="DD291" s="122"/>
      <c r="DE291" s="122"/>
      <c r="DF291" s="122"/>
      <c r="DG291" s="122"/>
      <c r="DH291" s="122"/>
      <c r="DI291" s="122"/>
      <c r="DJ291" s="122"/>
      <c r="DK291" s="122"/>
      <c r="DL291" s="122"/>
      <c r="DM291" s="122"/>
      <c r="DN291" s="122"/>
      <c r="DO291" s="122"/>
      <c r="DP291" s="122"/>
      <c r="DQ291" s="122"/>
      <c r="DR291" s="122"/>
      <c r="DS291" s="122"/>
      <c r="DT291" s="122"/>
      <c r="DU291" s="122"/>
      <c r="DV291" s="122"/>
      <c r="DW291" s="122"/>
      <c r="DX291" s="122"/>
      <c r="DY291" s="122"/>
      <c r="DZ291" s="122"/>
      <c r="EA291" s="122"/>
      <c r="EB291" s="122"/>
      <c r="EC291" s="122"/>
      <c r="ED291" s="122"/>
      <c r="EE291" s="122"/>
      <c r="EF291" s="122"/>
      <c r="EG291" s="122"/>
      <c r="EH291" s="122"/>
      <c r="EI291" s="122"/>
      <c r="EJ291" s="122"/>
      <c r="EK291" s="122"/>
      <c r="EL291" s="122"/>
      <c r="EM291" s="122"/>
      <c r="EN291" s="122"/>
      <c r="EO291" s="122"/>
      <c r="EP291" s="122"/>
      <c r="EQ291" s="122"/>
      <c r="ER291" s="122"/>
      <c r="ES291" s="122"/>
      <c r="ET291" s="122"/>
      <c r="EU291" s="122"/>
      <c r="EV291" s="122"/>
      <c r="EW291" s="122"/>
      <c r="EX291" s="122"/>
      <c r="EY291" s="122"/>
      <c r="EZ291" s="122"/>
      <c r="FA291" s="122"/>
      <c r="FB291" s="122"/>
      <c r="FC291" s="122"/>
      <c r="FD291" s="122"/>
      <c r="FE291" s="122"/>
      <c r="FF291" s="122"/>
      <c r="FG291" s="122"/>
      <c r="FH291" s="122"/>
      <c r="FI291" s="122"/>
      <c r="FJ291" s="122"/>
      <c r="FK291" s="122"/>
      <c r="FL291" s="122"/>
      <c r="FM291" s="122"/>
      <c r="FN291" s="122"/>
      <c r="FO291" s="122"/>
      <c r="FP291" s="122"/>
      <c r="FQ291" s="122"/>
      <c r="FR291" s="122"/>
      <c r="FS291" s="122"/>
      <c r="FT291" s="122"/>
      <c r="FU291" s="122"/>
      <c r="FV291" s="122"/>
      <c r="FW291" s="122"/>
      <c r="FX291" s="122"/>
      <c r="FY291" s="122"/>
      <c r="FZ291" s="122"/>
      <c r="GA291" s="122"/>
      <c r="GB291" s="122"/>
      <c r="GC291" s="122"/>
      <c r="GD291" s="122"/>
      <c r="GE291" s="122"/>
      <c r="GF291" s="122"/>
      <c r="GG291" s="122"/>
      <c r="GH291" s="122"/>
      <c r="GI291" s="122"/>
    </row>
    <row r="292" spans="1:211" s="13" customFormat="1" ht="20.25" customHeight="1">
      <c r="A292" s="117"/>
      <c r="B292" s="124"/>
      <c r="C292" s="120"/>
      <c r="D292" s="121"/>
      <c r="E292" s="103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122"/>
      <c r="AQ292" s="122"/>
      <c r="AR292" s="122"/>
      <c r="AS292" s="122"/>
      <c r="AT292" s="122"/>
      <c r="AU292" s="122"/>
      <c r="AV292" s="122"/>
      <c r="AW292" s="122"/>
      <c r="AX292" s="122"/>
      <c r="AY292" s="122"/>
      <c r="AZ292" s="122"/>
      <c r="BA292" s="122"/>
      <c r="BB292" s="122"/>
      <c r="BC292" s="122"/>
      <c r="BD292" s="122"/>
      <c r="BE292" s="122"/>
      <c r="BF292" s="122"/>
      <c r="BG292" s="122"/>
      <c r="BH292" s="122"/>
      <c r="BI292" s="122"/>
      <c r="BJ292" s="122"/>
      <c r="BK292" s="122"/>
      <c r="BL292" s="122"/>
      <c r="BM292" s="122"/>
      <c r="BN292" s="122"/>
      <c r="BO292" s="122"/>
      <c r="BP292" s="122"/>
      <c r="BQ292" s="123"/>
      <c r="BR292" s="123"/>
      <c r="BS292" s="123"/>
      <c r="BT292" s="122"/>
      <c r="BU292" s="122"/>
      <c r="BV292" s="122"/>
      <c r="BW292" s="122"/>
      <c r="BX292" s="122"/>
      <c r="BY292" s="122"/>
      <c r="BZ292" s="122"/>
      <c r="CA292" s="122"/>
      <c r="CB292" s="122"/>
      <c r="CC292" s="122"/>
      <c r="CD292" s="122"/>
      <c r="CE292" s="122"/>
      <c r="CF292" s="122"/>
      <c r="CG292" s="122"/>
      <c r="CH292" s="122"/>
      <c r="CI292" s="122"/>
      <c r="CJ292" s="122"/>
      <c r="CK292" s="122"/>
      <c r="CL292" s="122"/>
      <c r="CM292" s="122"/>
      <c r="CN292" s="122"/>
      <c r="CO292" s="122"/>
      <c r="CP292" s="122"/>
      <c r="CQ292" s="122"/>
      <c r="CR292" s="122"/>
      <c r="CS292" s="122"/>
      <c r="CT292" s="122"/>
      <c r="CU292" s="122"/>
      <c r="CV292" s="122"/>
      <c r="CW292" s="122"/>
      <c r="CX292" s="122"/>
      <c r="CY292" s="122"/>
      <c r="CZ292" s="122"/>
      <c r="DA292" s="122"/>
      <c r="DB292" s="122"/>
      <c r="DC292" s="122"/>
      <c r="DD292" s="122"/>
      <c r="DE292" s="122"/>
      <c r="DF292" s="122"/>
      <c r="DG292" s="122"/>
      <c r="DH292" s="122"/>
      <c r="DI292" s="122"/>
      <c r="DJ292" s="122"/>
      <c r="DK292" s="122"/>
      <c r="DL292" s="122"/>
      <c r="DM292" s="122"/>
      <c r="DN292" s="122"/>
      <c r="DO292" s="122"/>
      <c r="DP292" s="122"/>
      <c r="DQ292" s="122"/>
      <c r="DR292" s="122"/>
      <c r="DS292" s="122"/>
      <c r="DT292" s="122"/>
      <c r="DU292" s="122"/>
      <c r="DV292" s="122"/>
      <c r="DW292" s="122"/>
      <c r="DX292" s="122"/>
      <c r="DY292" s="122"/>
      <c r="DZ292" s="122"/>
      <c r="EA292" s="122"/>
      <c r="EB292" s="122"/>
      <c r="EC292" s="122"/>
      <c r="ED292" s="122"/>
      <c r="EE292" s="122"/>
      <c r="EF292" s="122"/>
      <c r="EG292" s="122"/>
      <c r="EH292" s="122"/>
      <c r="EI292" s="122"/>
      <c r="EJ292" s="122"/>
      <c r="EK292" s="122"/>
      <c r="EL292" s="122"/>
      <c r="EM292" s="122"/>
      <c r="EN292" s="122"/>
      <c r="EO292" s="122"/>
      <c r="EP292" s="122"/>
      <c r="EQ292" s="122"/>
      <c r="ER292" s="122"/>
      <c r="ES292" s="122"/>
      <c r="ET292" s="122"/>
      <c r="EU292" s="122"/>
      <c r="EV292" s="122"/>
      <c r="EW292" s="122"/>
      <c r="EX292" s="122"/>
      <c r="EY292" s="122"/>
      <c r="EZ292" s="122"/>
      <c r="FA292" s="122"/>
      <c r="FB292" s="122"/>
      <c r="FC292" s="122"/>
      <c r="FD292" s="122"/>
      <c r="FE292" s="122"/>
      <c r="FF292" s="122"/>
      <c r="FG292" s="122"/>
      <c r="FH292" s="122"/>
      <c r="FI292" s="122"/>
      <c r="FJ292" s="122"/>
      <c r="FK292" s="122"/>
      <c r="FL292" s="122"/>
      <c r="FM292" s="122"/>
      <c r="FN292" s="122"/>
      <c r="FO292" s="122"/>
      <c r="FP292" s="122"/>
      <c r="FQ292" s="122"/>
      <c r="FR292" s="122"/>
      <c r="FS292" s="122"/>
      <c r="FT292" s="122"/>
      <c r="FU292" s="122"/>
      <c r="FV292" s="122"/>
      <c r="FW292" s="122"/>
      <c r="FX292" s="122"/>
      <c r="FY292" s="122"/>
      <c r="FZ292" s="122"/>
      <c r="GA292" s="122"/>
      <c r="GB292" s="122"/>
      <c r="GC292" s="122"/>
      <c r="GD292" s="122"/>
      <c r="GE292" s="122"/>
      <c r="GF292" s="122"/>
      <c r="GG292" s="122"/>
      <c r="GH292" s="122"/>
      <c r="GI292" s="122"/>
    </row>
    <row r="293" spans="1:211" s="13" customFormat="1" ht="20.25" customHeight="1">
      <c r="A293" s="117">
        <v>143</v>
      </c>
      <c r="B293" s="124"/>
      <c r="C293" s="120"/>
      <c r="D293" s="102">
        <f t="shared" ref="D293" si="145">IFERROR(SUMPRODUCT(F293:HE293,$F$6:$HE$6)/100,0)</f>
        <v>0</v>
      </c>
      <c r="E293" s="103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122"/>
      <c r="AQ293" s="122"/>
      <c r="AR293" s="122"/>
      <c r="AS293" s="122"/>
      <c r="AT293" s="122"/>
      <c r="AU293" s="122"/>
      <c r="AV293" s="122"/>
      <c r="AW293" s="122"/>
      <c r="AX293" s="122"/>
      <c r="AY293" s="122"/>
      <c r="AZ293" s="122"/>
      <c r="BA293" s="122"/>
      <c r="BB293" s="122"/>
      <c r="BC293" s="122"/>
      <c r="BD293" s="122"/>
      <c r="BE293" s="122"/>
      <c r="BF293" s="122"/>
      <c r="BG293" s="122"/>
      <c r="BH293" s="122"/>
      <c r="BI293" s="122"/>
      <c r="BJ293" s="122"/>
      <c r="BK293" s="122"/>
      <c r="BL293" s="122"/>
      <c r="BM293" s="122"/>
      <c r="BN293" s="122"/>
      <c r="BO293" s="122"/>
      <c r="BP293" s="122"/>
      <c r="BQ293" s="123"/>
      <c r="BR293" s="123"/>
      <c r="BS293" s="123"/>
      <c r="BT293" s="122"/>
      <c r="BU293" s="122"/>
      <c r="BV293" s="122"/>
      <c r="BW293" s="122"/>
      <c r="BX293" s="122"/>
      <c r="BY293" s="122"/>
      <c r="BZ293" s="122"/>
      <c r="CA293" s="122"/>
      <c r="CB293" s="122"/>
      <c r="CC293" s="122"/>
      <c r="CD293" s="122"/>
      <c r="CE293" s="122"/>
      <c r="CF293" s="122"/>
      <c r="CG293" s="122"/>
      <c r="CH293" s="122"/>
      <c r="CI293" s="122"/>
      <c r="CJ293" s="122"/>
      <c r="CK293" s="122"/>
      <c r="CL293" s="122"/>
      <c r="CM293" s="122"/>
      <c r="CN293" s="122"/>
      <c r="CO293" s="122"/>
      <c r="CP293" s="122"/>
      <c r="CQ293" s="122"/>
      <c r="CR293" s="122"/>
      <c r="CS293" s="122"/>
      <c r="CT293" s="122"/>
      <c r="CU293" s="122"/>
      <c r="CV293" s="122"/>
      <c r="CW293" s="122"/>
      <c r="CX293" s="122"/>
      <c r="CY293" s="122"/>
      <c r="CZ293" s="122"/>
      <c r="DA293" s="122"/>
      <c r="DB293" s="122"/>
      <c r="DC293" s="122"/>
      <c r="DD293" s="122"/>
      <c r="DE293" s="122"/>
      <c r="DF293" s="122"/>
      <c r="DG293" s="122"/>
      <c r="DH293" s="122"/>
      <c r="DI293" s="122"/>
      <c r="DJ293" s="122"/>
      <c r="DK293" s="122"/>
      <c r="DL293" s="122"/>
      <c r="DM293" s="122"/>
      <c r="DN293" s="122"/>
      <c r="DO293" s="122"/>
      <c r="DP293" s="122"/>
      <c r="DQ293" s="122"/>
      <c r="DR293" s="122"/>
      <c r="DS293" s="122"/>
      <c r="DT293" s="122"/>
      <c r="DU293" s="122"/>
      <c r="DV293" s="122"/>
      <c r="DW293" s="122"/>
      <c r="DX293" s="122"/>
      <c r="DY293" s="122"/>
      <c r="DZ293" s="122"/>
      <c r="EA293" s="122"/>
      <c r="EB293" s="122"/>
      <c r="EC293" s="122"/>
      <c r="ED293" s="122"/>
      <c r="EE293" s="122"/>
      <c r="EF293" s="122"/>
      <c r="EG293" s="122"/>
      <c r="EH293" s="122"/>
      <c r="EI293" s="122"/>
      <c r="EJ293" s="122"/>
      <c r="EK293" s="122"/>
      <c r="EL293" s="122"/>
      <c r="EM293" s="122"/>
      <c r="EN293" s="122"/>
      <c r="EO293" s="122"/>
      <c r="EP293" s="122"/>
      <c r="EQ293" s="122"/>
      <c r="ER293" s="122"/>
      <c r="ES293" s="122"/>
      <c r="ET293" s="122"/>
      <c r="EU293" s="122"/>
      <c r="EV293" s="122"/>
      <c r="EW293" s="122"/>
      <c r="EX293" s="122"/>
      <c r="EY293" s="122"/>
      <c r="EZ293" s="122"/>
      <c r="FA293" s="122"/>
      <c r="FB293" s="122"/>
      <c r="FC293" s="122"/>
      <c r="FD293" s="122"/>
      <c r="FE293" s="122"/>
      <c r="FF293" s="122"/>
      <c r="FG293" s="122"/>
      <c r="FH293" s="122"/>
      <c r="FI293" s="122"/>
      <c r="FJ293" s="122"/>
      <c r="FK293" s="122"/>
      <c r="FL293" s="122"/>
      <c r="FM293" s="122"/>
      <c r="FN293" s="122"/>
      <c r="FO293" s="122"/>
      <c r="FP293" s="122"/>
      <c r="FQ293" s="122"/>
      <c r="FR293" s="122"/>
      <c r="FS293" s="122"/>
      <c r="FT293" s="122"/>
      <c r="FU293" s="122"/>
      <c r="FV293" s="122"/>
      <c r="FW293" s="122"/>
      <c r="FX293" s="122"/>
      <c r="FY293" s="122"/>
      <c r="FZ293" s="122"/>
      <c r="GA293" s="122"/>
      <c r="GB293" s="122"/>
      <c r="GC293" s="122"/>
      <c r="GD293" s="122"/>
      <c r="GE293" s="122"/>
      <c r="GF293" s="122"/>
      <c r="GG293" s="122"/>
      <c r="GH293" s="122"/>
      <c r="GI293" s="122"/>
    </row>
    <row r="294" spans="1:211" s="13" customFormat="1" ht="20.25" customHeight="1">
      <c r="A294" s="117"/>
      <c r="B294" s="124"/>
      <c r="C294" s="120"/>
      <c r="D294" s="121"/>
      <c r="E294" s="103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122"/>
      <c r="AQ294" s="122"/>
      <c r="AR294" s="122"/>
      <c r="AS294" s="122"/>
      <c r="AT294" s="122"/>
      <c r="AU294" s="122"/>
      <c r="AV294" s="122"/>
      <c r="AW294" s="122"/>
      <c r="AX294" s="122"/>
      <c r="AY294" s="122"/>
      <c r="AZ294" s="122"/>
      <c r="BA294" s="122"/>
      <c r="BB294" s="122"/>
      <c r="BC294" s="122"/>
      <c r="BD294" s="122"/>
      <c r="BE294" s="122"/>
      <c r="BF294" s="122"/>
      <c r="BG294" s="122"/>
      <c r="BH294" s="122"/>
      <c r="BI294" s="122"/>
      <c r="BJ294" s="122"/>
      <c r="BK294" s="122"/>
      <c r="BL294" s="122"/>
      <c r="BM294" s="122"/>
      <c r="BN294" s="122"/>
      <c r="BO294" s="122"/>
      <c r="BP294" s="122"/>
      <c r="BQ294" s="123"/>
      <c r="BR294" s="123"/>
      <c r="BS294" s="123"/>
      <c r="BT294" s="122"/>
      <c r="BU294" s="122"/>
      <c r="BV294" s="122"/>
      <c r="BW294" s="122"/>
      <c r="BX294" s="122"/>
      <c r="BY294" s="122"/>
      <c r="BZ294" s="122"/>
      <c r="CA294" s="122"/>
      <c r="CB294" s="122"/>
      <c r="CC294" s="122"/>
      <c r="CD294" s="122"/>
      <c r="CE294" s="122"/>
      <c r="CF294" s="122"/>
      <c r="CG294" s="122"/>
      <c r="CH294" s="122"/>
      <c r="CI294" s="122"/>
      <c r="CJ294" s="122"/>
      <c r="CK294" s="122"/>
      <c r="CL294" s="122"/>
      <c r="CM294" s="122"/>
      <c r="CN294" s="122"/>
      <c r="CO294" s="122"/>
      <c r="CP294" s="122"/>
      <c r="CQ294" s="122"/>
      <c r="CR294" s="122"/>
      <c r="CS294" s="122"/>
      <c r="CT294" s="122"/>
      <c r="CU294" s="122"/>
      <c r="CV294" s="122"/>
      <c r="CW294" s="122"/>
      <c r="CX294" s="122"/>
      <c r="CY294" s="122"/>
      <c r="CZ294" s="122"/>
      <c r="DA294" s="122"/>
      <c r="DB294" s="122"/>
      <c r="DC294" s="122"/>
      <c r="DD294" s="122"/>
      <c r="DE294" s="122"/>
      <c r="DF294" s="122"/>
      <c r="DG294" s="122"/>
      <c r="DH294" s="122"/>
      <c r="DI294" s="122"/>
      <c r="DJ294" s="122"/>
      <c r="DK294" s="122"/>
      <c r="DL294" s="122"/>
      <c r="DM294" s="122"/>
      <c r="DN294" s="122"/>
      <c r="DO294" s="122"/>
      <c r="DP294" s="122"/>
      <c r="DQ294" s="122"/>
      <c r="DR294" s="122"/>
      <c r="DS294" s="122"/>
      <c r="DT294" s="122"/>
      <c r="DU294" s="122"/>
      <c r="DV294" s="122"/>
      <c r="DW294" s="122"/>
      <c r="DX294" s="122"/>
      <c r="DY294" s="122"/>
      <c r="DZ294" s="122"/>
      <c r="EA294" s="122"/>
      <c r="EB294" s="122"/>
      <c r="EC294" s="122"/>
      <c r="ED294" s="122"/>
      <c r="EE294" s="122"/>
      <c r="EF294" s="122"/>
      <c r="EG294" s="122"/>
      <c r="EH294" s="122"/>
      <c r="EI294" s="122"/>
      <c r="EJ294" s="122"/>
      <c r="EK294" s="122"/>
      <c r="EL294" s="122"/>
      <c r="EM294" s="122"/>
      <c r="EN294" s="122"/>
      <c r="EO294" s="122"/>
      <c r="EP294" s="122"/>
      <c r="EQ294" s="122"/>
      <c r="ER294" s="122"/>
      <c r="ES294" s="122"/>
      <c r="ET294" s="122"/>
      <c r="EU294" s="122"/>
      <c r="EV294" s="122"/>
      <c r="EW294" s="122"/>
      <c r="EX294" s="122"/>
      <c r="EY294" s="122"/>
      <c r="EZ294" s="122"/>
      <c r="FA294" s="122"/>
      <c r="FB294" s="122"/>
      <c r="FC294" s="122"/>
      <c r="FD294" s="122"/>
      <c r="FE294" s="122"/>
      <c r="FF294" s="122"/>
      <c r="FG294" s="122"/>
      <c r="FH294" s="122"/>
      <c r="FI294" s="122"/>
      <c r="FJ294" s="122"/>
      <c r="FK294" s="122"/>
      <c r="FL294" s="122"/>
      <c r="FM294" s="122"/>
      <c r="FN294" s="122"/>
      <c r="FO294" s="122"/>
      <c r="FP294" s="122"/>
      <c r="FQ294" s="122"/>
      <c r="FR294" s="122"/>
      <c r="FS294" s="122"/>
      <c r="FT294" s="122"/>
      <c r="FU294" s="122"/>
      <c r="FV294" s="122"/>
      <c r="FW294" s="122"/>
      <c r="FX294" s="122"/>
      <c r="FY294" s="122"/>
      <c r="FZ294" s="122"/>
      <c r="GA294" s="122"/>
      <c r="GB294" s="122"/>
      <c r="GC294" s="122"/>
      <c r="GD294" s="122"/>
      <c r="GE294" s="122"/>
      <c r="GF294" s="122"/>
      <c r="GG294" s="122"/>
      <c r="GH294" s="122"/>
      <c r="GI294" s="122"/>
    </row>
    <row r="295" spans="1:211" s="13" customFormat="1" ht="20.25" customHeight="1">
      <c r="A295" s="117">
        <v>144</v>
      </c>
      <c r="B295" s="124"/>
      <c r="C295" s="120"/>
      <c r="D295" s="102">
        <f t="shared" ref="D295" si="146">IFERROR(SUMPRODUCT(F295:HE295,$F$6:$HE$6)/100,0)</f>
        <v>0</v>
      </c>
      <c r="E295" s="103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122"/>
      <c r="AQ295" s="122"/>
      <c r="AR295" s="122"/>
      <c r="AS295" s="122"/>
      <c r="AT295" s="122"/>
      <c r="AU295" s="122"/>
      <c r="AV295" s="122"/>
      <c r="AW295" s="122"/>
      <c r="AX295" s="122"/>
      <c r="AY295" s="122"/>
      <c r="AZ295" s="122"/>
      <c r="BA295" s="122"/>
      <c r="BB295" s="122"/>
      <c r="BC295" s="122"/>
      <c r="BD295" s="122"/>
      <c r="BE295" s="122"/>
      <c r="BF295" s="122"/>
      <c r="BG295" s="122"/>
      <c r="BH295" s="122"/>
      <c r="BI295" s="122"/>
      <c r="BJ295" s="122"/>
      <c r="BK295" s="122"/>
      <c r="BL295" s="122"/>
      <c r="BM295" s="122"/>
      <c r="BN295" s="122"/>
      <c r="BO295" s="122"/>
      <c r="BP295" s="122"/>
      <c r="BQ295" s="123"/>
      <c r="BR295" s="123"/>
      <c r="BS295" s="123"/>
      <c r="BT295" s="122"/>
      <c r="BU295" s="122"/>
      <c r="BV295" s="122"/>
      <c r="BW295" s="122"/>
      <c r="BX295" s="122"/>
      <c r="BY295" s="122"/>
      <c r="BZ295" s="122"/>
      <c r="CA295" s="122"/>
      <c r="CB295" s="122"/>
      <c r="CC295" s="122"/>
      <c r="CD295" s="122"/>
      <c r="CE295" s="122"/>
      <c r="CF295" s="122"/>
      <c r="CG295" s="122"/>
      <c r="CH295" s="122"/>
      <c r="CI295" s="122"/>
      <c r="CJ295" s="122"/>
      <c r="CK295" s="122"/>
      <c r="CL295" s="122"/>
      <c r="CM295" s="122"/>
      <c r="CN295" s="122"/>
      <c r="CO295" s="122"/>
      <c r="CP295" s="122"/>
      <c r="CQ295" s="122"/>
      <c r="CR295" s="122"/>
      <c r="CS295" s="122"/>
      <c r="CT295" s="122"/>
      <c r="CU295" s="122"/>
      <c r="CV295" s="122"/>
      <c r="CW295" s="122"/>
      <c r="CX295" s="122"/>
      <c r="CY295" s="122"/>
      <c r="CZ295" s="122"/>
      <c r="DA295" s="122"/>
      <c r="DB295" s="122"/>
      <c r="DC295" s="122"/>
      <c r="DD295" s="122"/>
      <c r="DE295" s="122"/>
      <c r="DF295" s="122"/>
      <c r="DG295" s="122"/>
      <c r="DH295" s="122"/>
      <c r="DI295" s="122"/>
      <c r="DJ295" s="122"/>
      <c r="DK295" s="122"/>
      <c r="DL295" s="122"/>
      <c r="DM295" s="122"/>
      <c r="DN295" s="122"/>
      <c r="DO295" s="122"/>
      <c r="DP295" s="122"/>
      <c r="DQ295" s="122"/>
      <c r="DR295" s="122"/>
      <c r="DS295" s="122"/>
      <c r="DT295" s="122"/>
      <c r="DU295" s="122"/>
      <c r="DV295" s="122"/>
      <c r="DW295" s="122"/>
      <c r="DX295" s="122"/>
      <c r="DY295" s="122"/>
      <c r="DZ295" s="122"/>
      <c r="EA295" s="122"/>
      <c r="EB295" s="122"/>
      <c r="EC295" s="122"/>
      <c r="ED295" s="122"/>
      <c r="EE295" s="122"/>
      <c r="EF295" s="122"/>
      <c r="EG295" s="122"/>
      <c r="EH295" s="122"/>
      <c r="EI295" s="122"/>
      <c r="EJ295" s="122"/>
      <c r="EK295" s="122"/>
      <c r="EL295" s="122"/>
      <c r="EM295" s="122"/>
      <c r="EN295" s="122"/>
      <c r="EO295" s="122"/>
      <c r="EP295" s="122"/>
      <c r="EQ295" s="122"/>
      <c r="ER295" s="122"/>
      <c r="ES295" s="122"/>
      <c r="ET295" s="122"/>
      <c r="EU295" s="122"/>
      <c r="EV295" s="122"/>
      <c r="EW295" s="122"/>
      <c r="EX295" s="122"/>
      <c r="EY295" s="122"/>
      <c r="EZ295" s="122"/>
      <c r="FA295" s="122"/>
      <c r="FB295" s="122"/>
      <c r="FC295" s="122"/>
      <c r="FD295" s="122"/>
      <c r="FE295" s="122"/>
      <c r="FF295" s="122"/>
      <c r="FG295" s="122"/>
      <c r="FH295" s="122"/>
      <c r="FI295" s="122"/>
      <c r="FJ295" s="122"/>
      <c r="FK295" s="122"/>
      <c r="FL295" s="122"/>
      <c r="FM295" s="122"/>
      <c r="FN295" s="122"/>
      <c r="FO295" s="122"/>
      <c r="FP295" s="122"/>
      <c r="FQ295" s="122"/>
      <c r="FR295" s="122"/>
      <c r="FS295" s="122"/>
      <c r="FT295" s="122"/>
      <c r="FU295" s="122"/>
      <c r="FV295" s="122"/>
      <c r="FW295" s="122"/>
      <c r="FX295" s="122"/>
      <c r="FY295" s="122"/>
      <c r="FZ295" s="122"/>
      <c r="GA295" s="122"/>
      <c r="GB295" s="122"/>
      <c r="GC295" s="122"/>
      <c r="GD295" s="122"/>
      <c r="GE295" s="122"/>
      <c r="GF295" s="122"/>
      <c r="GG295" s="122"/>
      <c r="GH295" s="122"/>
      <c r="GI295" s="122"/>
    </row>
    <row r="296" spans="1:211" s="13" customFormat="1" ht="20.25" customHeight="1">
      <c r="A296" s="117"/>
      <c r="B296" s="124"/>
      <c r="C296" s="120"/>
      <c r="D296" s="121"/>
      <c r="E296" s="103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122"/>
      <c r="AQ296" s="122"/>
      <c r="AR296" s="122"/>
      <c r="AS296" s="122"/>
      <c r="AT296" s="122"/>
      <c r="AU296" s="122"/>
      <c r="AV296" s="122"/>
      <c r="AW296" s="122"/>
      <c r="AX296" s="122"/>
      <c r="AY296" s="122"/>
      <c r="AZ296" s="122"/>
      <c r="BA296" s="122"/>
      <c r="BB296" s="122"/>
      <c r="BC296" s="122"/>
      <c r="BD296" s="122"/>
      <c r="BE296" s="122"/>
      <c r="BF296" s="122"/>
      <c r="BG296" s="122"/>
      <c r="BH296" s="122"/>
      <c r="BI296" s="122"/>
      <c r="BJ296" s="122"/>
      <c r="BK296" s="122"/>
      <c r="BL296" s="122"/>
      <c r="BM296" s="122"/>
      <c r="BN296" s="122"/>
      <c r="BO296" s="122"/>
      <c r="BP296" s="122"/>
      <c r="BQ296" s="123"/>
      <c r="BR296" s="123"/>
      <c r="BS296" s="123"/>
      <c r="BT296" s="122"/>
      <c r="BU296" s="122"/>
      <c r="BV296" s="122"/>
      <c r="BW296" s="122"/>
      <c r="BX296" s="122"/>
      <c r="BY296" s="122"/>
      <c r="BZ296" s="122"/>
      <c r="CA296" s="122"/>
      <c r="CB296" s="122"/>
      <c r="CC296" s="122"/>
      <c r="CD296" s="122"/>
      <c r="CE296" s="122"/>
      <c r="CF296" s="122"/>
      <c r="CG296" s="122"/>
      <c r="CH296" s="122"/>
      <c r="CI296" s="122"/>
      <c r="CJ296" s="122"/>
      <c r="CK296" s="122"/>
      <c r="CL296" s="122"/>
      <c r="CM296" s="122"/>
      <c r="CN296" s="122"/>
      <c r="CO296" s="122"/>
      <c r="CP296" s="122"/>
      <c r="CQ296" s="122"/>
      <c r="CR296" s="122"/>
      <c r="CS296" s="122"/>
      <c r="CT296" s="122"/>
      <c r="CU296" s="122"/>
      <c r="CV296" s="122"/>
      <c r="CW296" s="122"/>
      <c r="CX296" s="122"/>
      <c r="CY296" s="122"/>
      <c r="CZ296" s="122"/>
      <c r="DA296" s="122"/>
      <c r="DB296" s="122"/>
      <c r="DC296" s="122"/>
      <c r="DD296" s="122"/>
      <c r="DE296" s="122"/>
      <c r="DF296" s="122"/>
      <c r="DG296" s="122"/>
      <c r="DH296" s="122"/>
      <c r="DI296" s="122"/>
      <c r="DJ296" s="122"/>
      <c r="DK296" s="122"/>
      <c r="DL296" s="122"/>
      <c r="DM296" s="122"/>
      <c r="DN296" s="122"/>
      <c r="DO296" s="122"/>
      <c r="DP296" s="122"/>
      <c r="DQ296" s="122"/>
      <c r="DR296" s="122"/>
      <c r="DS296" s="122"/>
      <c r="DT296" s="122"/>
      <c r="DU296" s="122"/>
      <c r="DV296" s="122"/>
      <c r="DW296" s="122"/>
      <c r="DX296" s="122"/>
      <c r="DY296" s="122"/>
      <c r="DZ296" s="122"/>
      <c r="EA296" s="122"/>
      <c r="EB296" s="122"/>
      <c r="EC296" s="122"/>
      <c r="ED296" s="122"/>
      <c r="EE296" s="122"/>
      <c r="EF296" s="122"/>
      <c r="EG296" s="122"/>
      <c r="EH296" s="122"/>
      <c r="EI296" s="122"/>
      <c r="EJ296" s="122"/>
      <c r="EK296" s="122"/>
      <c r="EL296" s="122"/>
      <c r="EM296" s="122"/>
      <c r="EN296" s="122"/>
      <c r="EO296" s="122"/>
      <c r="EP296" s="122"/>
      <c r="EQ296" s="122"/>
      <c r="ER296" s="122"/>
      <c r="ES296" s="122"/>
      <c r="ET296" s="122"/>
      <c r="EU296" s="122"/>
      <c r="EV296" s="122"/>
      <c r="EW296" s="122"/>
      <c r="EX296" s="122"/>
      <c r="EY296" s="122"/>
      <c r="EZ296" s="122"/>
      <c r="FA296" s="122"/>
      <c r="FB296" s="122"/>
      <c r="FC296" s="122"/>
      <c r="FD296" s="122"/>
      <c r="FE296" s="122"/>
      <c r="FF296" s="122"/>
      <c r="FG296" s="122"/>
      <c r="FH296" s="122"/>
      <c r="FI296" s="122"/>
      <c r="FJ296" s="122"/>
      <c r="FK296" s="122"/>
      <c r="FL296" s="122"/>
      <c r="FM296" s="122"/>
      <c r="FN296" s="122"/>
      <c r="FO296" s="122"/>
      <c r="FP296" s="122"/>
      <c r="FQ296" s="122"/>
      <c r="FR296" s="122"/>
      <c r="FS296" s="122"/>
      <c r="FT296" s="122"/>
      <c r="FU296" s="122"/>
      <c r="FV296" s="122"/>
      <c r="FW296" s="122"/>
      <c r="FX296" s="122"/>
      <c r="FY296" s="122"/>
      <c r="FZ296" s="122"/>
      <c r="GA296" s="122"/>
      <c r="GB296" s="122"/>
      <c r="GC296" s="122"/>
      <c r="GD296" s="122"/>
      <c r="GE296" s="122"/>
      <c r="GF296" s="122"/>
      <c r="GG296" s="122"/>
      <c r="GH296" s="122"/>
      <c r="GI296" s="122"/>
    </row>
    <row r="297" spans="1:211" s="13" customFormat="1" ht="20.25" customHeight="1">
      <c r="A297" s="117">
        <v>145</v>
      </c>
      <c r="B297" s="124"/>
      <c r="C297" s="120"/>
      <c r="D297" s="102">
        <f t="shared" ref="D297" si="147">IFERROR(SUMPRODUCT(F297:HE297,$F$6:$HE$6)/100,0)</f>
        <v>0</v>
      </c>
      <c r="E297" s="103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122"/>
      <c r="AQ297" s="122"/>
      <c r="AR297" s="122"/>
      <c r="AS297" s="122"/>
      <c r="AT297" s="122"/>
      <c r="AU297" s="122"/>
      <c r="AV297" s="122"/>
      <c r="AW297" s="122"/>
      <c r="AX297" s="122"/>
      <c r="AY297" s="122"/>
      <c r="AZ297" s="122"/>
      <c r="BA297" s="122"/>
      <c r="BB297" s="122"/>
      <c r="BC297" s="122"/>
      <c r="BD297" s="122"/>
      <c r="BE297" s="122"/>
      <c r="BF297" s="122"/>
      <c r="BG297" s="122"/>
      <c r="BH297" s="122"/>
      <c r="BI297" s="122"/>
      <c r="BJ297" s="122"/>
      <c r="BK297" s="122"/>
      <c r="BL297" s="122"/>
      <c r="BM297" s="122"/>
      <c r="BN297" s="122"/>
      <c r="BO297" s="122"/>
      <c r="BP297" s="122"/>
      <c r="BQ297" s="123"/>
      <c r="BR297" s="123"/>
      <c r="BS297" s="123"/>
      <c r="BT297" s="122"/>
      <c r="BU297" s="122"/>
      <c r="BV297" s="122"/>
      <c r="BW297" s="122"/>
      <c r="BX297" s="122"/>
      <c r="BY297" s="122"/>
      <c r="BZ297" s="122"/>
      <c r="CA297" s="122"/>
      <c r="CB297" s="122"/>
      <c r="CC297" s="122"/>
      <c r="CD297" s="122"/>
      <c r="CE297" s="122"/>
      <c r="CF297" s="122"/>
      <c r="CG297" s="122"/>
      <c r="CH297" s="122"/>
      <c r="CI297" s="122"/>
      <c r="CJ297" s="122"/>
      <c r="CK297" s="122"/>
      <c r="CL297" s="122"/>
      <c r="CM297" s="122"/>
      <c r="CN297" s="122"/>
      <c r="CO297" s="122"/>
      <c r="CP297" s="122"/>
      <c r="CQ297" s="122"/>
      <c r="CR297" s="122"/>
      <c r="CS297" s="122"/>
      <c r="CT297" s="122"/>
      <c r="CU297" s="122"/>
      <c r="CV297" s="122"/>
      <c r="CW297" s="122"/>
      <c r="CX297" s="122"/>
      <c r="CY297" s="122"/>
      <c r="CZ297" s="122"/>
      <c r="DA297" s="122"/>
      <c r="DB297" s="122"/>
      <c r="DC297" s="122"/>
      <c r="DD297" s="122"/>
      <c r="DE297" s="122"/>
      <c r="DF297" s="122"/>
      <c r="DG297" s="122"/>
      <c r="DH297" s="122"/>
      <c r="DI297" s="122"/>
      <c r="DJ297" s="122"/>
      <c r="DK297" s="122"/>
      <c r="DL297" s="122"/>
      <c r="DM297" s="122"/>
      <c r="DN297" s="122"/>
      <c r="DO297" s="122"/>
      <c r="DP297" s="122"/>
      <c r="DQ297" s="122"/>
      <c r="DR297" s="122"/>
      <c r="DS297" s="122"/>
      <c r="DT297" s="122"/>
      <c r="DU297" s="122"/>
      <c r="DV297" s="122"/>
      <c r="DW297" s="122"/>
      <c r="DX297" s="122"/>
      <c r="DY297" s="122"/>
      <c r="DZ297" s="122"/>
      <c r="EA297" s="122"/>
      <c r="EB297" s="122"/>
      <c r="EC297" s="122"/>
      <c r="ED297" s="122"/>
      <c r="EE297" s="122"/>
      <c r="EF297" s="122"/>
      <c r="EG297" s="122"/>
      <c r="EH297" s="122"/>
      <c r="EI297" s="122"/>
      <c r="EJ297" s="122"/>
      <c r="EK297" s="122"/>
      <c r="EL297" s="122"/>
      <c r="EM297" s="122"/>
      <c r="EN297" s="122"/>
      <c r="EO297" s="122"/>
      <c r="EP297" s="122"/>
      <c r="EQ297" s="122"/>
      <c r="ER297" s="122"/>
      <c r="ES297" s="122"/>
      <c r="ET297" s="122"/>
      <c r="EU297" s="122"/>
      <c r="EV297" s="122"/>
      <c r="EW297" s="122"/>
      <c r="EX297" s="122"/>
      <c r="EY297" s="122"/>
      <c r="EZ297" s="122"/>
      <c r="FA297" s="122"/>
      <c r="FB297" s="122"/>
      <c r="FC297" s="122"/>
      <c r="FD297" s="122"/>
      <c r="FE297" s="122"/>
      <c r="FF297" s="122"/>
      <c r="FG297" s="122"/>
      <c r="FH297" s="122"/>
      <c r="FI297" s="122"/>
      <c r="FJ297" s="122"/>
      <c r="FK297" s="122"/>
      <c r="FL297" s="122"/>
      <c r="FM297" s="122"/>
      <c r="FN297" s="122"/>
      <c r="FO297" s="122"/>
      <c r="FP297" s="122"/>
      <c r="FQ297" s="122"/>
      <c r="FR297" s="122"/>
      <c r="FS297" s="122"/>
      <c r="FT297" s="122"/>
      <c r="FU297" s="122"/>
      <c r="FV297" s="122"/>
      <c r="FW297" s="122"/>
      <c r="FX297" s="122"/>
      <c r="FY297" s="122"/>
      <c r="FZ297" s="122"/>
      <c r="GA297" s="122"/>
      <c r="GB297" s="122"/>
      <c r="GC297" s="122"/>
      <c r="GD297" s="122"/>
      <c r="GE297" s="122"/>
      <c r="GF297" s="122"/>
      <c r="GG297" s="122"/>
      <c r="GH297" s="122"/>
      <c r="GI297" s="122"/>
    </row>
    <row r="298" spans="1:211" s="13" customFormat="1" ht="20.25" customHeight="1">
      <c r="A298" s="162"/>
      <c r="B298" s="163"/>
      <c r="C298" s="164"/>
      <c r="D298" s="121"/>
      <c r="E298" s="131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  <c r="AE298" s="138"/>
      <c r="AF298" s="138"/>
      <c r="AG298" s="138"/>
      <c r="AH298" s="138"/>
      <c r="AI298" s="138"/>
      <c r="AJ298" s="138"/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138"/>
      <c r="AU298" s="138"/>
      <c r="AV298" s="138"/>
      <c r="AW298" s="138"/>
      <c r="AX298" s="138"/>
      <c r="AY298" s="138"/>
      <c r="AZ298" s="138"/>
      <c r="BA298" s="138"/>
      <c r="BB298" s="138"/>
      <c r="BC298" s="138"/>
      <c r="BD298" s="138"/>
      <c r="BE298" s="138"/>
      <c r="BF298" s="138"/>
      <c r="BG298" s="138"/>
      <c r="BH298" s="138"/>
      <c r="BI298" s="138"/>
      <c r="BJ298" s="138"/>
      <c r="BK298" s="138"/>
      <c r="BL298" s="138"/>
      <c r="BM298" s="138"/>
      <c r="BN298" s="138"/>
      <c r="BO298" s="138"/>
      <c r="BP298" s="138"/>
      <c r="BQ298" s="139"/>
      <c r="BR298" s="139"/>
      <c r="BS298" s="139"/>
      <c r="BT298" s="138"/>
      <c r="BU298" s="138"/>
      <c r="BV298" s="138"/>
      <c r="BW298" s="138"/>
      <c r="BX298" s="138"/>
      <c r="BY298" s="138"/>
      <c r="BZ298" s="138"/>
      <c r="CA298" s="138"/>
      <c r="CB298" s="138"/>
      <c r="CC298" s="138"/>
      <c r="CD298" s="138"/>
      <c r="CE298" s="138"/>
      <c r="CF298" s="138"/>
      <c r="CG298" s="138"/>
      <c r="CH298" s="138"/>
      <c r="CI298" s="138"/>
      <c r="CJ298" s="138"/>
      <c r="CK298" s="138"/>
      <c r="CL298" s="138"/>
      <c r="CM298" s="138"/>
      <c r="CN298" s="138"/>
      <c r="CO298" s="138"/>
      <c r="CP298" s="138"/>
      <c r="CQ298" s="138"/>
      <c r="CR298" s="138"/>
      <c r="CS298" s="138"/>
      <c r="CT298" s="138"/>
      <c r="CU298" s="138"/>
      <c r="CV298" s="138"/>
      <c r="CW298" s="138"/>
      <c r="CX298" s="138"/>
      <c r="CY298" s="138"/>
      <c r="CZ298" s="138"/>
      <c r="DA298" s="138"/>
      <c r="DB298" s="138"/>
      <c r="DC298" s="138"/>
      <c r="DD298" s="138"/>
      <c r="DE298" s="138"/>
      <c r="DF298" s="138"/>
      <c r="DG298" s="138"/>
      <c r="DH298" s="138"/>
      <c r="DI298" s="138"/>
      <c r="DJ298" s="138"/>
      <c r="DK298" s="138"/>
      <c r="DL298" s="138"/>
      <c r="DM298" s="138"/>
      <c r="DN298" s="138"/>
      <c r="DO298" s="138"/>
      <c r="DP298" s="138"/>
      <c r="DQ298" s="138"/>
      <c r="DR298" s="138"/>
      <c r="DS298" s="138"/>
      <c r="DT298" s="138"/>
      <c r="DU298" s="138"/>
      <c r="DV298" s="138"/>
      <c r="DW298" s="138"/>
      <c r="DX298" s="138"/>
      <c r="DY298" s="138"/>
      <c r="DZ298" s="138"/>
      <c r="EA298" s="138"/>
      <c r="EB298" s="138"/>
      <c r="EC298" s="138"/>
      <c r="ED298" s="138"/>
      <c r="EE298" s="138"/>
      <c r="EF298" s="138"/>
      <c r="EG298" s="138"/>
      <c r="EH298" s="138"/>
      <c r="EI298" s="138"/>
      <c r="EJ298" s="138"/>
      <c r="EK298" s="138"/>
      <c r="EL298" s="138"/>
      <c r="EM298" s="138"/>
      <c r="EN298" s="138"/>
      <c r="EO298" s="138"/>
      <c r="EP298" s="138"/>
      <c r="EQ298" s="138"/>
      <c r="ER298" s="138"/>
      <c r="ES298" s="138"/>
      <c r="ET298" s="138"/>
      <c r="EU298" s="138"/>
      <c r="EV298" s="138"/>
      <c r="EW298" s="138"/>
      <c r="EX298" s="138"/>
      <c r="EY298" s="138"/>
      <c r="EZ298" s="138"/>
      <c r="FA298" s="138"/>
      <c r="FB298" s="138"/>
      <c r="FC298" s="138"/>
      <c r="FD298" s="138"/>
      <c r="FE298" s="138"/>
      <c r="FF298" s="138"/>
      <c r="FG298" s="138"/>
      <c r="FH298" s="138"/>
      <c r="FI298" s="138"/>
      <c r="FJ298" s="138"/>
      <c r="FK298" s="138"/>
      <c r="FL298" s="138"/>
      <c r="FM298" s="138"/>
      <c r="FN298" s="138"/>
      <c r="FO298" s="138"/>
      <c r="FP298" s="138"/>
      <c r="FQ298" s="138"/>
      <c r="FR298" s="138"/>
      <c r="FS298" s="138"/>
      <c r="FT298" s="138"/>
      <c r="FU298" s="138"/>
      <c r="FV298" s="138"/>
      <c r="FW298" s="138"/>
      <c r="FX298" s="138"/>
      <c r="FY298" s="138"/>
      <c r="FZ298" s="138"/>
      <c r="GA298" s="138"/>
      <c r="GB298" s="138"/>
      <c r="GC298" s="138"/>
      <c r="GD298" s="138"/>
      <c r="GE298" s="138"/>
      <c r="GF298" s="138"/>
      <c r="GG298" s="138"/>
      <c r="GH298" s="138"/>
      <c r="GI298" s="138"/>
    </row>
    <row r="299" spans="1:211" s="122" customFormat="1" ht="31.5" customHeight="1">
      <c r="A299" s="117">
        <v>146</v>
      </c>
      <c r="B299" s="165"/>
      <c r="C299" s="165"/>
      <c r="D299" s="102">
        <f t="shared" ref="D299" si="148">IFERROR(SUMPRODUCT(F299:HE299,$F$6:$HE$6)/100,0)</f>
        <v>0</v>
      </c>
      <c r="E299" s="103"/>
      <c r="BQ299" s="123"/>
      <c r="BR299" s="123"/>
      <c r="BS299" s="123"/>
      <c r="EI299" s="492"/>
      <c r="EJ299" s="492"/>
      <c r="GI299" s="165"/>
    </row>
    <row r="300" spans="1:211" s="13" customFormat="1" ht="31.5" customHeight="1">
      <c r="A300" s="118"/>
      <c r="B300" s="153"/>
      <c r="C300" s="153"/>
      <c r="D300" s="169"/>
      <c r="E300" s="108"/>
      <c r="F300" s="108"/>
      <c r="BQ300" s="151"/>
      <c r="BR300" s="151"/>
      <c r="BS300" s="151"/>
      <c r="GI300" s="14"/>
    </row>
    <row r="301" spans="1:211" s="13" customFormat="1">
      <c r="A301" s="118"/>
      <c r="B301" s="493" t="s">
        <v>10</v>
      </c>
      <c r="C301" s="493"/>
      <c r="D301" s="493"/>
      <c r="E301" s="493"/>
      <c r="F301" s="493"/>
      <c r="G301" s="14"/>
      <c r="H301" s="14"/>
      <c r="I301" s="14"/>
      <c r="J301" s="14"/>
      <c r="K301" s="14"/>
      <c r="L301" s="14"/>
      <c r="BQ301" s="151"/>
      <c r="BR301" s="151"/>
      <c r="BS301" s="151"/>
      <c r="GI301" s="14"/>
      <c r="GL301" s="481" t="s">
        <v>14</v>
      </c>
      <c r="GM301" s="481"/>
      <c r="GN301" s="481"/>
      <c r="GO301" s="481"/>
      <c r="GP301" s="481"/>
      <c r="GQ301" s="481"/>
      <c r="GR301" s="481"/>
      <c r="GS301" s="481"/>
      <c r="GT301" s="481"/>
      <c r="GU301" s="481"/>
      <c r="GV301" s="481"/>
      <c r="GW301" s="481"/>
      <c r="GX301" s="481"/>
      <c r="GY301" s="481"/>
      <c r="GZ301" s="481"/>
      <c r="HA301" s="481"/>
      <c r="HB301" s="481"/>
      <c r="HC301" s="481"/>
    </row>
    <row r="302" spans="1:211" s="152" customFormat="1" ht="18" customHeight="1">
      <c r="A302" s="13"/>
      <c r="B302" s="108"/>
      <c r="C302" s="153"/>
      <c r="D302" s="154"/>
      <c r="E302" s="108"/>
      <c r="F302" s="108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51"/>
      <c r="BR302" s="151"/>
      <c r="BS302" s="151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3"/>
      <c r="FD302" s="13"/>
      <c r="FE302" s="13"/>
      <c r="FF302" s="13"/>
      <c r="FG302" s="13"/>
      <c r="FH302" s="13"/>
      <c r="FI302" s="13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  <c r="FT302" s="13"/>
      <c r="FU302" s="13"/>
      <c r="FV302" s="13"/>
      <c r="FW302" s="13"/>
      <c r="FX302" s="13"/>
      <c r="FY302" s="13"/>
      <c r="FZ302" s="13"/>
      <c r="GA302" s="13"/>
      <c r="GB302" s="13"/>
      <c r="GC302" s="13"/>
      <c r="GD302" s="13"/>
      <c r="GE302" s="13"/>
      <c r="GF302" s="13"/>
      <c r="GG302" s="13"/>
      <c r="GH302" s="13"/>
      <c r="GI302" s="13"/>
      <c r="GJ302" s="13"/>
      <c r="GK302" s="13"/>
      <c r="GL302" s="13"/>
      <c r="GM302" s="13"/>
      <c r="GN302" s="13"/>
      <c r="GO302" s="13"/>
      <c r="GP302" s="13"/>
      <c r="GQ302" s="13"/>
      <c r="GR302" s="13"/>
      <c r="GS302" s="13"/>
      <c r="GT302" s="13"/>
      <c r="GU302" s="13"/>
      <c r="GV302" s="13"/>
    </row>
    <row r="303" spans="1:211" s="152" customFormat="1" ht="18" customHeight="1">
      <c r="A303" s="13"/>
      <c r="B303" s="108"/>
      <c r="C303" s="153"/>
      <c r="D303" s="154"/>
      <c r="E303" s="108"/>
      <c r="F303" s="108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51"/>
      <c r="BR303" s="151"/>
      <c r="BS303" s="151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3"/>
      <c r="FD303" s="13"/>
      <c r="FE303" s="13"/>
      <c r="FF303" s="13"/>
      <c r="FG303" s="13"/>
      <c r="FH303" s="13"/>
      <c r="FI303" s="13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  <c r="FT303" s="13"/>
      <c r="FU303" s="13"/>
      <c r="FV303" s="13"/>
      <c r="FW303" s="13"/>
      <c r="FX303" s="13"/>
      <c r="FY303" s="13"/>
      <c r="FZ303" s="13"/>
      <c r="GA303" s="13"/>
      <c r="GB303" s="13"/>
      <c r="GC303" s="13"/>
      <c r="GD303" s="13"/>
      <c r="GE303" s="13"/>
      <c r="GF303" s="13"/>
      <c r="GG303" s="13"/>
      <c r="GH303" s="13"/>
      <c r="GI303" s="13"/>
      <c r="GJ303" s="13"/>
      <c r="GK303" s="13"/>
      <c r="GL303" s="13"/>
      <c r="GM303" s="13"/>
      <c r="GN303" s="13"/>
      <c r="GO303" s="13"/>
      <c r="GP303" s="13"/>
      <c r="GQ303" s="13"/>
      <c r="GR303" s="13"/>
      <c r="GS303" s="13"/>
      <c r="GT303" s="13"/>
      <c r="GU303" s="13"/>
      <c r="GV303" s="13"/>
    </row>
    <row r="304" spans="1:211" s="152" customFormat="1" ht="18" customHeight="1">
      <c r="A304" s="13"/>
      <c r="B304" s="108"/>
      <c r="C304" s="153"/>
      <c r="D304" s="154"/>
      <c r="E304" s="108"/>
      <c r="F304" s="108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51"/>
      <c r="BR304" s="151"/>
      <c r="BS304" s="151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3"/>
      <c r="FD304" s="13"/>
      <c r="FE304" s="13"/>
      <c r="FF304" s="13"/>
      <c r="FG304" s="13"/>
      <c r="FH304" s="13"/>
      <c r="FI304" s="13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  <c r="FT304" s="13"/>
      <c r="FU304" s="13"/>
      <c r="FV304" s="13"/>
      <c r="FW304" s="13"/>
      <c r="FX304" s="13"/>
      <c r="FY304" s="13"/>
      <c r="FZ304" s="13"/>
      <c r="GA304" s="13"/>
      <c r="GB304" s="13"/>
      <c r="GC304" s="13"/>
      <c r="GD304" s="13"/>
      <c r="GE304" s="13"/>
      <c r="GF304" s="13"/>
      <c r="GG304" s="13"/>
      <c r="GH304" s="13"/>
      <c r="GI304" s="13"/>
      <c r="GJ304" s="13"/>
      <c r="GK304" s="13"/>
      <c r="GL304" s="13"/>
      <c r="GM304" s="13"/>
      <c r="GN304" s="13"/>
      <c r="GO304" s="13"/>
      <c r="GP304" s="13"/>
      <c r="GQ304" s="13"/>
      <c r="GR304" s="13"/>
      <c r="GS304" s="13"/>
      <c r="GT304" s="13"/>
      <c r="GU304" s="13"/>
      <c r="GV304" s="13"/>
    </row>
    <row r="305" spans="1:211" s="152" customFormat="1" ht="18" customHeight="1">
      <c r="A305" s="13"/>
      <c r="B305" s="108"/>
      <c r="C305" s="153"/>
      <c r="D305" s="154"/>
      <c r="E305" s="108"/>
      <c r="F305" s="108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51"/>
      <c r="BR305" s="151"/>
      <c r="BS305" s="151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3"/>
      <c r="FD305" s="13"/>
      <c r="FE305" s="13"/>
      <c r="FF305" s="13"/>
      <c r="FG305" s="13"/>
      <c r="FH305" s="13"/>
      <c r="FI305" s="13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  <c r="FT305" s="13"/>
      <c r="FU305" s="13"/>
      <c r="FV305" s="13"/>
      <c r="FW305" s="13"/>
      <c r="FX305" s="13"/>
      <c r="FY305" s="13"/>
      <c r="FZ305" s="13"/>
      <c r="GA305" s="13"/>
      <c r="GB305" s="13"/>
      <c r="GC305" s="13"/>
      <c r="GD305" s="13"/>
      <c r="GE305" s="13"/>
      <c r="GF305" s="13"/>
      <c r="GG305" s="13"/>
      <c r="GH305" s="13"/>
      <c r="GI305" s="13"/>
      <c r="GJ305" s="13"/>
      <c r="GK305" s="13"/>
      <c r="GL305" s="13"/>
      <c r="GM305" s="13"/>
      <c r="GN305" s="13"/>
      <c r="GO305" s="13"/>
      <c r="GP305" s="13"/>
      <c r="GQ305" s="13"/>
      <c r="GR305" s="13"/>
      <c r="GS305" s="13"/>
      <c r="GT305" s="13"/>
      <c r="GU305" s="13"/>
      <c r="GV305" s="13"/>
    </row>
    <row r="306" spans="1:211" s="152" customFormat="1" ht="18" customHeight="1">
      <c r="A306" s="13"/>
      <c r="B306" s="108"/>
      <c r="C306" s="153"/>
      <c r="D306" s="154"/>
      <c r="E306" s="108"/>
      <c r="F306" s="108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51"/>
      <c r="BR306" s="151"/>
      <c r="BS306" s="151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3"/>
      <c r="FD306" s="13"/>
      <c r="FE306" s="13"/>
      <c r="FF306" s="13"/>
      <c r="FG306" s="13"/>
      <c r="FH306" s="13"/>
      <c r="FI306" s="13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  <c r="FT306" s="13"/>
      <c r="FU306" s="13"/>
      <c r="FV306" s="13"/>
      <c r="FW306" s="13"/>
      <c r="FX306" s="13"/>
      <c r="FY306" s="13"/>
      <c r="FZ306" s="13"/>
      <c r="GA306" s="13"/>
      <c r="GB306" s="13"/>
      <c r="GC306" s="13"/>
      <c r="GD306" s="13"/>
      <c r="GE306" s="13"/>
      <c r="GF306" s="13"/>
      <c r="GG306" s="13"/>
      <c r="GH306" s="13"/>
      <c r="GI306" s="13"/>
      <c r="GJ306" s="13"/>
      <c r="GK306" s="13"/>
      <c r="GL306" s="13"/>
      <c r="GM306" s="13"/>
      <c r="GN306" s="13"/>
      <c r="GO306" s="13"/>
      <c r="GP306" s="13"/>
      <c r="GQ306" s="13"/>
      <c r="GR306" s="13"/>
      <c r="GS306" s="13"/>
      <c r="GT306" s="13"/>
      <c r="GU306" s="13"/>
      <c r="GV306" s="13"/>
    </row>
    <row r="307" spans="1:211" s="13" customFormat="1">
      <c r="B307" s="153"/>
      <c r="C307" s="153"/>
      <c r="D307" s="154"/>
      <c r="E307" s="108"/>
      <c r="F307" s="108"/>
      <c r="BQ307" s="151"/>
      <c r="BR307" s="151"/>
      <c r="BS307" s="151"/>
    </row>
    <row r="308" spans="1:211" s="13" customFormat="1">
      <c r="A308" s="108"/>
      <c r="B308" s="153"/>
      <c r="C308" s="153"/>
      <c r="D308" s="154"/>
      <c r="E308" s="108"/>
      <c r="F308" s="108"/>
      <c r="BQ308" s="151"/>
      <c r="BR308" s="151"/>
      <c r="BS308" s="151"/>
    </row>
    <row r="309" spans="1:211">
      <c r="E309" s="108"/>
      <c r="F309" s="108"/>
    </row>
    <row r="310" spans="1:211">
      <c r="E310" s="108"/>
      <c r="F310" s="108"/>
    </row>
    <row r="311" spans="1:211">
      <c r="E311" s="108"/>
      <c r="F311" s="108"/>
    </row>
    <row r="312" spans="1:211">
      <c r="E312" s="108"/>
      <c r="F312" s="108"/>
    </row>
    <row r="313" spans="1:211">
      <c r="E313" s="108"/>
      <c r="F313" s="108"/>
    </row>
    <row r="314" spans="1:211">
      <c r="E314" s="108"/>
      <c r="F314" s="108"/>
    </row>
    <row r="315" spans="1:211">
      <c r="E315" s="108"/>
      <c r="F315" s="108"/>
    </row>
    <row r="316" spans="1:211">
      <c r="E316" s="108"/>
      <c r="F316" s="108"/>
    </row>
    <row r="317" spans="1:211">
      <c r="E317" s="108"/>
      <c r="F317" s="108"/>
    </row>
    <row r="318" spans="1:211">
      <c r="E318" s="108"/>
      <c r="F318" s="108"/>
    </row>
    <row r="319" spans="1:211">
      <c r="E319" s="108"/>
      <c r="F319" s="108"/>
    </row>
    <row r="320" spans="1:211" s="154" customFormat="1">
      <c r="A320" s="108"/>
      <c r="B320" s="153"/>
      <c r="C320" s="153"/>
      <c r="E320" s="108"/>
      <c r="F320" s="108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51"/>
      <c r="BR320" s="151"/>
      <c r="BS320" s="151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13"/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3"/>
      <c r="FD320" s="13"/>
      <c r="FE320" s="13"/>
      <c r="FF320" s="13"/>
      <c r="FG320" s="13"/>
      <c r="FH320" s="13"/>
      <c r="FI320" s="13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  <c r="FT320" s="13"/>
      <c r="FU320" s="13"/>
      <c r="FV320" s="13"/>
      <c r="FW320" s="13"/>
      <c r="FX320" s="13"/>
      <c r="FY320" s="13"/>
      <c r="FZ320" s="13"/>
      <c r="GA320" s="13"/>
      <c r="GB320" s="13"/>
      <c r="GC320" s="13"/>
      <c r="GD320" s="13"/>
      <c r="GE320" s="13"/>
      <c r="GF320" s="13"/>
      <c r="GG320" s="13"/>
      <c r="GH320" s="13"/>
      <c r="GI320" s="108"/>
      <c r="GJ320" s="108"/>
      <c r="GK320" s="108"/>
      <c r="GL320" s="108"/>
      <c r="GM320" s="108"/>
      <c r="GN320" s="108"/>
      <c r="GO320" s="108"/>
      <c r="GP320" s="108"/>
      <c r="GQ320" s="108"/>
      <c r="GR320" s="108"/>
      <c r="GS320" s="108"/>
      <c r="GT320" s="108"/>
      <c r="GU320" s="108"/>
      <c r="GV320" s="108"/>
      <c r="GW320" s="108"/>
      <c r="GX320" s="108"/>
      <c r="GY320" s="108"/>
      <c r="GZ320" s="108"/>
      <c r="HA320" s="108"/>
      <c r="HB320" s="108"/>
      <c r="HC320" s="108"/>
    </row>
    <row r="321" spans="1:211" s="154" customFormat="1">
      <c r="A321" s="108"/>
      <c r="B321" s="153"/>
      <c r="C321" s="153"/>
      <c r="E321" s="108"/>
      <c r="F321" s="108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51"/>
      <c r="BR321" s="151"/>
      <c r="BS321" s="151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  <c r="EJ321" s="13"/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3"/>
      <c r="FD321" s="13"/>
      <c r="FE321" s="13"/>
      <c r="FF321" s="13"/>
      <c r="FG321" s="13"/>
      <c r="FH321" s="13"/>
      <c r="FI321" s="13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  <c r="FT321" s="13"/>
      <c r="FU321" s="13"/>
      <c r="FV321" s="13"/>
      <c r="FW321" s="13"/>
      <c r="FX321" s="13"/>
      <c r="FY321" s="13"/>
      <c r="FZ321" s="13"/>
      <c r="GA321" s="13"/>
      <c r="GB321" s="13"/>
      <c r="GC321" s="13"/>
      <c r="GD321" s="13"/>
      <c r="GE321" s="13"/>
      <c r="GF321" s="13"/>
      <c r="GG321" s="13"/>
      <c r="GH321" s="13"/>
      <c r="GI321" s="108"/>
      <c r="GJ321" s="108"/>
      <c r="GK321" s="108"/>
      <c r="GL321" s="108"/>
      <c r="GM321" s="108"/>
      <c r="GN321" s="108"/>
      <c r="GO321" s="108"/>
      <c r="GP321" s="108"/>
      <c r="GQ321" s="108"/>
      <c r="GR321" s="108"/>
      <c r="GS321" s="108"/>
      <c r="GT321" s="108"/>
      <c r="GU321" s="108"/>
      <c r="GV321" s="108"/>
      <c r="GW321" s="108"/>
      <c r="GX321" s="108"/>
      <c r="GY321" s="108"/>
      <c r="GZ321" s="108"/>
      <c r="HA321" s="108"/>
      <c r="HB321" s="108"/>
      <c r="HC321" s="108"/>
    </row>
    <row r="322" spans="1:211" s="154" customFormat="1">
      <c r="A322" s="108"/>
      <c r="B322" s="153"/>
      <c r="C322" s="153"/>
      <c r="E322" s="108"/>
      <c r="F322" s="108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51"/>
      <c r="BR322" s="151"/>
      <c r="BS322" s="151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  <c r="EJ322" s="13"/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3"/>
      <c r="FD322" s="13"/>
      <c r="FE322" s="13"/>
      <c r="FF322" s="13"/>
      <c r="FG322" s="13"/>
      <c r="FH322" s="13"/>
      <c r="FI322" s="13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  <c r="FT322" s="13"/>
      <c r="FU322" s="13"/>
      <c r="FV322" s="13"/>
      <c r="FW322" s="13"/>
      <c r="FX322" s="13"/>
      <c r="FY322" s="13"/>
      <c r="FZ322" s="13"/>
      <c r="GA322" s="13"/>
      <c r="GB322" s="13"/>
      <c r="GC322" s="13"/>
      <c r="GD322" s="13"/>
      <c r="GE322" s="13"/>
      <c r="GF322" s="13"/>
      <c r="GG322" s="13"/>
      <c r="GH322" s="13"/>
      <c r="GI322" s="108"/>
      <c r="GJ322" s="108"/>
      <c r="GK322" s="108"/>
      <c r="GL322" s="108"/>
      <c r="GM322" s="108"/>
      <c r="GN322" s="108"/>
      <c r="GO322" s="108"/>
      <c r="GP322" s="108"/>
      <c r="GQ322" s="108"/>
      <c r="GR322" s="108"/>
      <c r="GS322" s="108"/>
      <c r="GT322" s="108"/>
      <c r="GU322" s="108"/>
      <c r="GV322" s="108"/>
      <c r="GW322" s="108"/>
      <c r="GX322" s="108"/>
      <c r="GY322" s="108"/>
      <c r="GZ322" s="108"/>
      <c r="HA322" s="108"/>
      <c r="HB322" s="108"/>
      <c r="HC322" s="108"/>
    </row>
    <row r="323" spans="1:211" s="154" customFormat="1">
      <c r="A323" s="108"/>
      <c r="B323" s="153"/>
      <c r="C323" s="153"/>
      <c r="E323" s="108"/>
      <c r="F323" s="108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51"/>
      <c r="BR323" s="151"/>
      <c r="BS323" s="151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  <c r="EJ323" s="13"/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3"/>
      <c r="FD323" s="13"/>
      <c r="FE323" s="13"/>
      <c r="FF323" s="13"/>
      <c r="FG323" s="13"/>
      <c r="FH323" s="13"/>
      <c r="FI323" s="13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  <c r="FT323" s="13"/>
      <c r="FU323" s="13"/>
      <c r="FV323" s="13"/>
      <c r="FW323" s="13"/>
      <c r="FX323" s="13"/>
      <c r="FY323" s="13"/>
      <c r="FZ323" s="13"/>
      <c r="GA323" s="13"/>
      <c r="GB323" s="13"/>
      <c r="GC323" s="13"/>
      <c r="GD323" s="13"/>
      <c r="GE323" s="13"/>
      <c r="GF323" s="13"/>
      <c r="GG323" s="13"/>
      <c r="GH323" s="13"/>
      <c r="GI323" s="108"/>
      <c r="GJ323" s="108"/>
      <c r="GK323" s="108"/>
      <c r="GL323" s="108"/>
      <c r="GM323" s="108"/>
      <c r="GN323" s="108"/>
      <c r="GO323" s="108"/>
      <c r="GP323" s="108"/>
      <c r="GQ323" s="108"/>
      <c r="GR323" s="108"/>
      <c r="GS323" s="108"/>
      <c r="GT323" s="108"/>
      <c r="GU323" s="108"/>
      <c r="GV323" s="108"/>
      <c r="GW323" s="108"/>
      <c r="GX323" s="108"/>
      <c r="GY323" s="108"/>
      <c r="GZ323" s="108"/>
      <c r="HA323" s="108"/>
      <c r="HB323" s="108"/>
      <c r="HC323" s="108"/>
    </row>
    <row r="324" spans="1:211" s="154" customFormat="1">
      <c r="A324" s="108"/>
      <c r="B324" s="153"/>
      <c r="C324" s="153"/>
      <c r="E324" s="108"/>
      <c r="F324" s="108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51"/>
      <c r="BR324" s="151"/>
      <c r="BS324" s="151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3"/>
      <c r="FD324" s="13"/>
      <c r="FE324" s="13"/>
      <c r="FF324" s="13"/>
      <c r="FG324" s="13"/>
      <c r="FH324" s="13"/>
      <c r="FI324" s="13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  <c r="FT324" s="13"/>
      <c r="FU324" s="13"/>
      <c r="FV324" s="13"/>
      <c r="FW324" s="13"/>
      <c r="FX324" s="13"/>
      <c r="FY324" s="13"/>
      <c r="FZ324" s="13"/>
      <c r="GA324" s="13"/>
      <c r="GB324" s="13"/>
      <c r="GC324" s="13"/>
      <c r="GD324" s="13"/>
      <c r="GE324" s="13"/>
      <c r="GF324" s="13"/>
      <c r="GG324" s="13"/>
      <c r="GH324" s="13"/>
      <c r="GI324" s="108"/>
      <c r="GJ324" s="108"/>
      <c r="GK324" s="108"/>
      <c r="GL324" s="108"/>
      <c r="GM324" s="108"/>
      <c r="GN324" s="108"/>
      <c r="GO324" s="108"/>
      <c r="GP324" s="108"/>
      <c r="GQ324" s="108"/>
      <c r="GR324" s="108"/>
      <c r="GS324" s="108"/>
      <c r="GT324" s="108"/>
      <c r="GU324" s="108"/>
      <c r="GV324" s="108"/>
      <c r="GW324" s="108"/>
      <c r="GX324" s="108"/>
      <c r="GY324" s="108"/>
      <c r="GZ324" s="108"/>
      <c r="HA324" s="108"/>
      <c r="HB324" s="108"/>
      <c r="HC324" s="108"/>
    </row>
    <row r="325" spans="1:211" s="154" customFormat="1">
      <c r="A325" s="108"/>
      <c r="B325" s="153"/>
      <c r="C325" s="153"/>
      <c r="E325" s="108"/>
      <c r="F325" s="108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51"/>
      <c r="BR325" s="151"/>
      <c r="BS325" s="151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3"/>
      <c r="FD325" s="13"/>
      <c r="FE325" s="13"/>
      <c r="FF325" s="13"/>
      <c r="FG325" s="13"/>
      <c r="FH325" s="13"/>
      <c r="FI325" s="13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  <c r="FT325" s="13"/>
      <c r="FU325" s="13"/>
      <c r="FV325" s="13"/>
      <c r="FW325" s="13"/>
      <c r="FX325" s="13"/>
      <c r="FY325" s="13"/>
      <c r="FZ325" s="13"/>
      <c r="GA325" s="13"/>
      <c r="GB325" s="13"/>
      <c r="GC325" s="13"/>
      <c r="GD325" s="13"/>
      <c r="GE325" s="13"/>
      <c r="GF325" s="13"/>
      <c r="GG325" s="13"/>
      <c r="GH325" s="13"/>
      <c r="GI325" s="108"/>
      <c r="GJ325" s="108"/>
      <c r="GK325" s="108"/>
      <c r="GL325" s="108"/>
      <c r="GM325" s="108"/>
      <c r="GN325" s="108"/>
      <c r="GO325" s="108"/>
      <c r="GP325" s="108"/>
      <c r="GQ325" s="108"/>
      <c r="GR325" s="108"/>
      <c r="GS325" s="108"/>
      <c r="GT325" s="108"/>
      <c r="GU325" s="108"/>
      <c r="GV325" s="108"/>
      <c r="GW325" s="108"/>
      <c r="GX325" s="108"/>
      <c r="GY325" s="108"/>
      <c r="GZ325" s="108"/>
      <c r="HA325" s="108"/>
      <c r="HB325" s="108"/>
      <c r="HC325" s="108"/>
    </row>
    <row r="326" spans="1:211" s="154" customFormat="1">
      <c r="A326" s="108"/>
      <c r="B326" s="153"/>
      <c r="C326" s="153"/>
      <c r="E326" s="108"/>
      <c r="F326" s="108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51"/>
      <c r="BR326" s="151"/>
      <c r="BS326" s="151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3"/>
      <c r="FD326" s="13"/>
      <c r="FE326" s="13"/>
      <c r="FF326" s="13"/>
      <c r="FG326" s="13"/>
      <c r="FH326" s="13"/>
      <c r="FI326" s="13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  <c r="FT326" s="13"/>
      <c r="FU326" s="13"/>
      <c r="FV326" s="13"/>
      <c r="FW326" s="13"/>
      <c r="FX326" s="13"/>
      <c r="FY326" s="13"/>
      <c r="FZ326" s="13"/>
      <c r="GA326" s="13"/>
      <c r="GB326" s="13"/>
      <c r="GC326" s="13"/>
      <c r="GD326" s="13"/>
      <c r="GE326" s="13"/>
      <c r="GF326" s="13"/>
      <c r="GG326" s="13"/>
      <c r="GH326" s="13"/>
      <c r="GI326" s="108"/>
      <c r="GJ326" s="108"/>
      <c r="GK326" s="108"/>
      <c r="GL326" s="108"/>
      <c r="GM326" s="108"/>
      <c r="GN326" s="108"/>
      <c r="GO326" s="108"/>
      <c r="GP326" s="108"/>
      <c r="GQ326" s="108"/>
      <c r="GR326" s="108"/>
      <c r="GS326" s="108"/>
      <c r="GT326" s="108"/>
      <c r="GU326" s="108"/>
      <c r="GV326" s="108"/>
      <c r="GW326" s="108"/>
      <c r="GX326" s="108"/>
      <c r="GY326" s="108"/>
      <c r="GZ326" s="108"/>
      <c r="HA326" s="108"/>
      <c r="HB326" s="108"/>
      <c r="HC326" s="108"/>
    </row>
    <row r="327" spans="1:211" s="154" customFormat="1">
      <c r="A327" s="108"/>
      <c r="B327" s="153"/>
      <c r="C327" s="153"/>
      <c r="E327" s="108"/>
      <c r="F327" s="108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51"/>
      <c r="BR327" s="151"/>
      <c r="BS327" s="151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3"/>
      <c r="FD327" s="13"/>
      <c r="FE327" s="13"/>
      <c r="FF327" s="13"/>
      <c r="FG327" s="13"/>
      <c r="FH327" s="13"/>
      <c r="FI327" s="13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  <c r="FT327" s="13"/>
      <c r="FU327" s="13"/>
      <c r="FV327" s="13"/>
      <c r="FW327" s="13"/>
      <c r="FX327" s="13"/>
      <c r="FY327" s="13"/>
      <c r="FZ327" s="13"/>
      <c r="GA327" s="13"/>
      <c r="GB327" s="13"/>
      <c r="GC327" s="13"/>
      <c r="GD327" s="13"/>
      <c r="GE327" s="13"/>
      <c r="GF327" s="13"/>
      <c r="GG327" s="13"/>
      <c r="GH327" s="13"/>
      <c r="GI327" s="108"/>
      <c r="GJ327" s="108"/>
      <c r="GK327" s="108"/>
      <c r="GL327" s="108"/>
      <c r="GM327" s="108"/>
      <c r="GN327" s="108"/>
      <c r="GO327" s="108"/>
      <c r="GP327" s="108"/>
      <c r="GQ327" s="108"/>
      <c r="GR327" s="108"/>
      <c r="GS327" s="108"/>
      <c r="GT327" s="108"/>
      <c r="GU327" s="108"/>
      <c r="GV327" s="108"/>
      <c r="GW327" s="108"/>
      <c r="GX327" s="108"/>
      <c r="GY327" s="108"/>
      <c r="GZ327" s="108"/>
      <c r="HA327" s="108"/>
      <c r="HB327" s="108"/>
      <c r="HC327" s="108"/>
    </row>
    <row r="328" spans="1:211" s="154" customFormat="1">
      <c r="A328" s="108"/>
      <c r="B328" s="153"/>
      <c r="C328" s="153"/>
      <c r="E328" s="108"/>
      <c r="F328" s="108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51"/>
      <c r="BR328" s="151"/>
      <c r="BS328" s="151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3"/>
      <c r="FD328" s="13"/>
      <c r="FE328" s="13"/>
      <c r="FF328" s="13"/>
      <c r="FG328" s="13"/>
      <c r="FH328" s="13"/>
      <c r="FI328" s="13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  <c r="FT328" s="13"/>
      <c r="FU328" s="13"/>
      <c r="FV328" s="13"/>
      <c r="FW328" s="13"/>
      <c r="FX328" s="13"/>
      <c r="FY328" s="13"/>
      <c r="FZ328" s="13"/>
      <c r="GA328" s="13"/>
      <c r="GB328" s="13"/>
      <c r="GC328" s="13"/>
      <c r="GD328" s="13"/>
      <c r="GE328" s="13"/>
      <c r="GF328" s="13"/>
      <c r="GG328" s="13"/>
      <c r="GH328" s="13"/>
      <c r="GI328" s="108"/>
      <c r="GJ328" s="108"/>
      <c r="GK328" s="108"/>
      <c r="GL328" s="108"/>
      <c r="GM328" s="108"/>
      <c r="GN328" s="108"/>
      <c r="GO328" s="108"/>
      <c r="GP328" s="108"/>
      <c r="GQ328" s="108"/>
      <c r="GR328" s="108"/>
      <c r="GS328" s="108"/>
      <c r="GT328" s="108"/>
      <c r="GU328" s="108"/>
      <c r="GV328" s="108"/>
      <c r="GW328" s="108"/>
      <c r="GX328" s="108"/>
      <c r="GY328" s="108"/>
      <c r="GZ328" s="108"/>
      <c r="HA328" s="108"/>
      <c r="HB328" s="108"/>
      <c r="HC328" s="108"/>
    </row>
    <row r="329" spans="1:211" s="154" customFormat="1">
      <c r="A329" s="108"/>
      <c r="B329" s="153"/>
      <c r="C329" s="153"/>
      <c r="E329" s="108"/>
      <c r="F329" s="108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51"/>
      <c r="BR329" s="151"/>
      <c r="BS329" s="151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3"/>
      <c r="FD329" s="13"/>
      <c r="FE329" s="13"/>
      <c r="FF329" s="13"/>
      <c r="FG329" s="13"/>
      <c r="FH329" s="13"/>
      <c r="FI329" s="13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  <c r="FT329" s="13"/>
      <c r="FU329" s="13"/>
      <c r="FV329" s="13"/>
      <c r="FW329" s="13"/>
      <c r="FX329" s="13"/>
      <c r="FY329" s="13"/>
      <c r="FZ329" s="13"/>
      <c r="GA329" s="13"/>
      <c r="GB329" s="13"/>
      <c r="GC329" s="13"/>
      <c r="GD329" s="13"/>
      <c r="GE329" s="13"/>
      <c r="GF329" s="13"/>
      <c r="GG329" s="13"/>
      <c r="GH329" s="13"/>
      <c r="GI329" s="108"/>
      <c r="GJ329" s="108"/>
      <c r="GK329" s="108"/>
      <c r="GL329" s="108"/>
      <c r="GM329" s="108"/>
      <c r="GN329" s="108"/>
      <c r="GO329" s="108"/>
      <c r="GP329" s="108"/>
      <c r="GQ329" s="108"/>
      <c r="GR329" s="108"/>
      <c r="GS329" s="108"/>
      <c r="GT329" s="108"/>
      <c r="GU329" s="108"/>
      <c r="GV329" s="108"/>
      <c r="GW329" s="108"/>
      <c r="GX329" s="108"/>
      <c r="GY329" s="108"/>
      <c r="GZ329" s="108"/>
      <c r="HA329" s="108"/>
      <c r="HB329" s="108"/>
      <c r="HC329" s="108"/>
    </row>
    <row r="330" spans="1:211" s="154" customFormat="1">
      <c r="A330" s="108"/>
      <c r="B330" s="153"/>
      <c r="C330" s="153"/>
      <c r="E330" s="108"/>
      <c r="F330" s="108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51"/>
      <c r="BR330" s="151"/>
      <c r="BS330" s="151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3"/>
      <c r="FD330" s="13"/>
      <c r="FE330" s="13"/>
      <c r="FF330" s="13"/>
      <c r="FG330" s="13"/>
      <c r="FH330" s="13"/>
      <c r="FI330" s="13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  <c r="FT330" s="13"/>
      <c r="FU330" s="13"/>
      <c r="FV330" s="13"/>
      <c r="FW330" s="13"/>
      <c r="FX330" s="13"/>
      <c r="FY330" s="13"/>
      <c r="FZ330" s="13"/>
      <c r="GA330" s="13"/>
      <c r="GB330" s="13"/>
      <c r="GC330" s="13"/>
      <c r="GD330" s="13"/>
      <c r="GE330" s="13"/>
      <c r="GF330" s="13"/>
      <c r="GG330" s="13"/>
      <c r="GH330" s="13"/>
      <c r="GI330" s="108"/>
      <c r="GJ330" s="108"/>
      <c r="GK330" s="108"/>
      <c r="GL330" s="108"/>
      <c r="GM330" s="108"/>
      <c r="GN330" s="108"/>
      <c r="GO330" s="108"/>
      <c r="GP330" s="108"/>
      <c r="GQ330" s="108"/>
      <c r="GR330" s="108"/>
      <c r="GS330" s="108"/>
      <c r="GT330" s="108"/>
      <c r="GU330" s="108"/>
      <c r="GV330" s="108"/>
      <c r="GW330" s="108"/>
      <c r="GX330" s="108"/>
      <c r="GY330" s="108"/>
      <c r="GZ330" s="108"/>
      <c r="HA330" s="108"/>
      <c r="HB330" s="108"/>
      <c r="HC330" s="108"/>
    </row>
    <row r="331" spans="1:211" s="154" customFormat="1">
      <c r="A331" s="108"/>
      <c r="B331" s="153"/>
      <c r="C331" s="153"/>
      <c r="E331" s="108"/>
      <c r="F331" s="108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51"/>
      <c r="BR331" s="151"/>
      <c r="BS331" s="151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3"/>
      <c r="FD331" s="13"/>
      <c r="FE331" s="13"/>
      <c r="FF331" s="13"/>
      <c r="FG331" s="13"/>
      <c r="FH331" s="13"/>
      <c r="FI331" s="13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  <c r="FT331" s="13"/>
      <c r="FU331" s="13"/>
      <c r="FV331" s="13"/>
      <c r="FW331" s="13"/>
      <c r="FX331" s="13"/>
      <c r="FY331" s="13"/>
      <c r="FZ331" s="13"/>
      <c r="GA331" s="13"/>
      <c r="GB331" s="13"/>
      <c r="GC331" s="13"/>
      <c r="GD331" s="13"/>
      <c r="GE331" s="13"/>
      <c r="GF331" s="13"/>
      <c r="GG331" s="13"/>
      <c r="GH331" s="13"/>
      <c r="GI331" s="108"/>
      <c r="GJ331" s="108"/>
      <c r="GK331" s="108"/>
      <c r="GL331" s="108"/>
      <c r="GM331" s="108"/>
      <c r="GN331" s="108"/>
      <c r="GO331" s="108"/>
      <c r="GP331" s="108"/>
      <c r="GQ331" s="108"/>
      <c r="GR331" s="108"/>
      <c r="GS331" s="108"/>
      <c r="GT331" s="108"/>
      <c r="GU331" s="108"/>
      <c r="GV331" s="108"/>
      <c r="GW331" s="108"/>
      <c r="GX331" s="108"/>
      <c r="GY331" s="108"/>
      <c r="GZ331" s="108"/>
      <c r="HA331" s="108"/>
      <c r="HB331" s="108"/>
      <c r="HC331" s="108"/>
    </row>
    <row r="332" spans="1:211" s="154" customFormat="1">
      <c r="A332" s="108"/>
      <c r="B332" s="153"/>
      <c r="C332" s="153"/>
      <c r="E332" s="108"/>
      <c r="F332" s="108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51"/>
      <c r="BR332" s="151"/>
      <c r="BS332" s="151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3"/>
      <c r="FD332" s="13"/>
      <c r="FE332" s="13"/>
      <c r="FF332" s="13"/>
      <c r="FG332" s="13"/>
      <c r="FH332" s="13"/>
      <c r="FI332" s="13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  <c r="FT332" s="13"/>
      <c r="FU332" s="13"/>
      <c r="FV332" s="13"/>
      <c r="FW332" s="13"/>
      <c r="FX332" s="13"/>
      <c r="FY332" s="13"/>
      <c r="FZ332" s="13"/>
      <c r="GA332" s="13"/>
      <c r="GB332" s="13"/>
      <c r="GC332" s="13"/>
      <c r="GD332" s="13"/>
      <c r="GE332" s="13"/>
      <c r="GF332" s="13"/>
      <c r="GG332" s="13"/>
      <c r="GH332" s="13"/>
      <c r="GI332" s="108"/>
      <c r="GJ332" s="108"/>
      <c r="GK332" s="108"/>
      <c r="GL332" s="108"/>
      <c r="GM332" s="108"/>
      <c r="GN332" s="108"/>
      <c r="GO332" s="108"/>
      <c r="GP332" s="108"/>
      <c r="GQ332" s="108"/>
      <c r="GR332" s="108"/>
      <c r="GS332" s="108"/>
      <c r="GT332" s="108"/>
      <c r="GU332" s="108"/>
      <c r="GV332" s="108"/>
      <c r="GW332" s="108"/>
      <c r="GX332" s="108"/>
      <c r="GY332" s="108"/>
      <c r="GZ332" s="108"/>
      <c r="HA332" s="108"/>
      <c r="HB332" s="108"/>
      <c r="HC332" s="108"/>
    </row>
    <row r="333" spans="1:211" s="154" customFormat="1">
      <c r="A333" s="108"/>
      <c r="B333" s="153"/>
      <c r="C333" s="153"/>
      <c r="E333" s="108"/>
      <c r="F333" s="108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51"/>
      <c r="BR333" s="151"/>
      <c r="BS333" s="151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3"/>
      <c r="FD333" s="13"/>
      <c r="FE333" s="13"/>
      <c r="FF333" s="13"/>
      <c r="FG333" s="13"/>
      <c r="FH333" s="13"/>
      <c r="FI333" s="13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  <c r="FT333" s="13"/>
      <c r="FU333" s="13"/>
      <c r="FV333" s="13"/>
      <c r="FW333" s="13"/>
      <c r="FX333" s="13"/>
      <c r="FY333" s="13"/>
      <c r="FZ333" s="13"/>
      <c r="GA333" s="13"/>
      <c r="GB333" s="13"/>
      <c r="GC333" s="13"/>
      <c r="GD333" s="13"/>
      <c r="GE333" s="13"/>
      <c r="GF333" s="13"/>
      <c r="GG333" s="13"/>
      <c r="GH333" s="13"/>
      <c r="GI333" s="108"/>
      <c r="GJ333" s="108"/>
      <c r="GK333" s="108"/>
      <c r="GL333" s="108"/>
      <c r="GM333" s="108"/>
      <c r="GN333" s="108"/>
      <c r="GO333" s="108"/>
      <c r="GP333" s="108"/>
      <c r="GQ333" s="108"/>
      <c r="GR333" s="108"/>
      <c r="GS333" s="108"/>
      <c r="GT333" s="108"/>
      <c r="GU333" s="108"/>
      <c r="GV333" s="108"/>
      <c r="GW333" s="108"/>
      <c r="GX333" s="108"/>
      <c r="GY333" s="108"/>
      <c r="GZ333" s="108"/>
      <c r="HA333" s="108"/>
      <c r="HB333" s="108"/>
      <c r="HC333" s="108"/>
    </row>
    <row r="334" spans="1:211" s="154" customFormat="1">
      <c r="A334" s="108"/>
      <c r="B334" s="153"/>
      <c r="C334" s="153"/>
      <c r="E334" s="108"/>
      <c r="F334" s="108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51"/>
      <c r="BR334" s="151"/>
      <c r="BS334" s="151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3"/>
      <c r="FD334" s="13"/>
      <c r="FE334" s="13"/>
      <c r="FF334" s="13"/>
      <c r="FG334" s="13"/>
      <c r="FH334" s="13"/>
      <c r="FI334" s="13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  <c r="FT334" s="13"/>
      <c r="FU334" s="13"/>
      <c r="FV334" s="13"/>
      <c r="FW334" s="13"/>
      <c r="FX334" s="13"/>
      <c r="FY334" s="13"/>
      <c r="FZ334" s="13"/>
      <c r="GA334" s="13"/>
      <c r="GB334" s="13"/>
      <c r="GC334" s="13"/>
      <c r="GD334" s="13"/>
      <c r="GE334" s="13"/>
      <c r="GF334" s="13"/>
      <c r="GG334" s="13"/>
      <c r="GH334" s="13"/>
      <c r="GI334" s="108"/>
      <c r="GJ334" s="108"/>
      <c r="GK334" s="108"/>
      <c r="GL334" s="108"/>
      <c r="GM334" s="108"/>
      <c r="GN334" s="108"/>
      <c r="GO334" s="108"/>
      <c r="GP334" s="108"/>
      <c r="GQ334" s="108"/>
      <c r="GR334" s="108"/>
      <c r="GS334" s="108"/>
      <c r="GT334" s="108"/>
      <c r="GU334" s="108"/>
      <c r="GV334" s="108"/>
      <c r="GW334" s="108"/>
      <c r="GX334" s="108"/>
      <c r="GY334" s="108"/>
      <c r="GZ334" s="108"/>
      <c r="HA334" s="108"/>
      <c r="HB334" s="108"/>
      <c r="HC334" s="108"/>
    </row>
    <row r="335" spans="1:211" s="154" customFormat="1">
      <c r="A335" s="108"/>
      <c r="B335" s="153"/>
      <c r="C335" s="153"/>
      <c r="E335" s="108"/>
      <c r="F335" s="108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51"/>
      <c r="BR335" s="151"/>
      <c r="BS335" s="151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3"/>
      <c r="FD335" s="13"/>
      <c r="FE335" s="13"/>
      <c r="FF335" s="13"/>
      <c r="FG335" s="13"/>
      <c r="FH335" s="13"/>
      <c r="FI335" s="13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  <c r="FT335" s="13"/>
      <c r="FU335" s="13"/>
      <c r="FV335" s="13"/>
      <c r="FW335" s="13"/>
      <c r="FX335" s="13"/>
      <c r="FY335" s="13"/>
      <c r="FZ335" s="13"/>
      <c r="GA335" s="13"/>
      <c r="GB335" s="13"/>
      <c r="GC335" s="13"/>
      <c r="GD335" s="13"/>
      <c r="GE335" s="13"/>
      <c r="GF335" s="13"/>
      <c r="GG335" s="13"/>
      <c r="GH335" s="13"/>
      <c r="GI335" s="108"/>
      <c r="GJ335" s="108"/>
      <c r="GK335" s="108"/>
      <c r="GL335" s="108"/>
      <c r="GM335" s="108"/>
      <c r="GN335" s="108"/>
      <c r="GO335" s="108"/>
      <c r="GP335" s="108"/>
      <c r="GQ335" s="108"/>
      <c r="GR335" s="108"/>
      <c r="GS335" s="108"/>
      <c r="GT335" s="108"/>
      <c r="GU335" s="108"/>
      <c r="GV335" s="108"/>
      <c r="GW335" s="108"/>
      <c r="GX335" s="108"/>
      <c r="GY335" s="108"/>
      <c r="GZ335" s="108"/>
      <c r="HA335" s="108"/>
      <c r="HB335" s="108"/>
      <c r="HC335" s="108"/>
    </row>
    <row r="336" spans="1:211">
      <c r="E336" s="108"/>
      <c r="F336" s="108"/>
    </row>
    <row r="337" spans="5:6">
      <c r="E337" s="108"/>
      <c r="F337" s="108"/>
    </row>
    <row r="338" spans="5:6">
      <c r="E338" s="108"/>
      <c r="F338" s="108"/>
    </row>
    <row r="339" spans="5:6">
      <c r="E339" s="108"/>
      <c r="F339" s="108"/>
    </row>
    <row r="340" spans="5:6">
      <c r="E340" s="108"/>
      <c r="F340" s="108"/>
    </row>
    <row r="341" spans="5:6">
      <c r="E341" s="108"/>
      <c r="F341" s="108"/>
    </row>
    <row r="342" spans="5:6">
      <c r="E342" s="108"/>
      <c r="F342" s="108"/>
    </row>
    <row r="343" spans="5:6">
      <c r="E343" s="108"/>
      <c r="F343" s="108"/>
    </row>
    <row r="344" spans="5:6">
      <c r="E344" s="108"/>
      <c r="F344" s="108"/>
    </row>
    <row r="345" spans="5:6">
      <c r="E345" s="108"/>
      <c r="F345" s="108"/>
    </row>
    <row r="346" spans="5:6">
      <c r="E346" s="108"/>
      <c r="F346" s="108"/>
    </row>
    <row r="347" spans="5:6">
      <c r="E347" s="108"/>
      <c r="F347" s="108"/>
    </row>
    <row r="348" spans="5:6">
      <c r="E348" s="108"/>
      <c r="F348" s="108"/>
    </row>
    <row r="349" spans="5:6">
      <c r="E349" s="108"/>
      <c r="F349" s="108"/>
    </row>
    <row r="350" spans="5:6">
      <c r="E350" s="108"/>
      <c r="F350" s="108"/>
    </row>
    <row r="351" spans="5:6">
      <c r="E351" s="108"/>
      <c r="F351" s="108"/>
    </row>
    <row r="352" spans="5:6">
      <c r="E352" s="108"/>
      <c r="F352" s="108"/>
    </row>
    <row r="353" spans="5:6">
      <c r="E353" s="108"/>
      <c r="F353" s="108"/>
    </row>
    <row r="354" spans="5:6">
      <c r="E354" s="108"/>
      <c r="F354" s="108"/>
    </row>
    <row r="355" spans="5:6">
      <c r="E355" s="108"/>
      <c r="F355" s="108"/>
    </row>
    <row r="356" spans="5:6">
      <c r="E356" s="108"/>
      <c r="F356" s="108"/>
    </row>
    <row r="357" spans="5:6">
      <c r="E357" s="108"/>
      <c r="F357" s="108"/>
    </row>
    <row r="358" spans="5:6">
      <c r="E358" s="108"/>
      <c r="F358" s="108"/>
    </row>
    <row r="359" spans="5:6">
      <c r="E359" s="108"/>
      <c r="F359" s="108"/>
    </row>
    <row r="360" spans="5:6">
      <c r="E360" s="108"/>
      <c r="F360" s="108"/>
    </row>
    <row r="361" spans="5:6">
      <c r="E361" s="108"/>
      <c r="F361" s="108"/>
    </row>
    <row r="362" spans="5:6">
      <c r="E362" s="108"/>
      <c r="F362" s="108"/>
    </row>
    <row r="363" spans="5:6">
      <c r="E363" s="108"/>
      <c r="F363" s="108"/>
    </row>
    <row r="364" spans="5:6">
      <c r="E364" s="108"/>
      <c r="F364" s="108"/>
    </row>
    <row r="365" spans="5:6">
      <c r="E365" s="108"/>
      <c r="F365" s="108"/>
    </row>
    <row r="366" spans="5:6">
      <c r="E366" s="108"/>
      <c r="F366" s="108"/>
    </row>
    <row r="367" spans="5:6">
      <c r="E367" s="108"/>
      <c r="F367" s="108"/>
    </row>
    <row r="368" spans="5:6">
      <c r="E368" s="108"/>
      <c r="F368" s="108"/>
    </row>
    <row r="369" spans="5:6">
      <c r="E369" s="108"/>
      <c r="F369" s="108"/>
    </row>
    <row r="370" spans="5:6">
      <c r="E370" s="108"/>
      <c r="F370" s="108"/>
    </row>
    <row r="371" spans="5:6">
      <c r="E371" s="108"/>
      <c r="F371" s="108"/>
    </row>
    <row r="372" spans="5:6">
      <c r="E372" s="108"/>
      <c r="F372" s="108"/>
    </row>
    <row r="373" spans="5:6">
      <c r="E373" s="108"/>
      <c r="F373" s="108"/>
    </row>
    <row r="374" spans="5:6">
      <c r="E374" s="108"/>
      <c r="F374" s="108"/>
    </row>
    <row r="375" spans="5:6">
      <c r="E375" s="108"/>
      <c r="F375" s="108"/>
    </row>
    <row r="376" spans="5:6">
      <c r="E376" s="108"/>
      <c r="F376" s="108"/>
    </row>
    <row r="377" spans="5:6">
      <c r="E377" s="108"/>
      <c r="F377" s="108"/>
    </row>
    <row r="378" spans="5:6">
      <c r="E378" s="108"/>
      <c r="F378" s="108"/>
    </row>
    <row r="379" spans="5:6">
      <c r="E379" s="108"/>
      <c r="F379" s="108"/>
    </row>
    <row r="380" spans="5:6">
      <c r="E380" s="108"/>
      <c r="F380" s="108"/>
    </row>
    <row r="381" spans="5:6">
      <c r="E381" s="108"/>
      <c r="F381" s="108"/>
    </row>
    <row r="382" spans="5:6">
      <c r="E382" s="108"/>
      <c r="F382" s="108"/>
    </row>
    <row r="383" spans="5:6">
      <c r="E383" s="108"/>
      <c r="F383" s="108"/>
    </row>
    <row r="384" spans="5:6">
      <c r="E384" s="108"/>
      <c r="F384" s="108"/>
    </row>
    <row r="385" spans="5:6">
      <c r="E385" s="108"/>
      <c r="F385" s="108"/>
    </row>
    <row r="386" spans="5:6">
      <c r="E386" s="108"/>
      <c r="F386" s="108"/>
    </row>
    <row r="387" spans="5:6">
      <c r="E387" s="108"/>
      <c r="F387" s="108"/>
    </row>
    <row r="388" spans="5:6">
      <c r="E388" s="108"/>
      <c r="F388" s="108"/>
    </row>
    <row r="389" spans="5:6">
      <c r="E389" s="108"/>
      <c r="F389" s="108"/>
    </row>
    <row r="390" spans="5:6">
      <c r="E390" s="108"/>
      <c r="F390" s="108"/>
    </row>
    <row r="391" spans="5:6">
      <c r="E391" s="108"/>
      <c r="F391" s="108"/>
    </row>
    <row r="392" spans="5:6">
      <c r="E392" s="108"/>
      <c r="F392" s="108"/>
    </row>
    <row r="393" spans="5:6">
      <c r="E393" s="108"/>
      <c r="F393" s="108"/>
    </row>
    <row r="394" spans="5:6">
      <c r="E394" s="108"/>
      <c r="F394" s="108"/>
    </row>
    <row r="395" spans="5:6">
      <c r="E395" s="108"/>
      <c r="F395" s="108"/>
    </row>
    <row r="396" spans="5:6">
      <c r="E396" s="108"/>
      <c r="F396" s="108"/>
    </row>
    <row r="397" spans="5:6">
      <c r="E397" s="108"/>
      <c r="F397" s="108"/>
    </row>
    <row r="398" spans="5:6">
      <c r="E398" s="108"/>
      <c r="F398" s="108"/>
    </row>
    <row r="399" spans="5:6">
      <c r="E399" s="108"/>
      <c r="F399" s="108"/>
    </row>
    <row r="400" spans="5:6">
      <c r="E400" s="108"/>
      <c r="F400" s="108"/>
    </row>
    <row r="401" spans="5:6">
      <c r="E401" s="108"/>
      <c r="F401" s="108"/>
    </row>
    <row r="402" spans="5:6">
      <c r="E402" s="108"/>
      <c r="F402" s="108"/>
    </row>
    <row r="403" spans="5:6">
      <c r="E403" s="108"/>
      <c r="F403" s="108"/>
    </row>
    <row r="404" spans="5:6">
      <c r="E404" s="108"/>
      <c r="F404" s="108"/>
    </row>
    <row r="405" spans="5:6">
      <c r="E405" s="108"/>
      <c r="F405" s="108"/>
    </row>
    <row r="406" spans="5:6">
      <c r="E406" s="108"/>
      <c r="F406" s="108"/>
    </row>
    <row r="407" spans="5:6">
      <c r="E407" s="108"/>
      <c r="F407" s="108"/>
    </row>
    <row r="408" spans="5:6">
      <c r="E408" s="108"/>
      <c r="F408" s="108"/>
    </row>
    <row r="409" spans="5:6">
      <c r="E409" s="108"/>
      <c r="F409" s="108"/>
    </row>
    <row r="410" spans="5:6">
      <c r="E410" s="108"/>
      <c r="F410" s="108"/>
    </row>
    <row r="411" spans="5:6">
      <c r="E411" s="108"/>
      <c r="F411" s="108"/>
    </row>
    <row r="412" spans="5:6">
      <c r="E412" s="108"/>
      <c r="F412" s="108"/>
    </row>
    <row r="413" spans="5:6">
      <c r="E413" s="108"/>
      <c r="F413" s="108"/>
    </row>
    <row r="414" spans="5:6">
      <c r="E414" s="108"/>
      <c r="F414" s="108"/>
    </row>
    <row r="415" spans="5:6">
      <c r="E415" s="108"/>
      <c r="F415" s="108"/>
    </row>
    <row r="416" spans="5:6">
      <c r="E416" s="108"/>
      <c r="F416" s="108"/>
    </row>
    <row r="417" spans="5:6">
      <c r="E417" s="108"/>
      <c r="F417" s="108"/>
    </row>
    <row r="418" spans="5:6">
      <c r="E418" s="108"/>
      <c r="F418" s="108"/>
    </row>
    <row r="419" spans="5:6">
      <c r="E419" s="108"/>
      <c r="F419" s="108"/>
    </row>
    <row r="420" spans="5:6">
      <c r="E420" s="108"/>
      <c r="F420" s="108"/>
    </row>
    <row r="421" spans="5:6">
      <c r="E421" s="108"/>
      <c r="F421" s="108"/>
    </row>
    <row r="422" spans="5:6">
      <c r="E422" s="108"/>
      <c r="F422" s="108"/>
    </row>
    <row r="423" spans="5:6">
      <c r="E423" s="108"/>
      <c r="F423" s="108"/>
    </row>
    <row r="424" spans="5:6">
      <c r="E424" s="108"/>
      <c r="F424" s="108"/>
    </row>
    <row r="425" spans="5:6">
      <c r="E425" s="108"/>
      <c r="F425" s="108"/>
    </row>
    <row r="426" spans="5:6">
      <c r="E426" s="108"/>
      <c r="F426" s="108"/>
    </row>
    <row r="427" spans="5:6">
      <c r="E427" s="108"/>
      <c r="F427" s="108"/>
    </row>
    <row r="428" spans="5:6">
      <c r="E428" s="108"/>
      <c r="F428" s="108"/>
    </row>
    <row r="429" spans="5:6">
      <c r="E429" s="108"/>
      <c r="F429" s="108"/>
    </row>
    <row r="430" spans="5:6">
      <c r="E430" s="108"/>
      <c r="F430" s="108"/>
    </row>
    <row r="431" spans="5:6">
      <c r="E431" s="108"/>
      <c r="F431" s="108"/>
    </row>
    <row r="432" spans="5:6">
      <c r="E432" s="108"/>
      <c r="F432" s="108"/>
    </row>
    <row r="433" spans="5:6">
      <c r="E433" s="108"/>
      <c r="F433" s="108"/>
    </row>
    <row r="434" spans="5:6">
      <c r="E434" s="108"/>
      <c r="F434" s="108"/>
    </row>
    <row r="435" spans="5:6">
      <c r="E435" s="108"/>
      <c r="F435" s="108"/>
    </row>
    <row r="436" spans="5:6">
      <c r="E436" s="108"/>
      <c r="F436" s="108"/>
    </row>
    <row r="437" spans="5:6">
      <c r="E437" s="108"/>
      <c r="F437" s="108"/>
    </row>
    <row r="438" spans="5:6">
      <c r="E438" s="108"/>
      <c r="F438" s="108"/>
    </row>
    <row r="439" spans="5:6">
      <c r="E439" s="108"/>
      <c r="F439" s="108"/>
    </row>
    <row r="440" spans="5:6">
      <c r="E440" s="108"/>
      <c r="F440" s="108"/>
    </row>
    <row r="441" spans="5:6">
      <c r="E441" s="108"/>
      <c r="F441" s="108"/>
    </row>
    <row r="442" spans="5:6">
      <c r="E442" s="108"/>
      <c r="F442" s="108"/>
    </row>
    <row r="443" spans="5:6">
      <c r="E443" s="108"/>
      <c r="F443" s="108"/>
    </row>
    <row r="444" spans="5:6">
      <c r="E444" s="108"/>
      <c r="F444" s="108"/>
    </row>
    <row r="445" spans="5:6">
      <c r="E445" s="108"/>
      <c r="F445" s="108"/>
    </row>
    <row r="446" spans="5:6">
      <c r="E446" s="108"/>
      <c r="F446" s="108"/>
    </row>
    <row r="447" spans="5:6">
      <c r="E447" s="108"/>
      <c r="F447" s="108"/>
    </row>
    <row r="448" spans="5:6">
      <c r="E448" s="108"/>
      <c r="F448" s="108"/>
    </row>
    <row r="449" spans="5:6">
      <c r="E449" s="108"/>
      <c r="F449" s="108"/>
    </row>
    <row r="450" spans="5:6">
      <c r="E450" s="108"/>
      <c r="F450" s="108"/>
    </row>
    <row r="451" spans="5:6">
      <c r="E451" s="108"/>
      <c r="F451" s="108"/>
    </row>
    <row r="452" spans="5:6">
      <c r="E452" s="108"/>
      <c r="F452" s="108"/>
    </row>
    <row r="453" spans="5:6">
      <c r="E453" s="108"/>
      <c r="F453" s="108"/>
    </row>
    <row r="454" spans="5:6">
      <c r="E454" s="108"/>
      <c r="F454" s="108"/>
    </row>
    <row r="455" spans="5:6">
      <c r="E455" s="108"/>
      <c r="F455" s="108"/>
    </row>
    <row r="456" spans="5:6">
      <c r="E456" s="108"/>
      <c r="F456" s="108"/>
    </row>
    <row r="457" spans="5:6">
      <c r="E457" s="108"/>
      <c r="F457" s="108"/>
    </row>
    <row r="458" spans="5:6">
      <c r="E458" s="108"/>
      <c r="F458" s="108"/>
    </row>
    <row r="459" spans="5:6">
      <c r="E459" s="108"/>
      <c r="F459" s="108"/>
    </row>
    <row r="460" spans="5:6">
      <c r="E460" s="108"/>
      <c r="F460" s="108"/>
    </row>
    <row r="461" spans="5:6">
      <c r="E461" s="108"/>
      <c r="F461" s="108"/>
    </row>
    <row r="462" spans="5:6">
      <c r="E462" s="108"/>
      <c r="F462" s="108"/>
    </row>
    <row r="463" spans="5:6">
      <c r="E463" s="108"/>
      <c r="F463" s="108"/>
    </row>
    <row r="464" spans="5:6">
      <c r="E464" s="108"/>
      <c r="F464" s="108"/>
    </row>
    <row r="465" spans="5:6">
      <c r="E465" s="108"/>
      <c r="F465" s="108"/>
    </row>
  </sheetData>
  <sortState xmlns:xlrd2="http://schemas.microsoft.com/office/spreadsheetml/2017/richdata2" ref="A107:HC137">
    <sortCondition ref="B107:B137"/>
  </sortState>
  <mergeCells count="9">
    <mergeCell ref="A3:A4"/>
    <mergeCell ref="B3:B4"/>
    <mergeCell ref="GL301:HC301"/>
    <mergeCell ref="C1:BM2"/>
    <mergeCell ref="BN1:CZ2"/>
    <mergeCell ref="GI1:GI2"/>
    <mergeCell ref="GI3:GI6"/>
    <mergeCell ref="EI299:EJ299"/>
    <mergeCell ref="B301:F301"/>
  </mergeCells>
  <conditionalFormatting sqref="C1:C104857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Tong hop cac ma</vt:lpstr>
      <vt:lpstr>Bang TH nop</vt:lpstr>
      <vt:lpstr>LƯƠNG Tx</vt:lpstr>
      <vt:lpstr>Phieu lương</vt:lpstr>
      <vt:lpstr>xxx</vt:lpstr>
      <vt:lpstr>'Bang TH nop'!Print_Titles</vt:lpstr>
      <vt:lpstr>'LƯƠNG Tx'!Print_Titles</vt:lpstr>
      <vt:lpstr>'Tong hop cac ma'!Print_Titles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3C-COMPANY</dc:creator>
  <cp:lastModifiedBy>Bảo Bảo</cp:lastModifiedBy>
  <cp:lastPrinted>2025-09-30T01:36:43Z</cp:lastPrinted>
  <dcterms:created xsi:type="dcterms:W3CDTF">2002-09-09T06:54:43Z</dcterms:created>
  <dcterms:modified xsi:type="dcterms:W3CDTF">2026-05-30T12:05:46Z</dcterms:modified>
</cp:coreProperties>
</file>